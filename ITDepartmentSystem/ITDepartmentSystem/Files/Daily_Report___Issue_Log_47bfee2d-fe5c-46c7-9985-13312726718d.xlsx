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Z:\IT\Web Developer\Web Dev Share\"/>
    </mc:Choice>
  </mc:AlternateContent>
  <xr:revisionPtr revIDLastSave="0" documentId="13_ncr:1_{3F888574-DB19-4F7D-8A16-6F299B5A24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1" r:id="rId1"/>
    <sheet name="Values List" sheetId="2" r:id="rId2"/>
    <sheet name="HeadCount" sheetId="3" r:id="rId3"/>
  </sheets>
  <definedNames>
    <definedName name="_xlnm._FilterDatabase" localSheetId="0" hidden="1">Final!$A$1:$R$3204</definedName>
    <definedName name="_xlnm._FilterDatabase" localSheetId="1" hidden="1">'Values List'!$A$1:$K$62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1" l="1"/>
  <c r="L18" i="1"/>
  <c r="K19" i="1"/>
  <c r="A20" i="1"/>
  <c r="A19" i="1"/>
  <c r="P19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L10" i="1"/>
  <c r="K10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2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2" i="1"/>
  <c r="P3" i="1"/>
  <c r="P4" i="1"/>
  <c r="P5" i="1"/>
  <c r="P6" i="1"/>
  <c r="P7" i="1"/>
  <c r="P8" i="1"/>
  <c r="P9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10" i="1"/>
  <c r="P11" i="1"/>
  <c r="P12" i="1"/>
  <c r="P13" i="1"/>
  <c r="P14" i="1"/>
  <c r="P15" i="1"/>
  <c r="P16" i="1"/>
  <c r="P17" i="1"/>
  <c r="P18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L2" i="1" l="1"/>
  <c r="L3" i="1"/>
  <c r="L4" i="1"/>
  <c r="L5" i="1"/>
  <c r="L6" i="1"/>
  <c r="L7" i="1"/>
  <c r="L8" i="1"/>
  <c r="L9" i="1"/>
  <c r="K2" i="1"/>
  <c r="K3" i="1"/>
  <c r="K4" i="1"/>
  <c r="K5" i="1"/>
  <c r="K6" i="1"/>
  <c r="K7" i="1"/>
  <c r="K8" i="1"/>
  <c r="K9" i="1"/>
</calcChain>
</file>

<file path=xl/sharedStrings.xml><?xml version="1.0" encoding="utf-8"?>
<sst xmlns="http://schemas.openxmlformats.org/spreadsheetml/2006/main" count="11317" uniqueCount="4618">
  <si>
    <t>Issue Description</t>
  </si>
  <si>
    <t>Stard Date</t>
  </si>
  <si>
    <t>End Date</t>
  </si>
  <si>
    <t>Issue Status</t>
  </si>
  <si>
    <t>Remark</t>
  </si>
  <si>
    <t xml:space="preserve">Issue Priority
</t>
  </si>
  <si>
    <t>Critical</t>
  </si>
  <si>
    <t xml:space="preserve">High </t>
  </si>
  <si>
    <t xml:space="preserve">Meduim </t>
  </si>
  <si>
    <t>Low</t>
  </si>
  <si>
    <t>Raised By</t>
  </si>
  <si>
    <t xml:space="preserve">Assigned To </t>
  </si>
  <si>
    <t xml:space="preserve">On Hold </t>
  </si>
  <si>
    <t xml:space="preserve">Cancelled </t>
  </si>
  <si>
    <t>In Progress</t>
  </si>
  <si>
    <t>New</t>
  </si>
  <si>
    <t xml:space="preserve">Resolved </t>
  </si>
  <si>
    <t>Related Sub-Module</t>
  </si>
  <si>
    <t xml:space="preserve">Issue Type </t>
  </si>
  <si>
    <t>Department</t>
  </si>
  <si>
    <t>Ahmed Ali</t>
  </si>
  <si>
    <t xml:space="preserve">Nasser Salah Nasr </t>
  </si>
  <si>
    <t>IT Department</t>
  </si>
  <si>
    <t>Solution</t>
  </si>
  <si>
    <t>Type</t>
  </si>
  <si>
    <t>Study</t>
  </si>
  <si>
    <t>Troubleshooting</t>
  </si>
  <si>
    <t>Development</t>
  </si>
  <si>
    <t>Meeting</t>
  </si>
  <si>
    <t xml:space="preserve"> Type</t>
  </si>
  <si>
    <t>Training</t>
  </si>
  <si>
    <t>Ticket #</t>
  </si>
  <si>
    <t>Company</t>
  </si>
  <si>
    <t>FPI</t>
  </si>
  <si>
    <t xml:space="preserve">Future Pro </t>
  </si>
  <si>
    <t>Group</t>
  </si>
  <si>
    <t>Implementation</t>
  </si>
  <si>
    <t>Web</t>
  </si>
  <si>
    <t>JDE</t>
  </si>
  <si>
    <t>Hardware</t>
  </si>
  <si>
    <t>Fixed Assets</t>
  </si>
  <si>
    <t>IPC System</t>
  </si>
  <si>
    <t>Clinic</t>
  </si>
  <si>
    <t>Generate Character System</t>
  </si>
  <si>
    <t>Pharmaceutical Chamber</t>
  </si>
  <si>
    <t>Ref. Std. Solution</t>
  </si>
  <si>
    <t>Daily Attendance</t>
  </si>
  <si>
    <t>Files Attached</t>
  </si>
  <si>
    <t>FPI Cosmetics</t>
  </si>
  <si>
    <t>Movements (FIN)</t>
  </si>
  <si>
    <t>Employee Mangement</t>
  </si>
  <si>
    <t>CRM Data</t>
  </si>
  <si>
    <t>CAPA</t>
  </si>
  <si>
    <t>Related Project</t>
  </si>
  <si>
    <t>Year Created</t>
  </si>
  <si>
    <t>2023 &amp; 2024</t>
  </si>
  <si>
    <t>2023 &amp; 2025</t>
  </si>
  <si>
    <t>Factory System</t>
  </si>
  <si>
    <t>R550911V</t>
  </si>
  <si>
    <t>R5541550H</t>
  </si>
  <si>
    <t>R5531418S</t>
  </si>
  <si>
    <t>R5541H005</t>
  </si>
  <si>
    <t>Security &amp; Transprotion &amp; Break</t>
  </si>
  <si>
    <t>Product Status</t>
  </si>
  <si>
    <t>Haitham Salah</t>
  </si>
  <si>
    <t>Admin</t>
  </si>
  <si>
    <t>Rasha Ayman Talaat Mohamed</t>
  </si>
  <si>
    <t>Rasha Ayman</t>
  </si>
  <si>
    <t>Quality Assurance</t>
  </si>
  <si>
    <t>Mohamed Abdelghany</t>
  </si>
  <si>
    <t>Khaled Ahmed</t>
  </si>
  <si>
    <t>Raised By Code</t>
  </si>
  <si>
    <t>Code</t>
  </si>
  <si>
    <t>Name En</t>
  </si>
  <si>
    <t>Name Ar</t>
  </si>
  <si>
    <t>Position</t>
  </si>
  <si>
    <t>Resignation</t>
  </si>
  <si>
    <t>Resignation Name</t>
  </si>
  <si>
    <t>Email Address</t>
  </si>
  <si>
    <t>Gamaleldin Ellithy</t>
  </si>
  <si>
    <t>جمال الدين الليثى</t>
  </si>
  <si>
    <t>CEO</t>
  </si>
  <si>
    <t>داخل الخدمة</t>
  </si>
  <si>
    <t>gleithy@future-eg.com</t>
  </si>
  <si>
    <t>Scientific Office</t>
  </si>
  <si>
    <t>Marwa Ahmed Mohamed Sultan</t>
  </si>
  <si>
    <t>مروة احمد محمد سلطان</t>
  </si>
  <si>
    <t>Executive Officer Manager</t>
  </si>
  <si>
    <t>Mohamed Mohamed Ahmed Abdelgawad Afifi</t>
  </si>
  <si>
    <t>محمد محمد احمد عبد الجواد عفيفى</t>
  </si>
  <si>
    <t>Financial Manager</t>
  </si>
  <si>
    <t>Finance</t>
  </si>
  <si>
    <t>Nassereldin Mohamed Salaheldin Nasreldin</t>
  </si>
  <si>
    <t>ناصر الدين محمد صلاح الدين نصر الدين الليثى</t>
  </si>
  <si>
    <t>IT Manager</t>
  </si>
  <si>
    <t>IT</t>
  </si>
  <si>
    <t>Heba Kamel AbdelSamad Kamel</t>
  </si>
  <si>
    <t>هبة كامل عبد الصمد كامل</t>
  </si>
  <si>
    <t>QA System &amp; Training Manager</t>
  </si>
  <si>
    <t>h.kamel@future-eg.com</t>
  </si>
  <si>
    <t>Osama Mohamed Elsayed Allam</t>
  </si>
  <si>
    <t>أسامه محمد السيد علام</t>
  </si>
  <si>
    <t>Quality Consultant</t>
  </si>
  <si>
    <t>Plant Management</t>
  </si>
  <si>
    <t>Ahmed Rafaat AbdelRahman Ali</t>
  </si>
  <si>
    <t>أحمد رافت عبد الرحمن علي</t>
  </si>
  <si>
    <t>Validation Manager</t>
  </si>
  <si>
    <t>a.raafat@future-eg.com</t>
  </si>
  <si>
    <t>Waleed AbdelMonem Mansour Mohamed</t>
  </si>
  <si>
    <t>وليد عبد المنعم منصور محمد</t>
  </si>
  <si>
    <t>Blistering Operator Technician</t>
  </si>
  <si>
    <t>Production</t>
  </si>
  <si>
    <t>Mohamed Sobhy AbdelMonem Afify</t>
  </si>
  <si>
    <t>محمد صبحى عبد المنعم عفيفى</t>
  </si>
  <si>
    <t>Solid General Supervisor</t>
  </si>
  <si>
    <t>Reda Salah Saleh Farah</t>
  </si>
  <si>
    <t>رضا صلاح صالح فرح صالح</t>
  </si>
  <si>
    <t>Technician</t>
  </si>
  <si>
    <t>Engineering</t>
  </si>
  <si>
    <t>Abdullah Ibrahim Mohamed Ibrahim</t>
  </si>
  <si>
    <t>عبد الله ابراهيم محمد ابراهيم</t>
  </si>
  <si>
    <t>Admin &amp; Financial Representative</t>
  </si>
  <si>
    <t>Transportation</t>
  </si>
  <si>
    <t>Factory</t>
  </si>
  <si>
    <t>Amr Mohamed AbdelBakie EID</t>
  </si>
  <si>
    <t>عمرو محمد عبد الباقى عيد</t>
  </si>
  <si>
    <t>Administration Supervisor</t>
  </si>
  <si>
    <t>Ahmed Shafai Ali Mohamed</t>
  </si>
  <si>
    <t>احمد شافعى على محمد</t>
  </si>
  <si>
    <t>Distribution Representatives' Supervisor</t>
  </si>
  <si>
    <t>Warehouse Finished Product</t>
  </si>
  <si>
    <t>Mohamed Sadek Mohamed Hassanein</t>
  </si>
  <si>
    <t>محمد صادق محمد حسنين</t>
  </si>
  <si>
    <t>Miscellaneous Warehouse Section Head</t>
  </si>
  <si>
    <t>Warehouse (Raw&amp;Pack.)</t>
  </si>
  <si>
    <t>Ahmed Fathy Ahmed Hassan</t>
  </si>
  <si>
    <t>احمد فتحى احمد حسن</t>
  </si>
  <si>
    <t>Ahmed Mohamed Mohamed Ali</t>
  </si>
  <si>
    <t>احمد محمد محمد على</t>
  </si>
  <si>
    <t>Ahmed Ahmed Mohamed Ahmed Elsandoby</t>
  </si>
  <si>
    <t>احمد احمد محمد احمد السندوبي</t>
  </si>
  <si>
    <t>QA systems</t>
  </si>
  <si>
    <t>Quality Control</t>
  </si>
  <si>
    <t>استقالة</t>
  </si>
  <si>
    <t>Elsayed Mohamed Elsayed Mohamed</t>
  </si>
  <si>
    <t>السيد محمد السيد محمد</t>
  </si>
  <si>
    <t>Line Sales Manager</t>
  </si>
  <si>
    <t>BU2</t>
  </si>
  <si>
    <t>Mohamed Ibrahim Mahmoud Elsayed</t>
  </si>
  <si>
    <t>محمد ابراهيم محمود السيد</t>
  </si>
  <si>
    <t>Packaging Materials Specialist</t>
  </si>
  <si>
    <t>Ahmed Fathy Mohamed Mohamed Taha</t>
  </si>
  <si>
    <t>احمد فتحى محمد محمد طه عبد العال</t>
  </si>
  <si>
    <t>Warehouse Assistant Technician</t>
  </si>
  <si>
    <t>Maher Ibrahim Amry Mohamed</t>
  </si>
  <si>
    <t>ماهر ابراهيم عمرى محمد</t>
  </si>
  <si>
    <t>Services Supervisor</t>
  </si>
  <si>
    <t>Mohamed Elsayed Mohamady Elsayed</t>
  </si>
  <si>
    <t>محمد السيد محمدى السيد</t>
  </si>
  <si>
    <t>Services Technician</t>
  </si>
  <si>
    <t>Mohamed Adel Mohamdy elSayed</t>
  </si>
  <si>
    <t>محمد عادل محمدى السيد عياد</t>
  </si>
  <si>
    <t>Forklift Operator</t>
  </si>
  <si>
    <t>Amer Ibrahim Abdelaziz</t>
  </si>
  <si>
    <t>عامر ابراهيم عبد العزيز درويش</t>
  </si>
  <si>
    <t>Packaging Materials Section Head</t>
  </si>
  <si>
    <t>qc1@future-eg.com</t>
  </si>
  <si>
    <t>Ehab Fouad Gerges</t>
  </si>
  <si>
    <t>ايهاب فؤاد جرجس ميخائيل</t>
  </si>
  <si>
    <t>Supportive Functions Head</t>
  </si>
  <si>
    <t>Supportive Functions</t>
  </si>
  <si>
    <t>e.fouad@future-eg.com</t>
  </si>
  <si>
    <t>Ayat Mohamed Ibrahim Hanafy</t>
  </si>
  <si>
    <t>ايات محمد ابراهيم حنفى</t>
  </si>
  <si>
    <t>Amany Farouk Hassan Youseef</t>
  </si>
  <si>
    <t>امانى فاروق حسن يوسف</t>
  </si>
  <si>
    <t>Sales Administration Manager</t>
  </si>
  <si>
    <t>Sales Administration</t>
  </si>
  <si>
    <t>a.hassan@future-eg.com</t>
  </si>
  <si>
    <t>Sanaa Halim Gad el Sayed</t>
  </si>
  <si>
    <t>سناء حليم جاد السيد</t>
  </si>
  <si>
    <t>Packaging hall supervisor</t>
  </si>
  <si>
    <t>Ahmed ElMoatazBellah Emam</t>
  </si>
  <si>
    <t>احمد المعتز بالله امام محمد امام الشريف</t>
  </si>
  <si>
    <t>Production Manager</t>
  </si>
  <si>
    <t>Nabil Noshey Tafeed Shafik</t>
  </si>
  <si>
    <t>نبيل نصحى تفيد شفيق</t>
  </si>
  <si>
    <t>Office Boy</t>
  </si>
  <si>
    <t>Sales</t>
  </si>
  <si>
    <t>Ahmed Mohamed Ahmed Ebeid</t>
  </si>
  <si>
    <t>احمد محمد احمد عبيد</t>
  </si>
  <si>
    <t>Samy AbdelRazek Mohamed Hussien</t>
  </si>
  <si>
    <t>سامى عبد الرازق محمد حسين</t>
  </si>
  <si>
    <t>QC Services Worker</t>
  </si>
  <si>
    <t>Ragab Abullah Fahmy Hassan</t>
  </si>
  <si>
    <t>رجب عبد الله فهمى حسن</t>
  </si>
  <si>
    <t>Gardener</t>
  </si>
  <si>
    <t>Security</t>
  </si>
  <si>
    <t>Samar Fahmy Mahmoud Hamed Gwaeed</t>
  </si>
  <si>
    <t>سمر فهمى محمود حمد جويد</t>
  </si>
  <si>
    <t>Salwa Gad Elrab Gad Girgis</t>
  </si>
  <si>
    <t>سلوى جاد الرب جاد جرجس</t>
  </si>
  <si>
    <t>Packaging Line Supervisor</t>
  </si>
  <si>
    <t>Hassan Abu Atteya Hassan Sakr</t>
  </si>
  <si>
    <t>حسن ابو عطية حسن صقر</t>
  </si>
  <si>
    <t>A/R Section Head</t>
  </si>
  <si>
    <t>h.sakr@future-eg.com</t>
  </si>
  <si>
    <t>Reda Mazouz Aziz</t>
  </si>
  <si>
    <t>رضا معزوز عزيز</t>
  </si>
  <si>
    <t>Production Preparations Technician</t>
  </si>
  <si>
    <t>Mohamed Metemed Hendawy Ibrahim</t>
  </si>
  <si>
    <t>محمد معتمد هنداوى ابراهيم</t>
  </si>
  <si>
    <t>Mohmed Khairy Elgendy Mohamed AboAmmer</t>
  </si>
  <si>
    <t>محمد خيري الجنيدي محمد أبو عامر</t>
  </si>
  <si>
    <t>Methodology Section Head</t>
  </si>
  <si>
    <t>R&amp;D</t>
  </si>
  <si>
    <t>Methodology@future-eg.com</t>
  </si>
  <si>
    <t>Mohamed Mansour Emam Mostafa</t>
  </si>
  <si>
    <t>محمد منصور امام مصطفى</t>
  </si>
  <si>
    <t>Mohamed Zakareya Mohamed Ismaiel</t>
  </si>
  <si>
    <t>محمد زكريا محمد اسماعيل</t>
  </si>
  <si>
    <t>Security Manager</t>
  </si>
  <si>
    <t>Salwa ElSayed Ahmed Elsayed</t>
  </si>
  <si>
    <t>سلوي السيد احمد السيد بدوي</t>
  </si>
  <si>
    <t>Documentation/JDE System Supervisor</t>
  </si>
  <si>
    <t>Ahmed Abd El Hakim El Sayed Allam</t>
  </si>
  <si>
    <t>احمد عبد الحكيم السيد علام</t>
  </si>
  <si>
    <t>Cafeteria Supervisor</t>
  </si>
  <si>
    <t>Ahmed Ahmed Saeed Mohamed Saeed</t>
  </si>
  <si>
    <t>احمد احمد سعيد محمد سعيد</t>
  </si>
  <si>
    <t>Security officer</t>
  </si>
  <si>
    <t>Islam Mohamed Essa Ramadam ElSharkawy</t>
  </si>
  <si>
    <t>اسلام محمد عيسى رمضان الشرقاوى</t>
  </si>
  <si>
    <t>QC Manager</t>
  </si>
  <si>
    <t>i.sharkawy@future-eg.com</t>
  </si>
  <si>
    <t>Mohamed Magdy Khalil</t>
  </si>
  <si>
    <t>محمد مجدي خليل</t>
  </si>
  <si>
    <t>Procurement Specialist</t>
  </si>
  <si>
    <t>Marketing</t>
  </si>
  <si>
    <t>Mohamed Hatem Abdou Mohamed Abdou</t>
  </si>
  <si>
    <t>محمد حاتم عبده محمد عبده</t>
  </si>
  <si>
    <t>Engineering Department Manager</t>
  </si>
  <si>
    <t>Ahmed Mahmoud Mahmoud ElMelegy</t>
  </si>
  <si>
    <t>احمد محمود محمود المليجى</t>
  </si>
  <si>
    <t>National Sales Manager</t>
  </si>
  <si>
    <t>Sales Management</t>
  </si>
  <si>
    <t>Ashraf Amgad Faragalla Abdelmalak</t>
  </si>
  <si>
    <t>اشرف امجد فرج الله عبد الملاك</t>
  </si>
  <si>
    <t>Scientific Office General Manager</t>
  </si>
  <si>
    <t>a.faragalla@future-eg.com</t>
  </si>
  <si>
    <t>Mahmoud Mohamed Mahmoud Youssef</t>
  </si>
  <si>
    <t>محمود محمد محمود يوسف</t>
  </si>
  <si>
    <t>Senior Medical Representative</t>
  </si>
  <si>
    <t>Hassan Ahmed Nasser Ahmed</t>
  </si>
  <si>
    <t>حسن احمد نصر احمد</t>
  </si>
  <si>
    <t>BU1</t>
  </si>
  <si>
    <t>Ahmed AbelNour Mohamed Emam ElGazar</t>
  </si>
  <si>
    <t>احمد ابو النور محمد امام الجزايرى</t>
  </si>
  <si>
    <t>Acting as Field Force Supervisor</t>
  </si>
  <si>
    <t>BU5</t>
  </si>
  <si>
    <t>Mousa Abdelwahab Mousa</t>
  </si>
  <si>
    <t>موسى عبد الوهاب موسى شلبى</t>
  </si>
  <si>
    <t>Raw Materials Supervisor</t>
  </si>
  <si>
    <t>Mahmoud Kheir El Gamal Khalil</t>
  </si>
  <si>
    <t>محمود خير الجمل خليل</t>
  </si>
  <si>
    <t>Ahmed Hefny Shehata Aly</t>
  </si>
  <si>
    <t>احمد حفنى شحاتة على</t>
  </si>
  <si>
    <t>Acting As Area Sales Manager</t>
  </si>
  <si>
    <t>Adel Asaad Gad ElSayed</t>
  </si>
  <si>
    <t>عادل أسعد جاد السيد</t>
  </si>
  <si>
    <t>Area Sales Manager</t>
  </si>
  <si>
    <t>Ester Samir Boshra</t>
  </si>
  <si>
    <t>إستر سمير بشرى</t>
  </si>
  <si>
    <t>Tamer Sayed Mohamed Ahmed AlGhazaly</t>
  </si>
  <si>
    <t>تامر سيد محمد احمد الغزالى</t>
  </si>
  <si>
    <t>Electrical Technician</t>
  </si>
  <si>
    <t>Mohamed Ramadan AbdelBaset AbdelGhany</t>
  </si>
  <si>
    <t>محمد رمضان عبد الباسط عبد الغني</t>
  </si>
  <si>
    <t>District Sales Manager</t>
  </si>
  <si>
    <t>Niveen Mahfouz Fekry AbdelMalak</t>
  </si>
  <si>
    <t>نيفين محفوظ فكرى عبد الملاك</t>
  </si>
  <si>
    <t>Emad Ali Hassan abu elsoaud</t>
  </si>
  <si>
    <t>عماد علي حسن أبو السعود</t>
  </si>
  <si>
    <t>Security Supervisor</t>
  </si>
  <si>
    <t>Mohamed AbdelRazek Mohamed Morsy Soliman</t>
  </si>
  <si>
    <t>محمد عبد الرازق محمد مرسى سليمان</t>
  </si>
  <si>
    <t>Ghada AbdAllah AlSherif</t>
  </si>
  <si>
    <t>غادة عبد الله محمد احمد الشريف</t>
  </si>
  <si>
    <t>CHRO</t>
  </si>
  <si>
    <t>H.R</t>
  </si>
  <si>
    <t>galsherif@future-eg.com</t>
  </si>
  <si>
    <t>Adel Mousa Gerges</t>
  </si>
  <si>
    <t>عادل موسى جرجس تادرس</t>
  </si>
  <si>
    <t>Social Insurance Consultant</t>
  </si>
  <si>
    <t>Marian Hanna Labib</t>
  </si>
  <si>
    <t>ماريان حنا لبيب</t>
  </si>
  <si>
    <t>Mina Mikhael Adeeb Ibrahim Fahmy</t>
  </si>
  <si>
    <t>مينا ميخائيل اديب ابراهيم فهمى</t>
  </si>
  <si>
    <t>Emad Moawad Eid Mansour</t>
  </si>
  <si>
    <t>عماد معوض عيد منصور</t>
  </si>
  <si>
    <t>DiaaelDin ElSaid AbdelAtti Afify</t>
  </si>
  <si>
    <t>ضياء الدين السيد عبد العاطى عفيفى</t>
  </si>
  <si>
    <t>Neermen Gouda Elsayed Kaff</t>
  </si>
  <si>
    <t>نيرمين جودة السيد كف</t>
  </si>
  <si>
    <t>Soliman Ibrahim Soliman Zaid</t>
  </si>
  <si>
    <t>سليمان ابراهيم سليمان ابراهيم زيد</t>
  </si>
  <si>
    <t>Laboratory Store Keeper</t>
  </si>
  <si>
    <t>Mohamed Ahmed Abd El Haliem Ahmed</t>
  </si>
  <si>
    <t>محمد احمد عبد الحليم احمد</t>
  </si>
  <si>
    <t>SFE Section Head</t>
  </si>
  <si>
    <t>Shady Abu ElYazed AbdelMoneim ElAhmar</t>
  </si>
  <si>
    <t>شادي ابو اليزيد عبد المنعم الاحمر</t>
  </si>
  <si>
    <t>Hoda Hassan Mohamed Mostafa Mattar</t>
  </si>
  <si>
    <t>هدى حسن محمد مصطفى مطر</t>
  </si>
  <si>
    <t>Taha Salah Salem Morsy</t>
  </si>
  <si>
    <t>طه صلاح سالم مرسي</t>
  </si>
  <si>
    <t>Coating Line Leader</t>
  </si>
  <si>
    <t>Yousef Wageh Ebrahim Ali</t>
  </si>
  <si>
    <t>يوسف وجيه ابراهيم علي</t>
  </si>
  <si>
    <t>Micheal Roshdy Attia Rizk Farag</t>
  </si>
  <si>
    <t>مايكل رشدى عطية رزق فرج</t>
  </si>
  <si>
    <t>Islam Samy Houssny hassanien</t>
  </si>
  <si>
    <t>إسلام سامي حسني حسنين</t>
  </si>
  <si>
    <t>Driver</t>
  </si>
  <si>
    <t>Abd El-Aziz Mohamed ElZanaty Mohamed</t>
  </si>
  <si>
    <t>عبد العزيز محمد الزناتي محمد</t>
  </si>
  <si>
    <t>Raouth Shehata Abd El Malak</t>
  </si>
  <si>
    <t>رعوث شحاتة عبد الملك</t>
  </si>
  <si>
    <t>Wael Abdel samiea Mostafa</t>
  </si>
  <si>
    <t>وائل عبد السميع مصطفى</t>
  </si>
  <si>
    <t>Business Unit Manager</t>
  </si>
  <si>
    <t>BU4</t>
  </si>
  <si>
    <t>Maged Gaber Nazeem Saad</t>
  </si>
  <si>
    <t>ماجد جابر نظيم سعد</t>
  </si>
  <si>
    <t>AbdelRahim Ahmed Abbas Ahmed</t>
  </si>
  <si>
    <t>عبد الرحيم احمد عباس احمد</t>
  </si>
  <si>
    <t>Senior Product Specialist</t>
  </si>
  <si>
    <t>Sedrak William Yousef Gerges</t>
  </si>
  <si>
    <t>سدراك وليم يوسف جرجس</t>
  </si>
  <si>
    <t>Senior District Manager</t>
  </si>
  <si>
    <t>BU3</t>
  </si>
  <si>
    <t>Mina Gamal Hakim Issa</t>
  </si>
  <si>
    <t>مينا جمال حكيم عيسى</t>
  </si>
  <si>
    <t>Mohamed Fathy Abd El Salam Tawfik</t>
  </si>
  <si>
    <t>محمد فتحي عبد السلام توفيق</t>
  </si>
  <si>
    <t>Product Specialist</t>
  </si>
  <si>
    <t>Mohamed raouf saeed</t>
  </si>
  <si>
    <t>محمد رؤوف سعيد</t>
  </si>
  <si>
    <t>HR Section Head</t>
  </si>
  <si>
    <t>Mohamed Ragab Emam Abo Elmagd</t>
  </si>
  <si>
    <t>محمد رجب امام ابو المجد</t>
  </si>
  <si>
    <t>Emad Hamdy AbdelKareem AbdelMaged</t>
  </si>
  <si>
    <t>عماد حمدى عبد الكريم عبد المجيد</t>
  </si>
  <si>
    <t>Admin Affairs Deputy Manager</t>
  </si>
  <si>
    <t>e.hamdy@future-eg.com</t>
  </si>
  <si>
    <t>Ahmed Mohamed Nabil Abd El Sameea Mohamed</t>
  </si>
  <si>
    <t>احمد محمد نبيل عبد السميع محمد</t>
  </si>
  <si>
    <t>Acting As R&amp;D Manager</t>
  </si>
  <si>
    <t>Nabil Samuel Boctor Botros</t>
  </si>
  <si>
    <t>نبيل صموئيل بقطر بطرس</t>
  </si>
  <si>
    <t>Supervisor</t>
  </si>
  <si>
    <t>Rehab Maged Mohamed ElSaeed Hosny ElTarhouny</t>
  </si>
  <si>
    <t>رحاب ماجد محمد السعيد حسنى التراهونى</t>
  </si>
  <si>
    <t>Marian Farouk Sedky Botros Basta</t>
  </si>
  <si>
    <t>ماريان فاروق صدقى بطرس بسطا</t>
  </si>
  <si>
    <t>Field Force Supervisor</t>
  </si>
  <si>
    <t>Nermeen Hosny Sobhy Zaki</t>
  </si>
  <si>
    <t>نرمين حسني صبحي زكي</t>
  </si>
  <si>
    <t>Wael Mousa Abdelfatah Attallah</t>
  </si>
  <si>
    <t>وائل موسى عبد الفتاح عطا الله</t>
  </si>
  <si>
    <t>National Tender Sales Manager</t>
  </si>
  <si>
    <t>Ahmed Ezzat Ali Mahdy</t>
  </si>
  <si>
    <t>احمد عزت على مهدى</t>
  </si>
  <si>
    <t>Eslam Ahmed AbdelHakeem Mostafa</t>
  </si>
  <si>
    <t>اسلام احمد عبد الحكيم مصطفى</t>
  </si>
  <si>
    <t>Stability Section Head</t>
  </si>
  <si>
    <t>Ahmed Attia Sabry AbdelRahman</t>
  </si>
  <si>
    <t>احمد عطية صبرى عبد الرحمن</t>
  </si>
  <si>
    <t>R&amp;D Document Control Supervisor</t>
  </si>
  <si>
    <t>Ahmed Mohamed Rashiq Hassan</t>
  </si>
  <si>
    <t>احمد محمد رشيق حسن</t>
  </si>
  <si>
    <t>Amr Ezzat Abd El-Ghafar</t>
  </si>
  <si>
    <t>عمرو عزت عبد الغفار</t>
  </si>
  <si>
    <t>Shrief Mostafa Yehia Mohamed</t>
  </si>
  <si>
    <t>شريف مصطفى يحى محمد الدمهوجى</t>
  </si>
  <si>
    <t>QC Deputy Manager</t>
  </si>
  <si>
    <t>Faten Korany Mohamed Taha</t>
  </si>
  <si>
    <t>فاتن كوراني محمد طه</t>
  </si>
  <si>
    <t>Ramy Ageeb Wadie Sadek</t>
  </si>
  <si>
    <t>رامى عجيب وديع صادق</t>
  </si>
  <si>
    <t>Michael Fayez Fawzy</t>
  </si>
  <si>
    <t>مايكل فايز فوزي</t>
  </si>
  <si>
    <t>Rahma Ali Abo Halka Hassanein</t>
  </si>
  <si>
    <t>رحمة علي أبو حلقه حسنين</t>
  </si>
  <si>
    <t>Hassan Farouk ElSayed Afifi</t>
  </si>
  <si>
    <t>حسن فاروق السيد عفيفى</t>
  </si>
  <si>
    <t>Mohamed Hussein Abdelhalim Mahmoud</t>
  </si>
  <si>
    <t>محمد حسين عبد الحليم محمود</t>
  </si>
  <si>
    <t>Mechanical Technician</t>
  </si>
  <si>
    <t>Reham Mounir Mourad Dawod</t>
  </si>
  <si>
    <t>ريهام منير مراد داود</t>
  </si>
  <si>
    <t>Youssef Makram Hosny Fareg</t>
  </si>
  <si>
    <t>يوسف مكرم حسني فارج</t>
  </si>
  <si>
    <t>Eman Mohamed Akl Mohamed Elnagar</t>
  </si>
  <si>
    <t>ايمان محمد عقل محمد النجار</t>
  </si>
  <si>
    <t>Ahmed Elsayed Mohamed Sabea</t>
  </si>
  <si>
    <t>احمد السيد محمد سبع</t>
  </si>
  <si>
    <t>Nesma AbdelMaogoud Aboelela Darwish</t>
  </si>
  <si>
    <t>نسمة عبد الموجود ابو العلا درويش</t>
  </si>
  <si>
    <t>Ahmed Maher Aly Mohamed</t>
  </si>
  <si>
    <t>احمد ماهر على محمد</t>
  </si>
  <si>
    <t>Medical , Trainning and Commercial</t>
  </si>
  <si>
    <t>Nermeen Rafaat Noshy</t>
  </si>
  <si>
    <t>نرمين رفعت نوشي</t>
  </si>
  <si>
    <t>Ahmed Fathy Elsayed ElGazar</t>
  </si>
  <si>
    <t>احمد فتحي السيد الجزار</t>
  </si>
  <si>
    <t>Ahmed Nagib AbdelDayem</t>
  </si>
  <si>
    <t>احمد نجيب عبد الدايم البسطويسى</t>
  </si>
  <si>
    <t>Clearance Supervisor</t>
  </si>
  <si>
    <t>Procurement</t>
  </si>
  <si>
    <t>Ahmed Amer Moustafa Amer</t>
  </si>
  <si>
    <t>احمد عامر مصطفى عامر</t>
  </si>
  <si>
    <t>Medical Representative</t>
  </si>
  <si>
    <t>Heba Nasr Salah Abo Eleil</t>
  </si>
  <si>
    <t>هبة نصر صلاح ابو عليل</t>
  </si>
  <si>
    <t>Afnan Mohamed Abd ElRehem</t>
  </si>
  <si>
    <t>أفنان محمد عبد الرحيم</t>
  </si>
  <si>
    <t>Hanady AbdelNaeem Zaki Abdo Afifi</t>
  </si>
  <si>
    <t>هنادى عبد النعيم زكى عبده عفيفى</t>
  </si>
  <si>
    <t>Formulation Supervisor</t>
  </si>
  <si>
    <t>h.Naeem@future-eg.com</t>
  </si>
  <si>
    <t>Marco Alfy Zakher Tawdrous</t>
  </si>
  <si>
    <t>ماركو الفى زاخر طودروس</t>
  </si>
  <si>
    <t>Diana Rashad Noshy Kedis</t>
  </si>
  <si>
    <t>ديانا رشاد نصحى قديس</t>
  </si>
  <si>
    <t>Production Worker</t>
  </si>
  <si>
    <t>Mohamed Ismaiel Arandas Ismaiel</t>
  </si>
  <si>
    <t>محمد اسماعيل عرندس اسماعيل</t>
  </si>
  <si>
    <t>Mohamed El-Mozamel Mohamed Ibrahim</t>
  </si>
  <si>
    <t>محمد المزمل محمد ابراهيم الفرماوى</t>
  </si>
  <si>
    <t>Warehouse Deputy Manager</t>
  </si>
  <si>
    <t>M.Mozamel@future-eg.com</t>
  </si>
  <si>
    <t>Ahmed Mohamed Saad Ibrahim</t>
  </si>
  <si>
    <t>احمد محمد سعد ابراهيم</t>
  </si>
  <si>
    <t>Microbiology Section Head</t>
  </si>
  <si>
    <t>Ashraf Mohamed Emam Mohamed</t>
  </si>
  <si>
    <t>اشرف محمد امام محمد</t>
  </si>
  <si>
    <t>Services worker</t>
  </si>
  <si>
    <t>Ahmed Mostafa AbdelRazek Saleh</t>
  </si>
  <si>
    <t>أحمد مصطفى عبد الرازق صالح</t>
  </si>
  <si>
    <t>A/P Section Head</t>
  </si>
  <si>
    <t>Aya Abd ElSalam Aly ElGohary</t>
  </si>
  <si>
    <t>آية عبد السلام على الجوهري</t>
  </si>
  <si>
    <t>Mohamed Nabil Osman AbdelHamid Mohamed</t>
  </si>
  <si>
    <t>محمد نبيل عثمان عبد الحميد محمد</t>
  </si>
  <si>
    <t>Operational Quality &amp; Compliance Supervisor</t>
  </si>
  <si>
    <t>Compliance2@future-eg.com</t>
  </si>
  <si>
    <t>Rafeik Saied Hassanein Mohamed</t>
  </si>
  <si>
    <t>رفيق سعيد حسانين محمد</t>
  </si>
  <si>
    <t>Supply Chain Manager</t>
  </si>
  <si>
    <t>Supply Chain</t>
  </si>
  <si>
    <t>MenatAllah Sayed Mohamed ElSayed</t>
  </si>
  <si>
    <t>منه الله سيد محمد السيد مصطفى</t>
  </si>
  <si>
    <t>HR Supervisor</t>
  </si>
  <si>
    <t>hr-admin@future-eg.com</t>
  </si>
  <si>
    <t>Bassem Adel El-Azeem Fayed</t>
  </si>
  <si>
    <t>باسم عادل العظيم فايد</t>
  </si>
  <si>
    <t>R&amp;D and Methodology Manager</t>
  </si>
  <si>
    <t>Ahmed Fayek Tasen Nagem Ahmed</t>
  </si>
  <si>
    <t>احمد فايق تسن نجيم احمد</t>
  </si>
  <si>
    <t>Compression Supervisor</t>
  </si>
  <si>
    <t>Ahmed Kamal Saber AbdelAziz</t>
  </si>
  <si>
    <t>احمد كمال صابر عبد العزيز</t>
  </si>
  <si>
    <t>Costing &amp; Operating Budget Deputy Manager</t>
  </si>
  <si>
    <t>Eslam Magdy Khawas Mohamed Hassan</t>
  </si>
  <si>
    <t>اسلام مجدى خواص محمد حسن</t>
  </si>
  <si>
    <t>Finished Products Section Head</t>
  </si>
  <si>
    <t>F.product@future-eg.com</t>
  </si>
  <si>
    <t>Khaled AbouelMaaty AbdelGawad AbouelMaaty</t>
  </si>
  <si>
    <t>خالد ابو المعاطى عبد الجواد ابو المعاطى</t>
  </si>
  <si>
    <t>Operational Manager</t>
  </si>
  <si>
    <t>Operation Management</t>
  </si>
  <si>
    <t>k.Maaty@future-eg.com</t>
  </si>
  <si>
    <t>Ahmed AbdelMoniem Mohamed Amin</t>
  </si>
  <si>
    <t>احمد عبد المنعم محمد امين</t>
  </si>
  <si>
    <t>Deputy Production Manager</t>
  </si>
  <si>
    <t>Mohamed Mahmoud Abd Elmoniem Morsy</t>
  </si>
  <si>
    <t>محمد محمود عبد المنعم مرسي</t>
  </si>
  <si>
    <t>Coating &amp; Sachet Supervisor</t>
  </si>
  <si>
    <t>Amr Mousa Mohamed Saad</t>
  </si>
  <si>
    <t>عمرو موسى محمد سعد</t>
  </si>
  <si>
    <t>Compressing Operator Technician</t>
  </si>
  <si>
    <t>Mahmoud Saber Abd ElSatar</t>
  </si>
  <si>
    <t>محمود صابر عبد الستار</t>
  </si>
  <si>
    <t>Warehouse Worker</t>
  </si>
  <si>
    <t>Amir Hussien Abd ElHamied Ahmed</t>
  </si>
  <si>
    <t>أمير حسين عبد الحميد أحمد</t>
  </si>
  <si>
    <t>Ali Maatmed Fahmy Ali</t>
  </si>
  <si>
    <t>علي معتمد فهمي علي</t>
  </si>
  <si>
    <t>Hossam Abd El-Rahman Emam</t>
  </si>
  <si>
    <t>حسام عبد الرحمن امام</t>
  </si>
  <si>
    <t>Procurement Supervisor</t>
  </si>
  <si>
    <t>Hashem Gamal Hashem AbelHafez</t>
  </si>
  <si>
    <t>هاشم جمال هاشم عبد الحافظ</t>
  </si>
  <si>
    <t>Planning Deputy Manager</t>
  </si>
  <si>
    <t>Planning</t>
  </si>
  <si>
    <t>Mohamed Saber Abo El-Hassan Hassan</t>
  </si>
  <si>
    <t>محمد صابر ابو الحسن حسن</t>
  </si>
  <si>
    <t>Amr Saleh Mohamed Orabi</t>
  </si>
  <si>
    <t>عمرو صالح محمد عرابى</t>
  </si>
  <si>
    <t>Noura Sadek Ahmed Abd El-Hay Essa</t>
  </si>
  <si>
    <t>نورا صادق احمد عبد الحى عيسى</t>
  </si>
  <si>
    <t>PV and Medical Affairs Manager</t>
  </si>
  <si>
    <t>Soaad Naser Hessuin Mostafa</t>
  </si>
  <si>
    <t>سعاد ناصر حسين مصطفى</t>
  </si>
  <si>
    <t>Abd El-Hamed Adel Abd El-Hamed</t>
  </si>
  <si>
    <t>عبد الحميد عادل عبد الحميد</t>
  </si>
  <si>
    <t>Mai Anwar Abd ElSameea Moustafa</t>
  </si>
  <si>
    <t>مي انور عبد السميع مصطفى</t>
  </si>
  <si>
    <t>Remon Kameel Tamer Hendy </t>
  </si>
  <si>
    <t>ريمون كميل تامر هندي</t>
  </si>
  <si>
    <t>Hossam Gamal AbdRabou Mohamed</t>
  </si>
  <si>
    <t>حسام جمال عبد ربه محمد</t>
  </si>
  <si>
    <t>Mohamed Baiomy Abbas Ibrahim</t>
  </si>
  <si>
    <t>محمد بيومى عباس ابراهيم</t>
  </si>
  <si>
    <t>Ahmed Fathy Mohamed Tawfek</t>
  </si>
  <si>
    <t>احمد فتحى محمد توفيق</t>
  </si>
  <si>
    <t>Formulation Section Head</t>
  </si>
  <si>
    <t>Ahmed Khaled Mostafa ElSayed AbdelAal</t>
  </si>
  <si>
    <t>احمد خالد مصطفى السيد عبد العال</t>
  </si>
  <si>
    <t>Technical Support Section Head</t>
  </si>
  <si>
    <t>Refaat Ali ElSayed Abu Amer</t>
  </si>
  <si>
    <t>رفعت علي السيد ابو عامر</t>
  </si>
  <si>
    <t>Kamal Mahrous Kamal Abd ElShafy</t>
  </si>
  <si>
    <t>كمال محروس كمال عبد الشافي</t>
  </si>
  <si>
    <t>Andrew Ashraf Edwar Yakoup</t>
  </si>
  <si>
    <t>اندرو اشرف ادوار يعقوب</t>
  </si>
  <si>
    <t>Ahmed Mohamed Melegy Aly ElRefaay</t>
  </si>
  <si>
    <t>احمد محمد مليجى على الرفاعى</t>
  </si>
  <si>
    <t>Nancy Sobhy Teny</t>
  </si>
  <si>
    <t>نانسي صبحي تيني</t>
  </si>
  <si>
    <t>Mahmoud Abd ElMonem Abd ElMaksoud Mohamed</t>
  </si>
  <si>
    <t>محمود عبد المنعم عبد المقصود محمد</t>
  </si>
  <si>
    <t>Mervat Saad Mostafa Darweesh</t>
  </si>
  <si>
    <t>مرفت سعد مصطفى درويش</t>
  </si>
  <si>
    <t>Nahla Gamal AbdelNaser Mohamed AbdelNaser</t>
  </si>
  <si>
    <t>نهله جمال عبد الناصر محمد عبد الناصر</t>
  </si>
  <si>
    <t>Gihad Ali Mohamed Ali</t>
  </si>
  <si>
    <t>جهاد على محمد على</t>
  </si>
  <si>
    <t>Printing Supervisor</t>
  </si>
  <si>
    <t>Neama Sayed Mohamed Mtrawy</t>
  </si>
  <si>
    <t>نعمة سيد محمد مطراوى</t>
  </si>
  <si>
    <t>Reda Mohamed Mahmoud Attia</t>
  </si>
  <si>
    <t>رضا محمد محمود عطية</t>
  </si>
  <si>
    <t>Amal Mohamed Ahmed Rashed</t>
  </si>
  <si>
    <t>أمل محمد احمد راشد</t>
  </si>
  <si>
    <t>Mohamed Mohsen Sayed Ali ElAbasi</t>
  </si>
  <si>
    <t>محمد محسن السيد على العباسى</t>
  </si>
  <si>
    <t>Mohamed AbdelMonaem Ibrahim Khazbak</t>
  </si>
  <si>
    <t>محمد عبد المنعم ابراهيم خزبك</t>
  </si>
  <si>
    <t>Ahmed Wasfy Mohamed  </t>
  </si>
  <si>
    <t>احمد وصفي محمد</t>
  </si>
  <si>
    <t>Production Section Head</t>
  </si>
  <si>
    <t>Ahmed Mohamed Amin Bassuony  </t>
  </si>
  <si>
    <t>احمد محمد امين بسيونى</t>
  </si>
  <si>
    <t>Procurement Senior Representative</t>
  </si>
  <si>
    <t>Mina Medhat Shafik Barssom</t>
  </si>
  <si>
    <t>مينا مدحت شفيق برسوم</t>
  </si>
  <si>
    <t>Mohamed Ahmed Mohamed Ibrarahim Hassan</t>
  </si>
  <si>
    <t>محمد احمد محمد ابراهيم حسان</t>
  </si>
  <si>
    <t>Acting as R&amp;D Technician</t>
  </si>
  <si>
    <t>Eman Gharib Zaki</t>
  </si>
  <si>
    <t>إيمان غريب زكي</t>
  </si>
  <si>
    <t>Soha Zyad Ragab AbdelKader Okela</t>
  </si>
  <si>
    <t>سها زياد رجب عبدالقادر عكيله</t>
  </si>
  <si>
    <t>Printing worker</t>
  </si>
  <si>
    <t>Hamed Ramdan Hamed Mohamed Mansy</t>
  </si>
  <si>
    <t>حامد رمضان حامد محمد منسى</t>
  </si>
  <si>
    <t>Coating Supervisor</t>
  </si>
  <si>
    <t>Mohamed AbdelBaset AbdelMeged Soliman</t>
  </si>
  <si>
    <t>محمد عبد الباسط عبد المجيد سليمان عبد العال</t>
  </si>
  <si>
    <t>Islam Ragab AbdelAziz Hefny</t>
  </si>
  <si>
    <t>اسلام رجب عبد العزيز حفنى</t>
  </si>
  <si>
    <t>Capsule Filling Technician</t>
  </si>
  <si>
    <t>Mostafa Ahmed Mohamed Abd ElKader</t>
  </si>
  <si>
    <t>مصطفى احمد محمد عبد القادر</t>
  </si>
  <si>
    <t>AbdelRahman Mahdy Yousef Hagag</t>
  </si>
  <si>
    <t>عبد الرحمن مهدى يوسف حجاج</t>
  </si>
  <si>
    <t>Compression Unit Technician</t>
  </si>
  <si>
    <t>Mostafa Hussin Abd El Aziz Mohamed Essa</t>
  </si>
  <si>
    <t>مصطفى حسين عبد العزيز محمد عيسى</t>
  </si>
  <si>
    <t>Blistering Assistant Technician</t>
  </si>
  <si>
    <t>Eman Mohamed Shaaban Ali Khalefa</t>
  </si>
  <si>
    <t>ايمان محمد شعبان على خليفة</t>
  </si>
  <si>
    <t>Entsar ElSayed Abd Elmoaty</t>
  </si>
  <si>
    <t>انتصار السيد عبد المعطي</t>
  </si>
  <si>
    <t>Tahia Samir Ahmed Ali</t>
  </si>
  <si>
    <t>تحية سمير احمد على</t>
  </si>
  <si>
    <t>Aber Gomaa Mohamed Afify</t>
  </si>
  <si>
    <t>عابر جمعة محمد عفيفي</t>
  </si>
  <si>
    <t>Aya Gamal Mohamed Ali</t>
  </si>
  <si>
    <t>آية جمال محمد علي</t>
  </si>
  <si>
    <t>Salwa Mohamed Mosleh Mohamed Hegab</t>
  </si>
  <si>
    <t>سلوى محمد مصلح محمد حجاب</t>
  </si>
  <si>
    <t>Mohamed Mahmoud AbdelFattah Sultan</t>
  </si>
  <si>
    <t>محمد محمود عبد الفتاح مرسى سلطان</t>
  </si>
  <si>
    <t>wpm@future-eg.com</t>
  </si>
  <si>
    <t>Khadiga Mostafa Abd ElMoaaty Elbehiry</t>
  </si>
  <si>
    <t>خديجة مصطفى عبدالمعطي البحيري</t>
  </si>
  <si>
    <t>Osama Ali Mohamed Selim</t>
  </si>
  <si>
    <t>أسامه علي محمد سليم</t>
  </si>
  <si>
    <t>IT Consultant</t>
  </si>
  <si>
    <t>o.seleem@future-eg.com</t>
  </si>
  <si>
    <t>Mohamed Ramdan Adly Saadawy</t>
  </si>
  <si>
    <t>محمد رمضان عدلي السعداوي</t>
  </si>
  <si>
    <t>Amr Atef Fahmy AbdelAziz</t>
  </si>
  <si>
    <t>عمرو عاطف فهمى عبد العزيز</t>
  </si>
  <si>
    <t>Compliance and Operational Quality Section Head</t>
  </si>
  <si>
    <t>Compliance1@future-eg.com</t>
  </si>
  <si>
    <t>Ramdan El-Sayed Mohamed Zidan</t>
  </si>
  <si>
    <t>رمضان السيد محمد زيدان</t>
  </si>
  <si>
    <t>Sayeda Farhat Salem Saleh</t>
  </si>
  <si>
    <t>سيده فرحات سالم صالح</t>
  </si>
  <si>
    <t>Packaging Worker</t>
  </si>
  <si>
    <t>Magda Ahmed Mohamed Ahmed ElSayed</t>
  </si>
  <si>
    <t>ماجدة احمد محمد احمد السيد</t>
  </si>
  <si>
    <t>Laundry Services Specialist</t>
  </si>
  <si>
    <t>Fatma Ali Sayed Mohamed</t>
  </si>
  <si>
    <t>فاطمة على سيد محمد</t>
  </si>
  <si>
    <t>Mary Sobhy Mehanny</t>
  </si>
  <si>
    <t>ماري صبحي مهاني</t>
  </si>
  <si>
    <t>Gamal Abdullah Fahmy</t>
  </si>
  <si>
    <t>جمال عبدالله فهمي</t>
  </si>
  <si>
    <t>Mervat Samir Mohamed ElSebaaey ElGhanaam</t>
  </si>
  <si>
    <t>مرفت سمير محمد السباعى الغنام</t>
  </si>
  <si>
    <t>Mahmoud Mansour Ragab Mohamed</t>
  </si>
  <si>
    <t>محمود منصور رجب محمد</t>
  </si>
  <si>
    <t>Ethar Abd ElAziz Mahmoud ElShazly</t>
  </si>
  <si>
    <t>ايثار عبد العزيز محمود الشاذلي</t>
  </si>
  <si>
    <t>Sameh Abd ElRaouf Ali Selim</t>
  </si>
  <si>
    <t>سامح عبد الرؤوف علي سليم</t>
  </si>
  <si>
    <t>Blistering Unit Technician</t>
  </si>
  <si>
    <t>Shaimaa Nizami Salem Mohamed</t>
  </si>
  <si>
    <t>شيماء نظامي سالم محمد</t>
  </si>
  <si>
    <t>Regulatory Affairs Manager</t>
  </si>
  <si>
    <t>Regulatory Affairs</t>
  </si>
  <si>
    <t>Eid Mahmoud Hemdan Omar</t>
  </si>
  <si>
    <t>عيد محمود حمدان عمر</t>
  </si>
  <si>
    <t>Warehouse Line leader</t>
  </si>
  <si>
    <t>Mohamed Ramdan Ahmed Othman</t>
  </si>
  <si>
    <t>محمد رمضان احمد عثمان</t>
  </si>
  <si>
    <t>R&amp;D Technician Supervisor</t>
  </si>
  <si>
    <t>Shaimaa Abd ElNasser Ibrahim Hassab Allah</t>
  </si>
  <si>
    <t>شيماء عبد الناصر ابراهيم حساب الله</t>
  </si>
  <si>
    <t>Amir Magdy Shawky AbdelMooaty</t>
  </si>
  <si>
    <t>امير مجدى شوقى عبد المعطى</t>
  </si>
  <si>
    <t>HVAC Technician</t>
  </si>
  <si>
    <t>Ayman Salem Abd El Aziz Azazy</t>
  </si>
  <si>
    <t>ايمن سالم عبد العزيز عزازى</t>
  </si>
  <si>
    <t>Alaa ElDin Hassan Kamel ElGanzory</t>
  </si>
  <si>
    <t>علاء الدين حسن كامل الجنزورى</t>
  </si>
  <si>
    <t>Art Director</t>
  </si>
  <si>
    <t>Graphic</t>
  </si>
  <si>
    <t>Salah Mohamed AbdelAziz Hassan ElWakel</t>
  </si>
  <si>
    <t>صلاح محمد عبد العزيز حسن الوكيل</t>
  </si>
  <si>
    <t>Mohamed Abd ElNabi Amin Abd ElMonaem</t>
  </si>
  <si>
    <t>محمد عبد النبي أمين عبد المنعم</t>
  </si>
  <si>
    <t>Utilities Technician</t>
  </si>
  <si>
    <t>Mostafa Samir Fatoh Mostafa Eissa</t>
  </si>
  <si>
    <t>مصطفى سمير فتوح مصطفى عيسى</t>
  </si>
  <si>
    <t>cost2@future-eg.com</t>
  </si>
  <si>
    <t>George Nagy Gad</t>
  </si>
  <si>
    <t>جورج ناجي جاد</t>
  </si>
  <si>
    <t>Ali Hassan Ali Ali</t>
  </si>
  <si>
    <t>علي حسن علي علي</t>
  </si>
  <si>
    <t>QC Analyst</t>
  </si>
  <si>
    <t>Salma Hassan Ali Soliman</t>
  </si>
  <si>
    <t>سلمى حسن علي سليمان</t>
  </si>
  <si>
    <t>QA Systems Officer</t>
  </si>
  <si>
    <t>Reem Ali Hassan Ayad</t>
  </si>
  <si>
    <t>ريم علي حسن عياد</t>
  </si>
  <si>
    <t>Senior Medical &amp; QPPV Specialist</t>
  </si>
  <si>
    <t>Ibrahim Mahmoud Abd El-Ghany</t>
  </si>
  <si>
    <t>ابراهيم محمود عبد الغني</t>
  </si>
  <si>
    <t>Planning supervisor</t>
  </si>
  <si>
    <t>Adel AbdelNaby Mohamed</t>
  </si>
  <si>
    <t>عادل عبد النبى محمد عيسوى</t>
  </si>
  <si>
    <t>Data Entry Supervisor</t>
  </si>
  <si>
    <t>Ahmed Fouad Ahmed Mohamed</t>
  </si>
  <si>
    <t>احمد فؤاد احمد محمد</t>
  </si>
  <si>
    <t>Distribution Representative</t>
  </si>
  <si>
    <t>Shady Atwa Mostafa Atwa</t>
  </si>
  <si>
    <t>شادى عطوة مصطفى عطوة</t>
  </si>
  <si>
    <t>Storekeeper Assistant</t>
  </si>
  <si>
    <t>AbdelAziz Taha Mahmoud Taha</t>
  </si>
  <si>
    <t>عبد العزيز طه محمود طه</t>
  </si>
  <si>
    <t>Lobna Ibrahim Mohamed ElAzab</t>
  </si>
  <si>
    <t>لبنى ابراهيم محمد العزب</t>
  </si>
  <si>
    <t>Christeen Nagy Gorgy Ghabrial</t>
  </si>
  <si>
    <t>كريستين ناجي قرجي غبريال</t>
  </si>
  <si>
    <t>Fotna Hussien Mohy ElDin Hussien</t>
  </si>
  <si>
    <t>فتنا حسين محيي الدين حسين</t>
  </si>
  <si>
    <t>Mohamed Atef Ali AboZaid</t>
  </si>
  <si>
    <t>محمد عاطف علي ابو زيد</t>
  </si>
  <si>
    <t>Christina Fares Hanna Saleh</t>
  </si>
  <si>
    <t>كريستينا فارس حنا صالح</t>
  </si>
  <si>
    <t>Karoleen Keddees Mankarious Mourkos</t>
  </si>
  <si>
    <t>كارولين قديس منقريوس مرقص</t>
  </si>
  <si>
    <t>Salma Abd ELFAtah Fathi Abdullah</t>
  </si>
  <si>
    <t>سلمى عبد الفتاح فتحي عبد الله</t>
  </si>
  <si>
    <t>Sheren Raafat EzzelDin AbdelMawgod</t>
  </si>
  <si>
    <t>شيرين رافت عز الدين عبد الموجود</t>
  </si>
  <si>
    <t>Adel Rashad Mohamed Awad</t>
  </si>
  <si>
    <t>عادل رشاد محمد عوض</t>
  </si>
  <si>
    <t>Shady Mohamed Ahmed Abdullah Othman</t>
  </si>
  <si>
    <t>شادى محمد احمد عبد الله عثمان</t>
  </si>
  <si>
    <t>AbdelRahman AbdelAziz Mohamed Mohamed Ghonaim</t>
  </si>
  <si>
    <t>عبد الرحمن عبد العزيز محمد محمد غنيم</t>
  </si>
  <si>
    <t>Chief Accountant - Future Pro</t>
  </si>
  <si>
    <t>Mohamed Fadel Mohamed Mohamed Hashem</t>
  </si>
  <si>
    <t>محمد فاضل محمد محمد هاشم</t>
  </si>
  <si>
    <t>QA Compliance Supervisor</t>
  </si>
  <si>
    <t>Waleed Salah Taha Mohamed Abdullah</t>
  </si>
  <si>
    <t>وليد صلاح طه محمد عبد الله</t>
  </si>
  <si>
    <t>Blistering Unit Supervisor</t>
  </si>
  <si>
    <t>Ashraf Galal Abd El Sadek Soliman</t>
  </si>
  <si>
    <t>اشرف جلال عبد الصادق سليمان عبد العال</t>
  </si>
  <si>
    <t>Dalia ElSayed Ali Tawfek Mohamed</t>
  </si>
  <si>
    <t>داليا السيد علي توفيق محمد</t>
  </si>
  <si>
    <t>Nada Yasser ElKotb ElBakry ElMashad</t>
  </si>
  <si>
    <t>ندا ياسر القطب البكرى المشد</t>
  </si>
  <si>
    <t>Waleed Megahed Abo ElYazed AlShal</t>
  </si>
  <si>
    <t>وليد مجاهد ابو اليزيد الشال</t>
  </si>
  <si>
    <t>Reham Marzouk Ismaiel Marzouk</t>
  </si>
  <si>
    <t>ريهام مرزوق اسماعيل مرزوق</t>
  </si>
  <si>
    <t>karim Ahmed Soliman</t>
  </si>
  <si>
    <t>كريم أحمد سليمان أحمد</t>
  </si>
  <si>
    <t>Compression &amp; Capsule Operator Technician</t>
  </si>
  <si>
    <t>Ahmed Abd ElMonem Awad Behlak</t>
  </si>
  <si>
    <t>أحمد عبد المنعم عوض بحلاق</t>
  </si>
  <si>
    <t>QC Technician</t>
  </si>
  <si>
    <t>Mohamed Reda Oda ElSadek</t>
  </si>
  <si>
    <t>محمد رضي عوده الصادق</t>
  </si>
  <si>
    <t>Rehab Roshdy Abd ElAal Roshdy</t>
  </si>
  <si>
    <t>رحاب رشدي عبدالعال رشدي</t>
  </si>
  <si>
    <t>Validation Officer</t>
  </si>
  <si>
    <t>Adel AbdelKader Mohamed AbdelKader Araffa</t>
  </si>
  <si>
    <t>عادل عبدالقادر محمد عبدالقادر عرفه</t>
  </si>
  <si>
    <t>Storekeeper</t>
  </si>
  <si>
    <t>Ibrahim Nabil Mohamed Ahmed</t>
  </si>
  <si>
    <t>ابراهيم نبيل محمد أحمد ابوجويله</t>
  </si>
  <si>
    <t>Senior Analyst</t>
  </si>
  <si>
    <t>Ahmed Mohamed Ezzat Ahmed Zahran</t>
  </si>
  <si>
    <t>أحمد محمد عزت أحمد زهران</t>
  </si>
  <si>
    <t>Eman Mahmoud Shehata Shehata</t>
  </si>
  <si>
    <t>أيمان محمود شحاته شحاته شوشه</t>
  </si>
  <si>
    <t>Packaging Supervisor</t>
  </si>
  <si>
    <t>Mina Ghobrial Assad Gobrial</t>
  </si>
  <si>
    <t>مينا غبريال اسعد غبريال</t>
  </si>
  <si>
    <t>Acting as Business Unit Manager</t>
  </si>
  <si>
    <t>Khaled Yihia ElSayed Bakar</t>
  </si>
  <si>
    <t>خالد يحي السيد بكر</t>
  </si>
  <si>
    <t>Amr Khedr Mohamed Ibrahim</t>
  </si>
  <si>
    <t>عمرو خضر محمد ابراهيم</t>
  </si>
  <si>
    <t>Amr Saeed Ismaiel Abo El Azm Ibrahim</t>
  </si>
  <si>
    <t>عمرو سعيد اسماعيل ابوالعزم ابراهيم</t>
  </si>
  <si>
    <t>Coating Assistant Technician</t>
  </si>
  <si>
    <t>Shaimaa lotfy Baiomy</t>
  </si>
  <si>
    <t>شيماء لطفي بيومي عبدالعزيز</t>
  </si>
  <si>
    <t>Hend Salem Abd ElHakim</t>
  </si>
  <si>
    <t>هند سالم عبدالحكيم سليمان</t>
  </si>
  <si>
    <t>Yousra Mohamed Ossama</t>
  </si>
  <si>
    <t>يسرا محمد اسامه فهمي الديواني</t>
  </si>
  <si>
    <t>Ahmed Mohamed Mohamed Salim</t>
  </si>
  <si>
    <t>أحمد محمد محمد سالم العوضي</t>
  </si>
  <si>
    <t>Sayeda Salem Attia ElZakry</t>
  </si>
  <si>
    <t>سيدة سالم عطيه الزكري</t>
  </si>
  <si>
    <t>Mohamed Mahmoud Abd ElAziz Hussien</t>
  </si>
  <si>
    <t>محمد محمود عبد العزيز حسين</t>
  </si>
  <si>
    <t>Senior Brand manager</t>
  </si>
  <si>
    <t>Reham Raouf Hafez Mikhael</t>
  </si>
  <si>
    <t>ريهام رؤوف حافظ ميخائيل</t>
  </si>
  <si>
    <t>Adel Refaat Hefny Habib</t>
  </si>
  <si>
    <t>عادل رأفت حنفى حبيب</t>
  </si>
  <si>
    <t>Joseph Khairy Shawky Farag</t>
  </si>
  <si>
    <t>جوزيف خيرى شوقى فرج</t>
  </si>
  <si>
    <t>Key Account Sales Manager</t>
  </si>
  <si>
    <t>Mahmoud Saeed Abd ElHalim mahmoud</t>
  </si>
  <si>
    <t>محمود سعيد عبد الحليم محمود</t>
  </si>
  <si>
    <t>Sherif Mohamed Hussien Kamel AbdelKreem</t>
  </si>
  <si>
    <t>شريف محمد حسين كامل عبد الكريم</t>
  </si>
  <si>
    <t>Mohamed Ahmed Mohamed Ageza</t>
  </si>
  <si>
    <t>محمد احمد محمد جمال الدين عجيزه</t>
  </si>
  <si>
    <t>Senior Production Specialist</t>
  </si>
  <si>
    <t>Maged Samir Gendi Khalil</t>
  </si>
  <si>
    <t>ماجد سمير جندي خليل</t>
  </si>
  <si>
    <t>Remon Mekhaeel Beshara Shaker</t>
  </si>
  <si>
    <t>ريمون ميخائيل بشاره شاكر</t>
  </si>
  <si>
    <t>Tarek Mohamed Awad ElMarakby</t>
  </si>
  <si>
    <t>طارق محمد عوض المراكبى</t>
  </si>
  <si>
    <t>Helmy Ismaiel ElSayed Afify</t>
  </si>
  <si>
    <t>حلمي اسماعيل السيد عفيفي</t>
  </si>
  <si>
    <t>QA Manager</t>
  </si>
  <si>
    <t>Ayman Ali Hassan Ali</t>
  </si>
  <si>
    <t>أيمن علي حسن علي ديوان</t>
  </si>
  <si>
    <t>Operational Quality &amp; Compliance Technician</t>
  </si>
  <si>
    <t>Ahmed Ezz ElDin Hassan</t>
  </si>
  <si>
    <t>أحمد عز الدين حسن أحمد</t>
  </si>
  <si>
    <t>Happy Zarif Maiger Hazeen</t>
  </si>
  <si>
    <t>هابى ظريف ميجر حزين</t>
  </si>
  <si>
    <t>Romany Adly Fayek Bsally</t>
  </si>
  <si>
    <t>رومانى عدلى فايق بسالي</t>
  </si>
  <si>
    <t>Sabah AbdelAziz Mohamed Mohamed Hussien</t>
  </si>
  <si>
    <t>صباح عبدالعزيز محمد محمد حسين</t>
  </si>
  <si>
    <t>Ahmed Ibrahim Mahmoud Ibrahim</t>
  </si>
  <si>
    <t>أحمد ابراهيم محمود ابراهيم</t>
  </si>
  <si>
    <t>Peter Nabil Ratib</t>
  </si>
  <si>
    <t>بيتر نبيل راتيب</t>
  </si>
  <si>
    <t>Mohamed Ragab Elsayed Shaat</t>
  </si>
  <si>
    <t>محمد رجب السيد شعت</t>
  </si>
  <si>
    <t>Mohamed Magdy Sayed Sayed</t>
  </si>
  <si>
    <t>محمد مجدي سيد سيد</t>
  </si>
  <si>
    <t>Procurement Section Head</t>
  </si>
  <si>
    <t>Mohamed Ahmed Hassan Ahmed Khalel</t>
  </si>
  <si>
    <t>محمد أحمد حسن أحمد خليل</t>
  </si>
  <si>
    <t>Export Regulatory Affairs Section Head</t>
  </si>
  <si>
    <t>Regulatory Affairs Export</t>
  </si>
  <si>
    <t>RA-Export@future-eg.com</t>
  </si>
  <si>
    <t>Mohamed Maamoun Mohamed Nafea</t>
  </si>
  <si>
    <t>محمد مأمون محمد نافع</t>
  </si>
  <si>
    <t>Senior A/P Accountant</t>
  </si>
  <si>
    <t>Mohamed saad Siam Shalaby</t>
  </si>
  <si>
    <t>محمد سعد صيام شلبى</t>
  </si>
  <si>
    <t>Abd ElRazik Amin Abd ElRazik Hamada</t>
  </si>
  <si>
    <t>عبد الرازق امين عبد الرازق حماده</t>
  </si>
  <si>
    <t>Nayera Mohamed Abd Al-Maksoud</t>
  </si>
  <si>
    <t>نيره محمد عبد المقصود</t>
  </si>
  <si>
    <t>Sherief mahmoud Abd ElAal</t>
  </si>
  <si>
    <t>شريف محمود عبد العال</t>
  </si>
  <si>
    <t>Fayrouz Reda Youssef Baiomy</t>
  </si>
  <si>
    <t>فيروز رضا يوسف بيومي</t>
  </si>
  <si>
    <t>HR Specialist</t>
  </si>
  <si>
    <t>Mostafa Hefny Abdel Meged</t>
  </si>
  <si>
    <t>مصطفي حفني عبد المجيد سليمان</t>
  </si>
  <si>
    <t>Assistant Brand Manager</t>
  </si>
  <si>
    <t>Ahmed Saleh Ahmed Ghonaim</t>
  </si>
  <si>
    <t>أحمد صالح أحمد عنيم</t>
  </si>
  <si>
    <t>Production Pharmacist</t>
  </si>
  <si>
    <t>Ibrahim Boshra Gayed Tawadros</t>
  </si>
  <si>
    <t>ابراهيم بشرى جيد تاوضروس</t>
  </si>
  <si>
    <t>Sara Ali Abdel Fattah</t>
  </si>
  <si>
    <t>سارة علي عبد الفتاح مغيث حسين</t>
  </si>
  <si>
    <t>R&amp;D Analyst</t>
  </si>
  <si>
    <t>Alaa Hefny Shehata</t>
  </si>
  <si>
    <t>علاء حفنى شحاته</t>
  </si>
  <si>
    <t>Amal El-Metwaly El Morsy</t>
  </si>
  <si>
    <t>امل متولى المرسى</t>
  </si>
  <si>
    <t>Mohamed Abd El-Hakim Soliman Attia</t>
  </si>
  <si>
    <t>محمد عبد الحكيم سليمان عطيه</t>
  </si>
  <si>
    <t>Emad Mohamed Attia AboHashim</t>
  </si>
  <si>
    <t>عماد محمد عطيه ابو هاشم</t>
  </si>
  <si>
    <t>Mahmoud Medhat Farouk AboZaid</t>
  </si>
  <si>
    <t>محمود مدحت فاروق ابوزيد</t>
  </si>
  <si>
    <t>Marian Fayez Nassief Mashraky</t>
  </si>
  <si>
    <t>ماريان فايز نصيف مشرقي</t>
  </si>
  <si>
    <t>Mohamed Sayed Diab Ibrahim</t>
  </si>
  <si>
    <t>محمد سيد دياب ابراهيم</t>
  </si>
  <si>
    <t>Alaa Galal Abdullah Mohamed Eissa</t>
  </si>
  <si>
    <t>الاء جلال عبدالله محمد عيسى</t>
  </si>
  <si>
    <t>Reda ElSaber Abd ElSalam ElSayed</t>
  </si>
  <si>
    <t>رضا الصابر عبدالسلام السيد</t>
  </si>
  <si>
    <t>Mina Nadhy Youssef Dimian</t>
  </si>
  <si>
    <t>مينا ندهى يوسف دميان</t>
  </si>
  <si>
    <t>Ahmed Abdo Hassan Mohamed Naiem</t>
  </si>
  <si>
    <t>احمد عبده حسن محمد نعيم</t>
  </si>
  <si>
    <t>Sara AbdelSamad Hussien AbdelSamad</t>
  </si>
  <si>
    <t>ساره عبدالصمد حسين عبد الصمد</t>
  </si>
  <si>
    <t>Hanan Shaban AbdelHamed AbdelRahman AboHussie</t>
  </si>
  <si>
    <t>حنان شعبان عبد الحميد عبد الرحمن ابو حسين</t>
  </si>
  <si>
    <t>Amany ElSayed Khebiery Ibrahim</t>
  </si>
  <si>
    <t>امانى السيد خبيرى ابراهيم</t>
  </si>
  <si>
    <t>Hany Abd ElTawab Abd El-Latif Adam</t>
  </si>
  <si>
    <t>هانى عبد التواب عبد اللطيف ادم</t>
  </si>
  <si>
    <t>Mostafa NourelDin Amin</t>
  </si>
  <si>
    <t>مصطفي نورالدين امين مهني</t>
  </si>
  <si>
    <t>Mohamed Mohamed Abd El Aziz Hana</t>
  </si>
  <si>
    <t>محمد محمد عبد العزيز هنا</t>
  </si>
  <si>
    <t>Preperation Technician</t>
  </si>
  <si>
    <t>Mohamed Lotfy Faramawy Ahmed Kandel</t>
  </si>
  <si>
    <t>محمد لطفي فرماوي احمد قنديل</t>
  </si>
  <si>
    <t>Procurement Senior Specialist</t>
  </si>
  <si>
    <t>Ahmed Salah Mohamed Ahmed</t>
  </si>
  <si>
    <t>احمد صلاح محمد احمد</t>
  </si>
  <si>
    <t>Rana Mohamed Farouk Mohamed</t>
  </si>
  <si>
    <t>رنا محمد فاروق محمد</t>
  </si>
  <si>
    <t>Micheal William Mourad Gad</t>
  </si>
  <si>
    <t>ميشيل ويليم مراد جاد</t>
  </si>
  <si>
    <t>AlHussien Habib Mahmoud Abd ElGawad</t>
  </si>
  <si>
    <t>الحسين حبيب محمود عبد الجواد</t>
  </si>
  <si>
    <t>Mohamed Ali AbdelAziz Ahmed ElAtton</t>
  </si>
  <si>
    <t>محمد على عبد العزيز احمد العاطون</t>
  </si>
  <si>
    <t>Mohamed Saber Mohamed Ibrahim</t>
  </si>
  <si>
    <t>محمد صابر محمد ابراهيم</t>
  </si>
  <si>
    <t>Moustafa Mohamed Moustafa ElNahas</t>
  </si>
  <si>
    <t>مصطفى محمد مصطفى النحاس</t>
  </si>
  <si>
    <t>Sara Medhat Ibrahim Omran</t>
  </si>
  <si>
    <t>ساره مدحت ابراهيم عمران</t>
  </si>
  <si>
    <t>s.Medhat@future-eg.com</t>
  </si>
  <si>
    <t>Reham Ramdan Ahmed Abd ElDayem</t>
  </si>
  <si>
    <t>ريهام رمضان احمد عبد الدايم</t>
  </si>
  <si>
    <t>Mohamed ElBaz Awad Mohamed Zard</t>
  </si>
  <si>
    <t>محمد الباز عوض محمد زرد</t>
  </si>
  <si>
    <t>Moustafa Khalil Moustafa Khalil</t>
  </si>
  <si>
    <t>مصطفى خليل مصطفى خليل</t>
  </si>
  <si>
    <t>Ahmed Mohamed Ismaiel Ghazy AbdelKader</t>
  </si>
  <si>
    <t>احمد محمد اسماعيل غازى عبد القادر</t>
  </si>
  <si>
    <t>Mohamed Khairy AbdelMoneim Abbas</t>
  </si>
  <si>
    <t>محمد خيرى عبد المنعم عباس</t>
  </si>
  <si>
    <t>Saeed Adel Ramadan Hassan</t>
  </si>
  <si>
    <t>سعيد عادل رمضان حسن</t>
  </si>
  <si>
    <t>Heba Abd El-Mageid Fahmy Ahmed</t>
  </si>
  <si>
    <t>هبه عبدالحميد فهمي احمد البرقي</t>
  </si>
  <si>
    <t>Regulatory Affairs Specialist</t>
  </si>
  <si>
    <t>Al-Shaimaa Ashraf Abd El-Baset Saber</t>
  </si>
  <si>
    <t>الشيماء أشرف عبدالباسط صابر</t>
  </si>
  <si>
    <t>Manal Abd El-Fatah Mohamed</t>
  </si>
  <si>
    <t>منال عبد الفتاح محمد عبدالفتاح</t>
  </si>
  <si>
    <t>Mohamed Refaat Mohamady ELMeselhy Nasef</t>
  </si>
  <si>
    <t>محمد رفعت محمدي المصيلحي ناصف</t>
  </si>
  <si>
    <t>Tantawy ElSayed Mohamed  Tantawy</t>
  </si>
  <si>
    <t>طنطاوي السيد محمد طنطاوي</t>
  </si>
  <si>
    <t>Line Leader</t>
  </si>
  <si>
    <t>Heba Osama Ali  </t>
  </si>
  <si>
    <t>هبه اسامه على مجاهد</t>
  </si>
  <si>
    <t>Key Account Specialist</t>
  </si>
  <si>
    <t>Hend Magdy Helmy  </t>
  </si>
  <si>
    <t>هند مجدى حلمى عبدالرحيم</t>
  </si>
  <si>
    <t>Aya Mosaad Bayoumi Mohamed</t>
  </si>
  <si>
    <t>ايه مسعد بيومى محمد</t>
  </si>
  <si>
    <t>Dima Ragab Mohamed  </t>
  </si>
  <si>
    <t>ديمه رجب محمد ابو العلا</t>
  </si>
  <si>
    <t>Mohamed Mamdouh Abd El-Moamen</t>
  </si>
  <si>
    <t>محمد ممدوح عبدالمؤمن محمد</t>
  </si>
  <si>
    <t>Mohamed Saif Abd El-Aleem   </t>
  </si>
  <si>
    <t>محمد سيف عبد العليم عبد الغنى</t>
  </si>
  <si>
    <t>Nourhan Osama Salem shakal  </t>
  </si>
  <si>
    <t>نورهان اسامه سالم شكل</t>
  </si>
  <si>
    <t>Mohamed Essam Saleh El-Sayed   </t>
  </si>
  <si>
    <t>محمد عصام صالح السيد</t>
  </si>
  <si>
    <t>Manar Shaaban Ahmed Mohamed Zayan  </t>
  </si>
  <si>
    <t>منار شعبان احمد محمد زيان</t>
  </si>
  <si>
    <t>Abd El-Rahman El-Sayed Abd El-Hamed</t>
  </si>
  <si>
    <t>عبد الرحمن السيد عبد الحميد السيد</t>
  </si>
  <si>
    <t>Heba Emad El-Din samy Abd ElRazek</t>
  </si>
  <si>
    <t>هبه عماد الدين سامى عبدالرازق</t>
  </si>
  <si>
    <t>Doaa Taha Mostafa</t>
  </si>
  <si>
    <t>دعاء طه مصطفى ابو الجود</t>
  </si>
  <si>
    <t>Mohamed Kamal AbdelBary AbdelRaheem</t>
  </si>
  <si>
    <t>محمد كمال عبد البارى عبد الرحيم</t>
  </si>
  <si>
    <t>Eslam Gouda Abd El-Khalik   </t>
  </si>
  <si>
    <t>اسلام جوده عبد الخالق جمعه</t>
  </si>
  <si>
    <t>Reda Sayed Mokhtar Mohamed</t>
  </si>
  <si>
    <t>رضا سيد مختار محمد</t>
  </si>
  <si>
    <t>Shady El-Sayed Ismaiel  </t>
  </si>
  <si>
    <t>شادى السيد اسماعيل ابراهيم</t>
  </si>
  <si>
    <t>Mariana Harby Naguib Abdullah</t>
  </si>
  <si>
    <t>مريانه حربى نجيب عبدالله</t>
  </si>
  <si>
    <t>Mohamed Mohamed Rashad Ahmed</t>
  </si>
  <si>
    <t>محمد محمد رشاد احمد</t>
  </si>
  <si>
    <t>Mansour Maher Mansour Mohamed</t>
  </si>
  <si>
    <t>منصور ماهر منصور محمد</t>
  </si>
  <si>
    <t>Raw Materials Sampler</t>
  </si>
  <si>
    <t>AbdelAziz Mohamed Mahmoud Mohamed ElNady</t>
  </si>
  <si>
    <t>عبد العزيز محمد محمود محمد النادي</t>
  </si>
  <si>
    <t>Ahmed Mansour ElShabrawy Ibrahim</t>
  </si>
  <si>
    <t>أحمد منصور الشبراوي ابراهيم</t>
  </si>
  <si>
    <t>Mennatullah Saeed Mohamed Saber</t>
  </si>
  <si>
    <t>منة الله سعيد محمد صابر</t>
  </si>
  <si>
    <t>Amira ElSayed Mohamed ElSayed</t>
  </si>
  <si>
    <t>أميرة السيد محمد السيد برغوت</t>
  </si>
  <si>
    <t>Aya mohamed Abd ElMohsen Sabaa</t>
  </si>
  <si>
    <t>أية محمد عبدالمحسن سبع محمد</t>
  </si>
  <si>
    <t>Mohamed Sabry AbdelAziz Ahmed Mostafa</t>
  </si>
  <si>
    <t>محمد صبري عبدالعزيز احمد مصطفي</t>
  </si>
  <si>
    <t>Ahmed Saeed Saad Ali Soliman</t>
  </si>
  <si>
    <t>أحمد سعيد سعد علي سليمان</t>
  </si>
  <si>
    <t>Raw Materials Analyst</t>
  </si>
  <si>
    <t>Kareem Ali Abd ElAzim Soliman</t>
  </si>
  <si>
    <t>كريم علي عبد العظيم سليمان</t>
  </si>
  <si>
    <t>Maintenance Supervisor</t>
  </si>
  <si>
    <t>Nader Abdullah Fathy Shraf</t>
  </si>
  <si>
    <t>نادر عبدالله فتحي شرف</t>
  </si>
  <si>
    <t>Capacity Utilization Manager</t>
  </si>
  <si>
    <t>n.Sharaf@future-eg.com</t>
  </si>
  <si>
    <t>Samah ElSayed Mahmoud Abd ElElah</t>
  </si>
  <si>
    <t>سماح السيد محمود عبدالعال</t>
  </si>
  <si>
    <t>Ahmed Hassan Yousef Mohamed</t>
  </si>
  <si>
    <t>احمد حسن يوسف محمد</t>
  </si>
  <si>
    <t>Mohieb Soliman Abd ElFatah Soliman</t>
  </si>
  <si>
    <t>مهيب سليمان عبد الفتاح سليمان</t>
  </si>
  <si>
    <t>Ossama Mohamed Mubark Ahmed</t>
  </si>
  <si>
    <t>اسامه محمد مبارك احمد</t>
  </si>
  <si>
    <t>Iman Taher Bedir Hossam</t>
  </si>
  <si>
    <t>ايمان طاهر بدير حسام</t>
  </si>
  <si>
    <t>Hossam Ahmed Hassan Hassan</t>
  </si>
  <si>
    <t>حسام أحمد حسن حسن</t>
  </si>
  <si>
    <t>Preparation Supervisor</t>
  </si>
  <si>
    <t>Hesham Ossama Mahmoud Saeed</t>
  </si>
  <si>
    <t>هشام اسامه محمود سعيد جنيد</t>
  </si>
  <si>
    <t>Ann Marie Sobhy Salama Youssef</t>
  </si>
  <si>
    <t>ان ماري صبحي سلامه يوسف</t>
  </si>
  <si>
    <t>Darien Gamil Ahmed Ali</t>
  </si>
  <si>
    <t>دارين جميل احمد علي</t>
  </si>
  <si>
    <t>Supply Chain Coordinator</t>
  </si>
  <si>
    <t>Ahmed Ossama Saad Zaghlol Said Fahmy</t>
  </si>
  <si>
    <t>احمد اسامه سعد زغلول سيد فهمي</t>
  </si>
  <si>
    <t>Maryam Gamaleldin Nasreldin Elliethy</t>
  </si>
  <si>
    <t>مريم جمال الدين نصر الدين الليثي</t>
  </si>
  <si>
    <t>Marketing Excellence Manager</t>
  </si>
  <si>
    <t>Management</t>
  </si>
  <si>
    <t>Hadier Mohamed Mahmoud ElSayed</t>
  </si>
  <si>
    <t>هدير محمد محمود السيد</t>
  </si>
  <si>
    <t>Ahmed ElSayed AbdelAal Hassanin</t>
  </si>
  <si>
    <t>احمد السيد عبدالعال حسنين</t>
  </si>
  <si>
    <t>Magi Talaat Fawzy Khela</t>
  </si>
  <si>
    <t>ماجى طلعت فوزى خله</t>
  </si>
  <si>
    <t>Randa Eshak Habib AbdelMalak</t>
  </si>
  <si>
    <t>راندا اسحاق حبيب عبدالملاك</t>
  </si>
  <si>
    <t>Mohamed Abdullah Ali Hassan</t>
  </si>
  <si>
    <t>محمد عبدالله علي حسن</t>
  </si>
  <si>
    <t>Dispensing Technician</t>
  </si>
  <si>
    <t>Ahmed Mohamed Mahmoud AbdelGhafar</t>
  </si>
  <si>
    <t>أحمد محمد محمود عبد الغفار</t>
  </si>
  <si>
    <t>Liquid Preparation Technician</t>
  </si>
  <si>
    <t>Mohamed Abd ElAzim Hussien Abdullah</t>
  </si>
  <si>
    <t>محمد عبد العظيم حسين عبد الله</t>
  </si>
  <si>
    <t>Shaymaa Adel Ahmed Abdrabboh</t>
  </si>
  <si>
    <t>شيماء عادل احمد عبد ربه</t>
  </si>
  <si>
    <t>Mohamed AbdelAzim Sabry Ismail</t>
  </si>
  <si>
    <t>محمد عبد العظيم صبري اسماعيل</t>
  </si>
  <si>
    <t>Utilities Section Head</t>
  </si>
  <si>
    <t>Ahmed Mohamed Ahmed Ali</t>
  </si>
  <si>
    <t>أحمد محمد أحمد علي</t>
  </si>
  <si>
    <t>Islam ElSayed Mohamed Mohamed Abd ElRahman</t>
  </si>
  <si>
    <t>اسلام السيد محمد محمد عبدالرحمن</t>
  </si>
  <si>
    <t>Mohamed Mohamed Kamel Shaarawy</t>
  </si>
  <si>
    <t>محمد محمد كامل شعراوي</t>
  </si>
  <si>
    <t>Microbiology Technician</t>
  </si>
  <si>
    <t>Asmaa Ibrahim Menshawy Kandil</t>
  </si>
  <si>
    <t>اسماء ابراهيم منشاوى قنديل</t>
  </si>
  <si>
    <t>Norhan Hassan Mostafa Hassan</t>
  </si>
  <si>
    <t>نورهان حسن مصطفى حسن</t>
  </si>
  <si>
    <t>Mirna Samer Samy Labib</t>
  </si>
  <si>
    <t>ميرنا سمير سامى لبيب</t>
  </si>
  <si>
    <t>Gamal Mohamed ElSaeed Mohamed</t>
  </si>
  <si>
    <t>جمال محمد السعيد محمد</t>
  </si>
  <si>
    <t>Mirna Abd ElMesih Saad Hana</t>
  </si>
  <si>
    <t>ميرنا عبد المسيح سعد حنا</t>
  </si>
  <si>
    <t>Mohamed Ahmed Abd ElHalim Sakr</t>
  </si>
  <si>
    <t>محمد احمد عبد الحليم صقر</t>
  </si>
  <si>
    <t>Hosny Mohamed Korny Abd Elatief</t>
  </si>
  <si>
    <t>حسنى محمد قورنى عبد اللطيف</t>
  </si>
  <si>
    <t>Mohamed Talaat Bakr AbdelSalam</t>
  </si>
  <si>
    <t>محمد طلعت بكر عبد السلام</t>
  </si>
  <si>
    <t>Farha ElSaeed Mohamed Ghoniem</t>
  </si>
  <si>
    <t>فرحه السعيد محمد غنيم</t>
  </si>
  <si>
    <t>Mostafa Karam Farouk AbdelAziz</t>
  </si>
  <si>
    <t>مصطفى كرم فاروق عبد العزيز</t>
  </si>
  <si>
    <t>Mohamed AbdelAala Mahmoud ElSayed</t>
  </si>
  <si>
    <t>محمد عبد الاعلا محمود السيد</t>
  </si>
  <si>
    <t>George Antwan Attallah Hanna Boles</t>
  </si>
  <si>
    <t>جورج انطوان عطا الله حنا بولص</t>
  </si>
  <si>
    <t>Shaza Mohamed Abd ElMaged ElSayed Azab</t>
  </si>
  <si>
    <t>شذا محمد عبد المجيد السيد عزب</t>
  </si>
  <si>
    <t>Amira Mahmoud AbdelAal Ahmed</t>
  </si>
  <si>
    <t>اميره محمود عبد العال احمد</t>
  </si>
  <si>
    <t>Mostafa Khaled Mohamed Mohamed</t>
  </si>
  <si>
    <t>مصطفى خالد محمد محمد</t>
  </si>
  <si>
    <t>Salwa ElSayed Mahmoud Ibrahim ElAdl Shaaban</t>
  </si>
  <si>
    <t>سلوى السيد محمود ابراهيم العدل شعبان</t>
  </si>
  <si>
    <t>Ramy Fikry Hafez Mohamed Alhoriny</t>
  </si>
  <si>
    <t>رامى فكرى حافظ محمد الهورينى</t>
  </si>
  <si>
    <t>Sara Mamdouh Mohamed Sadek</t>
  </si>
  <si>
    <t>ساره ممدوح محمد صادق</t>
  </si>
  <si>
    <t>Tamer Adel Saad AlBardan</t>
  </si>
  <si>
    <t>تامر عادل سعد البردان</t>
  </si>
  <si>
    <t>Mary Samir Atta Samy</t>
  </si>
  <si>
    <t>مارى سمير عطا سامى</t>
  </si>
  <si>
    <t>R&amp;D Specialist</t>
  </si>
  <si>
    <t>Mohamed AbdelFatah Rageh Mousa</t>
  </si>
  <si>
    <t>محمد عبد الفتاح راجح موسى</t>
  </si>
  <si>
    <t>Stability Supervisor</t>
  </si>
  <si>
    <t>Marwan Mohamed Abdel Glil Elsayed</t>
  </si>
  <si>
    <t>مروان محمد عبد الجليل السيد</t>
  </si>
  <si>
    <t>Rana Mohsen Ahmed Temraz</t>
  </si>
  <si>
    <t>رنا محسن احمد تمراز</t>
  </si>
  <si>
    <t>Plant Admin</t>
  </si>
  <si>
    <t>Moataz Ahmed Osman Helmy</t>
  </si>
  <si>
    <t>معتز احمد عثمان حلمى</t>
  </si>
  <si>
    <t>Reda Mamdouh Hussein Salem Mohamed</t>
  </si>
  <si>
    <t>رضا ممدوح حسين سالم محمد</t>
  </si>
  <si>
    <t>Mostafa Mohamed Diab Mohamed Mohamed</t>
  </si>
  <si>
    <t>مصطفى محمد دياب محمد محمد</t>
  </si>
  <si>
    <t>Silvana Nabil Zakaria Georgy</t>
  </si>
  <si>
    <t>سلفانا نبيل زكريا جورجى</t>
  </si>
  <si>
    <t>Ali Hemdan Elfar Oraby</t>
  </si>
  <si>
    <t>على حمدان الفار عرابى</t>
  </si>
  <si>
    <t>Marwa Ramdan Arafa Ahmed</t>
  </si>
  <si>
    <t>مروه رمضان عرفه احمد</t>
  </si>
  <si>
    <t>Youmna Magdy Ahmed Hamdy Radwan</t>
  </si>
  <si>
    <t>يمنى مجدى احمد حمدى رضوان</t>
  </si>
  <si>
    <t>Mohamed Hefny Gouda Mohamed Hefny</t>
  </si>
  <si>
    <t>محمد حفنى جوده محمد حفنى سعيد</t>
  </si>
  <si>
    <t>Marketing Associate</t>
  </si>
  <si>
    <t>OTC</t>
  </si>
  <si>
    <t>Mohamed Ahmed Diaa Mohamed Khaled</t>
  </si>
  <si>
    <t>محمد احمد ضياء محمد خالد</t>
  </si>
  <si>
    <t>Youliana Fouad Shokrallah Shenoda</t>
  </si>
  <si>
    <t>يوليانه فؤاد شكر الله شنوده</t>
  </si>
  <si>
    <t>Nesma Samir Awad Saber</t>
  </si>
  <si>
    <t>نسمه سمير عوض صابر</t>
  </si>
  <si>
    <t>Ahmed Saber Saad Saber</t>
  </si>
  <si>
    <t>احمد صابر سعد صابر</t>
  </si>
  <si>
    <t>Shaimaa Abdel Hady Hebady Eltery</t>
  </si>
  <si>
    <t>شيماء عبد الهادى عبادى الطيرى</t>
  </si>
  <si>
    <t>Ibrahim Mahrous Mohamed Hassan Ahmed</t>
  </si>
  <si>
    <t>ابراهيم محروس محمد حسن احمد السمنودي</t>
  </si>
  <si>
    <t>Nabila Abdelwahab Mohamed Gamal</t>
  </si>
  <si>
    <t>نبيله عبد الوهاب محمد جمال</t>
  </si>
  <si>
    <t>Mohamed Abdel Razek Abdel Azeem Abdel Razek</t>
  </si>
  <si>
    <t>محمد عبد الرازق عبد العظيم عبد الرازق</t>
  </si>
  <si>
    <t>Remon Fayez Ibrahim Abdel Malak</t>
  </si>
  <si>
    <t>ريمون فايز ابراهيم عبدالملاك</t>
  </si>
  <si>
    <t>Mohamed Hassan Moawad Soliman Emmara</t>
  </si>
  <si>
    <t>محمد حسن معوض سليمان عمارة</t>
  </si>
  <si>
    <t>Mohamed Abd ElHalim Taleb ElNagdy</t>
  </si>
  <si>
    <t>محمد عبد الحليم طالب النجدي</t>
  </si>
  <si>
    <t>Maged Ali Abdo Abd ElBaky</t>
  </si>
  <si>
    <t>ماجد على عبده عبد الباقى</t>
  </si>
  <si>
    <t>Ibrahim Ahmed Mohamed Ahmed Barkat</t>
  </si>
  <si>
    <t>ابراهيم احمد محمد احمد بركات</t>
  </si>
  <si>
    <t>Wael Adel Sayed Ahmed Sayed Ahmed</t>
  </si>
  <si>
    <t>وائل عادل سيد أحمد سيد أحمد</t>
  </si>
  <si>
    <t>Sachet Filling Technician</t>
  </si>
  <si>
    <t>Mohamed Sobhy Abd ElAziz Othman</t>
  </si>
  <si>
    <t>محمد صبحى عبد العزيز عثمان</t>
  </si>
  <si>
    <t>Production Assistant Technician</t>
  </si>
  <si>
    <t>Rezka Mohamed Zaki AbdelHamed</t>
  </si>
  <si>
    <t>رزقه محمد زكي عبد الحميد</t>
  </si>
  <si>
    <t>Ammar Abdullah Mokhtar ElFayomi</t>
  </si>
  <si>
    <t>عمار عبدالله مختار الفيومى</t>
  </si>
  <si>
    <t>Mohamed Hassan ElTohamy Omar Ali</t>
  </si>
  <si>
    <t>محمد حسن التهامي عمر علي</t>
  </si>
  <si>
    <t>Treasury Accountant</t>
  </si>
  <si>
    <t>Mahmoud Mohamed Ali Farag</t>
  </si>
  <si>
    <t>محمود محمد علي فراج</t>
  </si>
  <si>
    <t>Costing Section Head</t>
  </si>
  <si>
    <t>Mohamed Abdullah Attia Afify</t>
  </si>
  <si>
    <t>محمد عبدالله عطيه عفيفي</t>
  </si>
  <si>
    <t>Warehouse Manager</t>
  </si>
  <si>
    <t>Shaimaa Adel Mahmoud</t>
  </si>
  <si>
    <t>شيماء عادل محمود الكردى</t>
  </si>
  <si>
    <t>Mohamed Hamdy Ali Atallah</t>
  </si>
  <si>
    <t>محمد حمدى على عطالله</t>
  </si>
  <si>
    <t>Hamssa Mamdouh Mohamed Mowafy</t>
  </si>
  <si>
    <t>همسه ممدوح محمد الموافي</t>
  </si>
  <si>
    <t>Khaled Mohamed Ahmed Mohamed Omran</t>
  </si>
  <si>
    <t>خالد محمد أحمد محمد عمران</t>
  </si>
  <si>
    <t>AbdelRahman Mohamed AboelFetoh Mohamed</t>
  </si>
  <si>
    <t>عبد الرحمن محمد ابو الفتوح محمد محمد</t>
  </si>
  <si>
    <t>Mennatullah Saad Zaki Ahmed Mohamed</t>
  </si>
  <si>
    <t>منه الله سعد زكى احمد محمد</t>
  </si>
  <si>
    <t>Mohamed Shaaban Hassan Abd ElAal</t>
  </si>
  <si>
    <t>محمد شعبان حسن عبد العال</t>
  </si>
  <si>
    <t>Kariman Saad Fattoh Ibrahim</t>
  </si>
  <si>
    <t>كريمان سعد فتوح ابراهيم</t>
  </si>
  <si>
    <t>Maryam Mohamed ElSayed Mosilhy Mohamed</t>
  </si>
  <si>
    <t>مريم محمد السيد صباحى</t>
  </si>
  <si>
    <t>Mohamed Fathy Abd ElAziz Shalaby</t>
  </si>
  <si>
    <t>محمد فتحي عبد العزيز شلبي</t>
  </si>
  <si>
    <t>Acting as Supervisor</t>
  </si>
  <si>
    <t>Manar Magdy Khair Mohamed Abd ElRahman</t>
  </si>
  <si>
    <t>منار مجدي خير محمد عبد الرحمن</t>
  </si>
  <si>
    <t>Mina Gerges ElDabaa Abd ElMalak</t>
  </si>
  <si>
    <t>مينا جرجس الضبع عبد الملاك</t>
  </si>
  <si>
    <t>Christina Ashraf Samy Ishak</t>
  </si>
  <si>
    <t>كرستينا أشرف سامي اسحق</t>
  </si>
  <si>
    <t>Sandy Nashaat Fahim Soliman</t>
  </si>
  <si>
    <t>ساندى نشأت فهيم سليمان</t>
  </si>
  <si>
    <t>Nada Mohamed Abd ElGhany Ali Shoman</t>
  </si>
  <si>
    <t>ندى محمد عبد الغنى على شومان</t>
  </si>
  <si>
    <t>Mohamed Tharwat Mahmoud Fekry</t>
  </si>
  <si>
    <t>محمد ثروت محمود فكرى</t>
  </si>
  <si>
    <t>Asmaa Talaat Ali Mohamed</t>
  </si>
  <si>
    <t>اسماء طلعت على محمد</t>
  </si>
  <si>
    <t>Radwa Yasser Ali ElHamamsy</t>
  </si>
  <si>
    <t>رضوى ياسر على الحمامصى</t>
  </si>
  <si>
    <t>Manar Mahmoud Mohamed Abd ElMotelb</t>
  </si>
  <si>
    <t>منار محمود محمد عبد المطلب</t>
  </si>
  <si>
    <t>Heba Mohamed Hussien Abd ElRahman</t>
  </si>
  <si>
    <t>هبه محمد حسين عبد الرحمن</t>
  </si>
  <si>
    <t>Ramez Refaat Monier Londy</t>
  </si>
  <si>
    <t>رامز رفعت منير لوندي</t>
  </si>
  <si>
    <t>Asmaa Samir Emara Abd ElNaby Shaltot</t>
  </si>
  <si>
    <t>أسماء سمير عماره عبد البني شلتوت</t>
  </si>
  <si>
    <t>Shaimaa Ahmed Fouad Zaki Abd ElRAzek</t>
  </si>
  <si>
    <t>شيماء أحمد فؤاد زكي عبد الرازق</t>
  </si>
  <si>
    <t>Islam Hamdy Ibrahim Hafez</t>
  </si>
  <si>
    <t>اسلام حمدي ابراهيم حافظ</t>
  </si>
  <si>
    <t>Alaa Arafa Mohamed Ismaiel Abd ElRazek</t>
  </si>
  <si>
    <t>الاء عرفه محمد اسماعيل عبد الرازق</t>
  </si>
  <si>
    <t>Moatasem Ahmed Mahmoud Labib</t>
  </si>
  <si>
    <t>معتصم احمد محمود لبيب</t>
  </si>
  <si>
    <t>Emad Gamal Abbas ElSayed</t>
  </si>
  <si>
    <t>عماد جمال عباس السيد</t>
  </si>
  <si>
    <t>Dina Nabil Labib Mikhaiel</t>
  </si>
  <si>
    <t>دينا نبيل لبيب ميخائيل</t>
  </si>
  <si>
    <t>Hesham Mohamed Elnageeb fahim Diab</t>
  </si>
  <si>
    <t>هشام محمد النجيب فهيم دياب</t>
  </si>
  <si>
    <t>Accounting Manager</t>
  </si>
  <si>
    <t>Ahmed Abdel Aziz Abdel Monem Mohamed</t>
  </si>
  <si>
    <t>احمد عبد العزيز عبد المنعم محمد</t>
  </si>
  <si>
    <t>HSE Section Head</t>
  </si>
  <si>
    <t>Mahmoud ElSayed Mohamed Mahmoud</t>
  </si>
  <si>
    <t>محمود السيد محمد محمود</t>
  </si>
  <si>
    <t>maintenance@future-eg.com</t>
  </si>
  <si>
    <t>Abdel Rahman Elsayed Ahmed Mahmoud</t>
  </si>
  <si>
    <t>عبد الرحمن السيد احمد محمود</t>
  </si>
  <si>
    <t>Distribution Section Head</t>
  </si>
  <si>
    <t>Naglaa Fathy Salah Elsayed</t>
  </si>
  <si>
    <t>نجلاء فتحى صلاح السيد</t>
  </si>
  <si>
    <t>Mostafa Mahmoud Saadallah Ahmed</t>
  </si>
  <si>
    <t>مصطفى محمود سعدالله احمد</t>
  </si>
  <si>
    <t>QA Compliance Senior officer</t>
  </si>
  <si>
    <t>Moamen Ahmed Elrefaey Mohamed Mohamed Hassona</t>
  </si>
  <si>
    <t>مؤمن احمد الرفاعى محمد محمد حسونه</t>
  </si>
  <si>
    <t>Fady Saad Gerges Saad Ghobrial</t>
  </si>
  <si>
    <t>فادى سعد جرجس سعد غبريال</t>
  </si>
  <si>
    <t>Gerges Nagy Adly Samouael</t>
  </si>
  <si>
    <t>جرجس ناجى عدلى صموئيل</t>
  </si>
  <si>
    <t>Amira Mohamed Hassan Eliwa</t>
  </si>
  <si>
    <t>اميره محمد حسن عليوه</t>
  </si>
  <si>
    <t>Mohamed Medhat Emam Soliman</t>
  </si>
  <si>
    <t>محمد مدحت امام سليمان</t>
  </si>
  <si>
    <t>Mohamed Anter Mohamed Ibrahim</t>
  </si>
  <si>
    <t>محمد عنتر محمد ابراهيم خليفه</t>
  </si>
  <si>
    <t>Nada Hossam El-Din Mahmoud</t>
  </si>
  <si>
    <t>ندا حسام الدين محمود حجاج</t>
  </si>
  <si>
    <t>Ahmed Ali Abd ElRehem Saad</t>
  </si>
  <si>
    <t>احمد على عبد الرحيم سعد</t>
  </si>
  <si>
    <t>Mohamed Refaat Abd El-Bar Ibrahim</t>
  </si>
  <si>
    <t>محمد رفعت عبد البر ابراهيم</t>
  </si>
  <si>
    <t>Zainab Ahmed Abd ElRahman Ali Eliwa</t>
  </si>
  <si>
    <t>زينب احمد عبد الرحمن على عليوه</t>
  </si>
  <si>
    <t>Islam Mohamed Galal Mohamed Ahmed</t>
  </si>
  <si>
    <t>اسلام محمد جلال محمد احمد</t>
  </si>
  <si>
    <t>Bassem Mohamed Abd El-Latif</t>
  </si>
  <si>
    <t>باسم محمد عبد اللطيف عوض الله</t>
  </si>
  <si>
    <t>Amgad Waheed Said Mohamed</t>
  </si>
  <si>
    <t>أمجد وحيد سعيد محمد مطر</t>
  </si>
  <si>
    <t>Mohamed Gad ElSayed Sherif Selim</t>
  </si>
  <si>
    <t>محمد جاد السيد شريف سليم</t>
  </si>
  <si>
    <t>Rania Atef Ezzat Abbas</t>
  </si>
  <si>
    <t>رانيا عاطف عزت عباس</t>
  </si>
  <si>
    <t>Fathy Saeed Mohamed Slawy</t>
  </si>
  <si>
    <t>فتحي سعيد محمد سلاوي</t>
  </si>
  <si>
    <t>laundry technician</t>
  </si>
  <si>
    <t>Mahmoud Mahdy Mohamed AbdelHamed</t>
  </si>
  <si>
    <t>محمود مهدى محمد عبد الحميد</t>
  </si>
  <si>
    <t>Operational Quality Manager</t>
  </si>
  <si>
    <t>Mariam Khaled Abdel Aziz</t>
  </si>
  <si>
    <t>مريم خالد عبد العزيز</t>
  </si>
  <si>
    <t>Hesham Hashim Mohamed Elsayed</t>
  </si>
  <si>
    <t>هشام هاشم محمد السيد</t>
  </si>
  <si>
    <t>Sherif Mohamed Mustafa Ibrahim</t>
  </si>
  <si>
    <t>شريف محمد مصطفى ابراهيم</t>
  </si>
  <si>
    <t>Export Manager</t>
  </si>
  <si>
    <t>Poulis Salama Matta Ibrahim</t>
  </si>
  <si>
    <t>بولس سلامه متي ابراهيم</t>
  </si>
  <si>
    <t>Saad Mohamed Saad Agha</t>
  </si>
  <si>
    <t>سعد محمد سعد اغا</t>
  </si>
  <si>
    <t>Ahmed Abo Halawa Abo Bakr Ahmed</t>
  </si>
  <si>
    <t>احمد ابوحلاوه ابوبكر احمد</t>
  </si>
  <si>
    <t>Sahar Salah Attia Mohamed Selim</t>
  </si>
  <si>
    <t>سحر صلاح عطيه محمد سليم</t>
  </si>
  <si>
    <t>Mohamed Hassan Abd ElFatah Mohamed</t>
  </si>
  <si>
    <t>محمد حسن عبد الفتاح محمد</t>
  </si>
  <si>
    <t>Mostafa Ibrahim Ashour Zidan</t>
  </si>
  <si>
    <t>مصطفي ابراهيم عاشور زيدان</t>
  </si>
  <si>
    <t>Hassan Attia Mohamed Attia</t>
  </si>
  <si>
    <t>حسن عطيه محمد عطيه</t>
  </si>
  <si>
    <t>Senior Technician</t>
  </si>
  <si>
    <t>HSE</t>
  </si>
  <si>
    <t>Karim Meshref Mohamed Abd El Wahab</t>
  </si>
  <si>
    <t>كريم مشرف محمد عبد الوهاب</t>
  </si>
  <si>
    <t>Formulation Senior Specialist</t>
  </si>
  <si>
    <t>Mohamed Maher Mahmoud Mostafa</t>
  </si>
  <si>
    <t>محمد ماهر محمود مصطفي سرور</t>
  </si>
  <si>
    <t>Blistering Technician</t>
  </si>
  <si>
    <t>Mohamed Salah Mohamed Mousa</t>
  </si>
  <si>
    <t>محمد صلاح محمد موسي</t>
  </si>
  <si>
    <t>Mohamed Ashmawy AbdelRahman Hassan</t>
  </si>
  <si>
    <t>محمد عشماوي عبد الرحمن حسن</t>
  </si>
  <si>
    <t>Compliance &amp; Internal Audit Manager</t>
  </si>
  <si>
    <t>Internal Audit</t>
  </si>
  <si>
    <t>Mohamed Ismaiel Sayed Mostafa</t>
  </si>
  <si>
    <t>محمد اسماعيل سيد مصطفي</t>
  </si>
  <si>
    <t>Mahmoud ElSayed Mahmoud ElBasiony</t>
  </si>
  <si>
    <t>محمود السيد محمود البسيطي</t>
  </si>
  <si>
    <t>Neveen AbdelHameed AbdelBaky Hassan</t>
  </si>
  <si>
    <t>نفين عبد الحميد عبد الباقي حسن</t>
  </si>
  <si>
    <t>Esraa Abd ElHameed Mahmoud ElSayed Mahmoud</t>
  </si>
  <si>
    <t>اسراء عبد الحميد محمود السيد محمود</t>
  </si>
  <si>
    <t>Engy Khalil Ibrahim Gergis</t>
  </si>
  <si>
    <t>انجي خليل ابراهيم جرجس</t>
  </si>
  <si>
    <t>Mohamed Ali AbdelGhany Ali</t>
  </si>
  <si>
    <t>محمد علي عبد الغني علي</t>
  </si>
  <si>
    <t>Moataz Bellah Mahmoud Ahmed Ahmed</t>
  </si>
  <si>
    <t>معتز بالله محمود احمد احمد</t>
  </si>
  <si>
    <t>Ahmed Mohamed Hassan Hassan Rezk</t>
  </si>
  <si>
    <t>احمد محمد حسن حسن رزق</t>
  </si>
  <si>
    <t>Mina Samy Saad Nakhla</t>
  </si>
  <si>
    <t>مينا سامي سعد نخله</t>
  </si>
  <si>
    <t>Joseph Talaat Aziz Samaan</t>
  </si>
  <si>
    <t>جوزيف طلعت عزيز سمعان</t>
  </si>
  <si>
    <t>Mohamed Gamal Gaber Shaaban</t>
  </si>
  <si>
    <t>محمد جمال جابر شعبان</t>
  </si>
  <si>
    <t>BU6</t>
  </si>
  <si>
    <t>Ossama Ahmed Meligy Dawa</t>
  </si>
  <si>
    <t>اسامة احمد مليجي ضوه</t>
  </si>
  <si>
    <t>Mohamed Bakr Abd ElNabi Abdullah</t>
  </si>
  <si>
    <t>محمد بكر عبد النبي عبد الله</t>
  </si>
  <si>
    <t>Accountant</t>
  </si>
  <si>
    <t>Abd ElMohsen Gamil Gharieb Metwaly ELGazar</t>
  </si>
  <si>
    <t>عبد المحسن جميل غريب متولي الجزار</t>
  </si>
  <si>
    <t>HebatAllah Ahmed Tolba Gad Hawaig</t>
  </si>
  <si>
    <t>هبة الله أحمد طلبة جاد حويج</t>
  </si>
  <si>
    <t>Emad Eissa Azer Saeed</t>
  </si>
  <si>
    <t>عماد عيسى عازر سعيد</t>
  </si>
  <si>
    <t>Haytham Mohamed Marouf Ahmed</t>
  </si>
  <si>
    <t>هيثم محمد معروف احمد</t>
  </si>
  <si>
    <t>Iman Mostafa Badawy Mohamed</t>
  </si>
  <si>
    <t>ايمان مصطفى بدوي محمد</t>
  </si>
  <si>
    <t>Ahmed Mohamed Abd ElWahab Mohamed</t>
  </si>
  <si>
    <t>احمد محمد عبد الوهاب محمد</t>
  </si>
  <si>
    <t>Aya Mohamed Abd ElSalam Mahmoud</t>
  </si>
  <si>
    <t>آية محمد عبد السلام محمود</t>
  </si>
  <si>
    <t>Mahmoud Mohamed Abdel Monaem Mustafa</t>
  </si>
  <si>
    <t>محمود محمد عبد المنعم مصطفى</t>
  </si>
  <si>
    <t>Mohamed Ibrahim AbdelMoamen AbdelFatah</t>
  </si>
  <si>
    <t>محمد ابراهيم عبد المؤمن عبد الفتاح</t>
  </si>
  <si>
    <t>Validation Deputy Manager</t>
  </si>
  <si>
    <t>Bahaa ElSayed Mohamed Eissawy</t>
  </si>
  <si>
    <t>بهاء السيد محمد عيسوي</t>
  </si>
  <si>
    <t>Ahmed Abouzaied Mohamed Mohamed Saad</t>
  </si>
  <si>
    <t>احمد ابو زيد محمد محمد سعد</t>
  </si>
  <si>
    <t>Ayman Mahdy Hussien Salem</t>
  </si>
  <si>
    <t>أيمن مهدى حسين سالم</t>
  </si>
  <si>
    <t>Moshera Mahmoud AbdelHaliem AbdelNaby</t>
  </si>
  <si>
    <t>مشيره محمود عبد الحليم عبد النبي</t>
  </si>
  <si>
    <t>Leaflet Folding Technician</t>
  </si>
  <si>
    <t>Asmaa Mohamed AbdelAziz Mohamed</t>
  </si>
  <si>
    <t>اسماء محمد عبد العزيز محمد</t>
  </si>
  <si>
    <t>Amira Morsy Ali Mohamed</t>
  </si>
  <si>
    <t>أميرة مرسي علي محمد</t>
  </si>
  <si>
    <t>Abdel Monaem Ahmed Abdel Monaem Ahmed Abdullah</t>
  </si>
  <si>
    <t>عبد المنعم احمد عبد المنعم احمد عبدالله</t>
  </si>
  <si>
    <t>Ahmed Wagih ElSayed Mahmoud</t>
  </si>
  <si>
    <t>أحمد وجيه السيد محمود</t>
  </si>
  <si>
    <t>Eman Ibrahim Abdel Ghafar Ibrahim</t>
  </si>
  <si>
    <t>ايمان ابراهيم عبد الغفار ابراهيم</t>
  </si>
  <si>
    <t>Mahmoud Hosny ElSayed Mahmoud</t>
  </si>
  <si>
    <t>محمود حسني السيد محمود</t>
  </si>
  <si>
    <t>ERP Coordinator</t>
  </si>
  <si>
    <t>Jilan Mostafa Abdel Monaem ElWakel</t>
  </si>
  <si>
    <t>جيلان مصطفى عبد المنعم الوكيل</t>
  </si>
  <si>
    <t>Act as Export RA Supervisor</t>
  </si>
  <si>
    <t>Ibrahim Mohamed Ibrahim ElDemshehy</t>
  </si>
  <si>
    <t>ابراهيم محمد ابراهيم الدمشيهي</t>
  </si>
  <si>
    <t>Michael Reda Fared Bendy</t>
  </si>
  <si>
    <t>مايكل رضا فريد بندي</t>
  </si>
  <si>
    <t>Mohamed Adel Mahmoud Abdel Aziz</t>
  </si>
  <si>
    <t>محمد عادل محمود عبد العزيز</t>
  </si>
  <si>
    <t>Safwa Abu ElKasem Ahmed Mohamed</t>
  </si>
  <si>
    <t>صفوى ابو القاسم احمد محمد</t>
  </si>
  <si>
    <t>Adel Rasmy Morred Georgy</t>
  </si>
  <si>
    <t>عادل رسمى مريد جورجي</t>
  </si>
  <si>
    <t>Hadiel Mamdouh Abdel Muetamad</t>
  </si>
  <si>
    <t>هديل ممدوح عبد المعتمد</t>
  </si>
  <si>
    <t>Mostafa Hussien Fetory Abdullah</t>
  </si>
  <si>
    <t>مصطفى حسين فتوري عبد الله</t>
  </si>
  <si>
    <t>Ahmed ElSayed Ragheb Abu Gabal</t>
  </si>
  <si>
    <t>احمد السيد راغب ابو جبل</t>
  </si>
  <si>
    <t>Mary Wahba Fayek Wahba</t>
  </si>
  <si>
    <t>ماري وهبة فايق وهبة</t>
  </si>
  <si>
    <t>Ibrahim Hassan Mohamed Ibrahim</t>
  </si>
  <si>
    <t>ابراهيم حسن محمد ابراهيم</t>
  </si>
  <si>
    <t>Salah-ElDin Ismaiel Mohamed Ali Soultan</t>
  </si>
  <si>
    <t>صلاح الدين اسماعيل محمد علي سلطان</t>
  </si>
  <si>
    <t>Mahmoud Gamil Mohamed ElSayed Ibrahim</t>
  </si>
  <si>
    <t>محمود جميل محمد السيد إبراهيم</t>
  </si>
  <si>
    <t>Warehouse Technician</t>
  </si>
  <si>
    <t>Ahmed Mazen Ahmed Reda AbdelHamed</t>
  </si>
  <si>
    <t>أحمد مازن أحمد رضا عبد الحميد</t>
  </si>
  <si>
    <t>Methodology Supervisor</t>
  </si>
  <si>
    <t>Omar Magdy Refaat Hafez</t>
  </si>
  <si>
    <t>عمر مجدي رفعت حافظ</t>
  </si>
  <si>
    <t>Fpi Formualtion Deputy Manager</t>
  </si>
  <si>
    <t>Ibrahim Ossama Ibrahim Mohamed Abo ElMaaty</t>
  </si>
  <si>
    <t>ابراهيم اسامة ابراهيم محمد ابو المعاطى</t>
  </si>
  <si>
    <t>Rawan Mohamed Abdo Soliman</t>
  </si>
  <si>
    <t>روان محمد عبده سليمان</t>
  </si>
  <si>
    <t>Azza Abd ElNaeem Mahmoud Ali Saad</t>
  </si>
  <si>
    <t>عزة عبد النعيم محمود علي سعد</t>
  </si>
  <si>
    <t>Wesal Sameih Abo ElYazid ElSabry</t>
  </si>
  <si>
    <t>وصال سميح أبو اليزيد الصبري</t>
  </si>
  <si>
    <t>Mohamed Kamal Shalaby Mohamed Attwa</t>
  </si>
  <si>
    <t>محمد كمال شلبى محمد عطوة</t>
  </si>
  <si>
    <t>Salma AbdelNafee Abdullah AbdelAal</t>
  </si>
  <si>
    <t>سلمى عبد النافع عبد الله عبد العال</t>
  </si>
  <si>
    <t>Magdy Shaaban Mohamed Mohamed</t>
  </si>
  <si>
    <t>مجدي شعبان محمد محمد</t>
  </si>
  <si>
    <t>HSE Specialist</t>
  </si>
  <si>
    <t>Zinab Mahmoud Metwaly Mohamed</t>
  </si>
  <si>
    <t>زينب محمود متولي محمد</t>
  </si>
  <si>
    <t>Production line Supervisor</t>
  </si>
  <si>
    <t>Ibrahim Hassan ElSayed Ibrahim Al Azazi</t>
  </si>
  <si>
    <t>إبراهيم حسن السيد إبراهيم العزازى</t>
  </si>
  <si>
    <t>Finished Products Supervisor</t>
  </si>
  <si>
    <t>Ahmed Samy Abd ElMonaem Mohamed</t>
  </si>
  <si>
    <t>احمد سامي عبد المنعم محمد</t>
  </si>
  <si>
    <t>Bassam Khalaf Nakib Shalkamy</t>
  </si>
  <si>
    <t>بسام خلف نقيب شلقامى</t>
  </si>
  <si>
    <t>AlShaimaa Ahmed Hassan Mohamed</t>
  </si>
  <si>
    <t>الشيماء احمد حسن محمد</t>
  </si>
  <si>
    <t>Mohamed Abd AlHamed Mohamed Hussien Ali</t>
  </si>
  <si>
    <t>محمد عبد الحميد محمد حسين علي</t>
  </si>
  <si>
    <t>Fady Safwat William Zakhary</t>
  </si>
  <si>
    <t>فادى صفوت وليم زخارى</t>
  </si>
  <si>
    <t>Nourhan Farouk Abd ElFatah Sadek Saad</t>
  </si>
  <si>
    <t>نورهان فاروق عبد الفتاح صادق سعد</t>
  </si>
  <si>
    <t>Esraa Fouad Ahmed Orabi</t>
  </si>
  <si>
    <t>اسراء فؤاد احمد عرابى</t>
  </si>
  <si>
    <t>Marwa Mamdouh Mostafa Mosaad Gabr</t>
  </si>
  <si>
    <t>مروى ممدوح مصطفى مسعد جبر</t>
  </si>
  <si>
    <t>Ahmed Ali Ahmed ElSayed Ali</t>
  </si>
  <si>
    <t>احمد علي احمد السيد علي</t>
  </si>
  <si>
    <t>Mina Mohsen Mouris Boshra</t>
  </si>
  <si>
    <t>مينا محسن موريس بشرى</t>
  </si>
  <si>
    <t>Mohamed AlHussien Mohamed ElAnwar</t>
  </si>
  <si>
    <t>محمد الحسين محمد الأنوار</t>
  </si>
  <si>
    <t>Nourhan Ahmed Mahmoud Ahmed</t>
  </si>
  <si>
    <t>نورهان احمد محمود احمد</t>
  </si>
  <si>
    <t>Hussien Abd AlRahman AlSbaaey Abd AlWahed</t>
  </si>
  <si>
    <t>حسين عبد الرحمن السبيعي عبد الواحد</t>
  </si>
  <si>
    <t>Fadwa mohamed Fatoh Moahmed Omar</t>
  </si>
  <si>
    <t>فدوى محمد فتوح محمد عمر</t>
  </si>
  <si>
    <t>Somia Madian Ibrahim Mohamed</t>
  </si>
  <si>
    <t>سمية مدين إبراهيم محمد</t>
  </si>
  <si>
    <t>CRM Senior Specialist</t>
  </si>
  <si>
    <t>Ahmed AbdelMegied Mohamed AbdelSamiea</t>
  </si>
  <si>
    <t>أحمد عبد المجيد محمد عبد السميع</t>
  </si>
  <si>
    <t>Walaa Arafa AlDesoki Abdo</t>
  </si>
  <si>
    <t>ولاء عرفه الدسوقى عبده</t>
  </si>
  <si>
    <t>Acting as Regulatory Affairs Manager</t>
  </si>
  <si>
    <t>reg5@future-eg.com</t>
  </si>
  <si>
    <t>Hadeer Ali Abd ElAziz Ali Eissa</t>
  </si>
  <si>
    <t>هدير علي عبد العزيز علي عيسى</t>
  </si>
  <si>
    <t>Mina Safwat Saad Zaki</t>
  </si>
  <si>
    <t>مينا صفوت سعد زكي</t>
  </si>
  <si>
    <t>Ramy Zakria Yousef Habib</t>
  </si>
  <si>
    <t>رامى زكريا يوسف حبيب</t>
  </si>
  <si>
    <t>Rehab Mohamed Abd ElHady Abd ElRazek</t>
  </si>
  <si>
    <t>رحاب محمد عبد الهادى عبد الرازق</t>
  </si>
  <si>
    <t>Mohamed Hassan Taha Mohamed</t>
  </si>
  <si>
    <t>محمد حسن طه محمد</t>
  </si>
  <si>
    <t>Hossam Mohamed Farag Mohamed Ahmed</t>
  </si>
  <si>
    <t>حسام محمد فرج محمد احمد</t>
  </si>
  <si>
    <t>Marian Rashad Mikhaiel Fileps</t>
  </si>
  <si>
    <t>ماريان رشاد ميخائيل فيليبس</t>
  </si>
  <si>
    <t>Marina Saber Rashed Shahat</t>
  </si>
  <si>
    <t>مارينا صابر راشد شحات</t>
  </si>
  <si>
    <t>Hossam Hassanin Mohamed Hassanin</t>
  </si>
  <si>
    <t>حسام حسنين محمد حسنين</t>
  </si>
  <si>
    <t>Mohamed Hamdy Mohamed Abo Sena</t>
  </si>
  <si>
    <t>محمد حمدى محمد ابو سينا</t>
  </si>
  <si>
    <t>Ahmed Mohamed Abd ElFatah Saad</t>
  </si>
  <si>
    <t>احمد محمد عبد الفتاح سعد</t>
  </si>
  <si>
    <t>Esraa Ramzy Abd ElRehim ElSisi</t>
  </si>
  <si>
    <t>اسراء رمزي عبد الرحيم السيسي</t>
  </si>
  <si>
    <t>Momen Mohamed Abo AlMagd Ali</t>
  </si>
  <si>
    <t>مؤمن محمد أبو المجد على</t>
  </si>
  <si>
    <t>Gihad Fathy Mahmoud ElSayed Khalil</t>
  </si>
  <si>
    <t>جهاد فتحي محمود السيد خليل</t>
  </si>
  <si>
    <t>Maya Mohamed Ragab Mohamed</t>
  </si>
  <si>
    <t>مايا محمد رجب محمد</t>
  </si>
  <si>
    <t>Martina Fayek Rashed Dryas</t>
  </si>
  <si>
    <t>مارتينا فايق راشد درياس</t>
  </si>
  <si>
    <t>Senior HR Specialist</t>
  </si>
  <si>
    <t>Mohamed Ibrahim Saeed Mostafa ElSeginy</t>
  </si>
  <si>
    <t>محمد ابراهيم سعيد مصطفى السجيني</t>
  </si>
  <si>
    <t>Rahma Gamal Hamed Mohamed Ahmed</t>
  </si>
  <si>
    <t>رحمة جمال حامد محمد احمد</t>
  </si>
  <si>
    <t>Asmaa Mosaad Ramadan Mohamed Saleh</t>
  </si>
  <si>
    <t>أسماء مسعد رمضان محمد صالح</t>
  </si>
  <si>
    <t>Hadier Salah Abd ElKader Mohamed</t>
  </si>
  <si>
    <t>هدير صلاح عبد القادر محمد</t>
  </si>
  <si>
    <t>Aya Abd ElSalam El GHamry El Sayed El Ghamry</t>
  </si>
  <si>
    <t>ايه عبد السلام الغمرى السيد الغمرى</t>
  </si>
  <si>
    <t>Kerellos Wagih Samouel Yakoub</t>
  </si>
  <si>
    <t>كيرلس وجيه صموئيل يعقوب</t>
  </si>
  <si>
    <t>Maha Magdy AbdelSalam Mahmoud Farag</t>
  </si>
  <si>
    <t>مها مجدى عبد السلام محمود فرج</t>
  </si>
  <si>
    <t>Mariana Gamal Habib Bekhit</t>
  </si>
  <si>
    <t>ماريانا جمال حبيب بخيت</t>
  </si>
  <si>
    <t>Reem Ahmed AbdelMegied AbdelWarith</t>
  </si>
  <si>
    <t>ريم احمد عبد الحميد عبد الوراث</t>
  </si>
  <si>
    <t>Sherin Ali Alaa ElDin ElSayed Hasan ElKady</t>
  </si>
  <si>
    <t>شيرين على علاء الدين السيد حسن القاضي</t>
  </si>
  <si>
    <t>Eslam Mohamed Mohamed ElSayed Shwikh</t>
  </si>
  <si>
    <t>اسلام محمد محمد السيد شويخ</t>
  </si>
  <si>
    <t>Finished product Supervisor</t>
  </si>
  <si>
    <t>Mohamed Yossef Omar Hassab ElNaby</t>
  </si>
  <si>
    <t>محمد يوسف عمر حسب النبى</t>
  </si>
  <si>
    <t>Acting As Chief Accountant</t>
  </si>
  <si>
    <t>M.Youssef@future-eg.com</t>
  </si>
  <si>
    <t>Hatem Mohamed Hamed Mohamed Rezk</t>
  </si>
  <si>
    <t>حاتم محمد حامد محمد رزق</t>
  </si>
  <si>
    <t>Esraa Mohamed Ahmed Mostafa Saief</t>
  </si>
  <si>
    <t>إسراء محمد احمد مصطفى سيف</t>
  </si>
  <si>
    <t>Mahmoud ElSayed Mahmoud Mohamed</t>
  </si>
  <si>
    <t>محمود السيد محمود محمد</t>
  </si>
  <si>
    <t>Khaled Mohamed Ali Youssef</t>
  </si>
  <si>
    <t>خالد محمد على يوسف</t>
  </si>
  <si>
    <t>Sara Mohamed Hussien Hamouda Ahmed</t>
  </si>
  <si>
    <t>ساره محمد حسين حموده احمد</t>
  </si>
  <si>
    <t>Kawthar Gamal Fathy AlFalal</t>
  </si>
  <si>
    <t>كوثر جمال فتحى الفلال</t>
  </si>
  <si>
    <t>Androw Fahmy Hanin Tadros</t>
  </si>
  <si>
    <t>اندرو فهمى حنين تادرس</t>
  </si>
  <si>
    <t>Michel Mamdouh Milad Gress</t>
  </si>
  <si>
    <t>مايكل ممدوح ميلاد جريس</t>
  </si>
  <si>
    <t>Mohamed Gamaleldin Nasreldin Ellithy</t>
  </si>
  <si>
    <t>محمد جمال الدين نصر الدين الليثى</t>
  </si>
  <si>
    <t>CTO&amp; Future Pro Project Manager</t>
  </si>
  <si>
    <t>Mahmoud Khaled Mahmoud Atwy</t>
  </si>
  <si>
    <t>محمود خالد محمود عطوى</t>
  </si>
  <si>
    <t>Senior Production Pharmacist</t>
  </si>
  <si>
    <t>Ahmed Mohamed Ezzy Saeed Habashy</t>
  </si>
  <si>
    <t>احمد محمد عزى سعيد حبشى</t>
  </si>
  <si>
    <t>Ahmed Mohamed Said Zaki</t>
  </si>
  <si>
    <t>احمد محمد سعيد ذكى</t>
  </si>
  <si>
    <t>Preparation Technician</t>
  </si>
  <si>
    <t>Amira Mohamed</t>
  </si>
  <si>
    <t>أميره محمد عبد الحميد</t>
  </si>
  <si>
    <t>Packaging Operator</t>
  </si>
  <si>
    <t>Hader Mohamed Ibrahim</t>
  </si>
  <si>
    <t>هدير محمد ابراهيم خليل</t>
  </si>
  <si>
    <t>Sara ElSayed AbdelMonaem Zoied</t>
  </si>
  <si>
    <t>ساره السيد عبد المنعم زويد</t>
  </si>
  <si>
    <t>Esraa Ahmed Hashem</t>
  </si>
  <si>
    <t>اسراء احمد هاشم</t>
  </si>
  <si>
    <t>Mostafa Bahgat AbdelAal Ali Mohamed</t>
  </si>
  <si>
    <t>مصطفى بهجت عبد العال على محمد</t>
  </si>
  <si>
    <t>Shaaban AbdelRahman Hassan Farag</t>
  </si>
  <si>
    <t>شعبان عبد الرحمن حسن فرج</t>
  </si>
  <si>
    <t>AbdelRahman Mohamed AbdelRahman Mohamed</t>
  </si>
  <si>
    <t>عبد الرحمن محمد عبد الرحمن محمد</t>
  </si>
  <si>
    <t>Khadiga Ali Yousef Saeed</t>
  </si>
  <si>
    <t>خديجه على يوسف سعيد</t>
  </si>
  <si>
    <t>Peter Roshdy Tamer Hanna</t>
  </si>
  <si>
    <t>بيتر رشدى تامر حنا</t>
  </si>
  <si>
    <t>Mahmoud Mohamed Mohamed Abdel Samiea ElKhsosi</t>
  </si>
  <si>
    <t>محمود محمد محمد عبد السميع الخصوصى</t>
  </si>
  <si>
    <t>QC Section Head</t>
  </si>
  <si>
    <t>Aya Mahmoud Fahmy Salah</t>
  </si>
  <si>
    <t>ايه محمود فهمى صلاح</t>
  </si>
  <si>
    <t>Sabry Fayez Tawfek ElSaeed</t>
  </si>
  <si>
    <t>صبرى فايز توفيق السعيد</t>
  </si>
  <si>
    <t>Eslam ElSayed AbdelBasset Moghazy ElSadany</t>
  </si>
  <si>
    <t>اسلام السيد عبد الباسط مغازى السعدنى</t>
  </si>
  <si>
    <t>AbdelHafez Saeed Mohamed Ibrahim</t>
  </si>
  <si>
    <t>عبد الحافظ سعيد محمد إبراهيم</t>
  </si>
  <si>
    <t>A/P Supervisor</t>
  </si>
  <si>
    <t>Ahmed Samir Tawfik Mohamed Mahmoud</t>
  </si>
  <si>
    <t>احمد سمير توفيق محمد محمود</t>
  </si>
  <si>
    <t>Senior Costing &amp; Inventory Control Accountant</t>
  </si>
  <si>
    <t>Ahmed Ahmed Mohamed Hussien</t>
  </si>
  <si>
    <t>احمد احمد محمد حسين</t>
  </si>
  <si>
    <t>Engy Wagih Endraws Aboellif</t>
  </si>
  <si>
    <t>انجى وجيه اندراوس أبو الليف</t>
  </si>
  <si>
    <t>Mostafa Samir Mohamed Hamed</t>
  </si>
  <si>
    <t>مصطفى سمير محمد حامد</t>
  </si>
  <si>
    <t>Asmaa Samir Abdo Mohamed ElNagar</t>
  </si>
  <si>
    <t>أسماء سمير عبده محمد النجار</t>
  </si>
  <si>
    <t>Doaa Ahmed Hamouda Mowad Fayed</t>
  </si>
  <si>
    <t>دعاء احمد حموده معوض فايد</t>
  </si>
  <si>
    <t>Amany Mohamed Abdel Razek Abo Fol</t>
  </si>
  <si>
    <t>امانى محمد عبد الرازق أبو فول</t>
  </si>
  <si>
    <t>Mohamed Elsayed</t>
  </si>
  <si>
    <t>محمد السيد عبد السلام علوان</t>
  </si>
  <si>
    <t>Islam Rabie Abdel Rahman Ahmed Alkholy</t>
  </si>
  <si>
    <t>اسلام ربيع عبد الرحمن احمد الخولى</t>
  </si>
  <si>
    <t>Mahmoud Saeed Fahmy AbdelHaliem AlGhonimy</t>
  </si>
  <si>
    <t>محمود سعيد فهمى عبد الحليم الغنيمى</t>
  </si>
  <si>
    <t>Acting as QA systems section head</t>
  </si>
  <si>
    <t>Ibrahim Fawzi Ibrahim</t>
  </si>
  <si>
    <t>إبراهيم فوزى إبراهيم</t>
  </si>
  <si>
    <t>Formulation Specialist</t>
  </si>
  <si>
    <t>Bahaa ElDin Fathy Nabawy Hassab-ElNaby</t>
  </si>
  <si>
    <t>بهاء الدين فتحى نبوى حسب النبى</t>
  </si>
  <si>
    <t>Plant Manager</t>
  </si>
  <si>
    <t>احمد نوح محمد</t>
  </si>
  <si>
    <t>احمد نوح محمد سعيد</t>
  </si>
  <si>
    <t>AbdelHakim Morsy Hassanin Morsy Othman</t>
  </si>
  <si>
    <t>عبد الحكيم مرسى حسنين مرسى عثمان</t>
  </si>
  <si>
    <t>Preparation Assistant Technician</t>
  </si>
  <si>
    <t>Omima Mahmoud AbdelSalam ShardelDin</t>
  </si>
  <si>
    <t>اميمه محمود عبد السلام شرف الدين</t>
  </si>
  <si>
    <t>Mina Hanea Wadiea Demtry</t>
  </si>
  <si>
    <t>مينا هانئ وديع دمترى</t>
  </si>
  <si>
    <t>Emad Hamdy Sadek Salama</t>
  </si>
  <si>
    <t>عماد حمدى صادق سلامه</t>
  </si>
  <si>
    <t>Marina Fawzy Zakher Mglaa</t>
  </si>
  <si>
    <t>مارينا فوزى زاخر مجلع</t>
  </si>
  <si>
    <t>Mohamed Hamdy Mohamed Mahmoud AlSaadany</t>
  </si>
  <si>
    <t>محمد حمدى محمد محمود السعدنى</t>
  </si>
  <si>
    <t>ahmed hammed hessen</t>
  </si>
  <si>
    <t>احمد حامد حسين</t>
  </si>
  <si>
    <t>Laila Moharam Awad Mohram Awad</t>
  </si>
  <si>
    <t>ليلى محرم عوض محرم عوض</t>
  </si>
  <si>
    <t>Nurse</t>
  </si>
  <si>
    <t>Ahmed Eid Ragab AbdelLatief</t>
  </si>
  <si>
    <t>احمد عيد رجب عبد اللطيف</t>
  </si>
  <si>
    <t>Methodology Senior Analyst</t>
  </si>
  <si>
    <t>Eman Fekry Mohamed Sayed Ahmed</t>
  </si>
  <si>
    <t>ايمان فكرى محمد سيد احمد</t>
  </si>
  <si>
    <t>QA validation senior Officer</t>
  </si>
  <si>
    <t>Taysir AbdelMegied Ibrahim AboElEnin</t>
  </si>
  <si>
    <t>تيسير عبد المجيد إبراهيم أبو العنين</t>
  </si>
  <si>
    <t>hassan mahmoud abd el haa</t>
  </si>
  <si>
    <t>حسن محمود عبد الحق</t>
  </si>
  <si>
    <t>Raw Materials Senior Analyst</t>
  </si>
  <si>
    <t>Mahmoud ElSayed Mohamed Ismaiel Mohamed</t>
  </si>
  <si>
    <t>محمود السيد محمد إسماعيل محمد</t>
  </si>
  <si>
    <t>Maintenance Section Head</t>
  </si>
  <si>
    <t>Ahmed AbdelHamied Ghaly Rizk</t>
  </si>
  <si>
    <t>احمد عبد الحميد غالى رزق</t>
  </si>
  <si>
    <t>mohamed ateef mohamed</t>
  </si>
  <si>
    <t>محمد عاطف محمد</t>
  </si>
  <si>
    <t>HSE Technician</t>
  </si>
  <si>
    <t>Ameen Hamdi Anwar</t>
  </si>
  <si>
    <t>امين حمدى أنور</t>
  </si>
  <si>
    <t>Abdullah Kamel Mohamed Salama</t>
  </si>
  <si>
    <t>عبد الله كامل محمد سلامة</t>
  </si>
  <si>
    <t>Evelin Monir Fayez fakyos Gerges</t>
  </si>
  <si>
    <t>ايفيلين منير فايز فكيوس جرجس</t>
  </si>
  <si>
    <t>Abeer ElSayed Mohamed Ismaiel</t>
  </si>
  <si>
    <t>عبير السيد محمد إسماعيل</t>
  </si>
  <si>
    <t>Rady Nabil Mohamed Shker</t>
  </si>
  <si>
    <t>راضى نبيل محمد شقير</t>
  </si>
  <si>
    <t>Adel Abdel Rahman Mohamed Khaled</t>
  </si>
  <si>
    <t>عادل عبد الرحمن محمد خالد</t>
  </si>
  <si>
    <t>Export</t>
  </si>
  <si>
    <t>Hussien Ali Wahba</t>
  </si>
  <si>
    <t>حسين على وهبه</t>
  </si>
  <si>
    <t>Hany Alaa Badr</t>
  </si>
  <si>
    <t>هانى علاء بدر</t>
  </si>
  <si>
    <t>Liquid Preparation Supervisor</t>
  </si>
  <si>
    <t>Mamoun Mohamed Mamoun Fahmy Nasr</t>
  </si>
  <si>
    <t>مأمون محمد مأمون فهمى نصر</t>
  </si>
  <si>
    <t>Mohamed Abdel Shafi Yassin</t>
  </si>
  <si>
    <t>محمد عبد الشافى</t>
  </si>
  <si>
    <t>وائل عبد العال</t>
  </si>
  <si>
    <t>ahmed mohamed ahmed abd el khalek`</t>
  </si>
  <si>
    <t>احمد محمد احمد عبد الخالق</t>
  </si>
  <si>
    <t>Stability Senior Analyst</t>
  </si>
  <si>
    <t>Salah Mohamed Mostafa Ahmed Hegazy</t>
  </si>
  <si>
    <t>صلاح محمد مصطفى احمد حجازى</t>
  </si>
  <si>
    <t>Finished Product Senior Analyst</t>
  </si>
  <si>
    <t>Ahmed Salah Sameh Ali</t>
  </si>
  <si>
    <t>احمد صلاح سميح على</t>
  </si>
  <si>
    <t>Mahmoud Mohamed Abo ElAzm ElSayed Abo ElAzm</t>
  </si>
  <si>
    <t>محمود محمد أبو العزم السيد أبو العزم</t>
  </si>
  <si>
    <t>raghda khalil abd elhamed</t>
  </si>
  <si>
    <t>رغدة خليل عبد الحميد</t>
  </si>
  <si>
    <t>Haitham Atef Abasery Ali AboTaleb</t>
  </si>
  <si>
    <t>هيثم عاطف اباصيرى على أبو طالب</t>
  </si>
  <si>
    <t>Abdel Aleem Abd ElFatah Abdel Aleem</t>
  </si>
  <si>
    <t>عبد العليم عبد الفتاح</t>
  </si>
  <si>
    <t>Dispensing Supervisor</t>
  </si>
  <si>
    <t>Abdullah Abdel Salam Abdel Hameed Abdel Kader Slim</t>
  </si>
  <si>
    <t>عبد الله عبد السلام عبد الحميد عبد القادر سليم</t>
  </si>
  <si>
    <t>Essam Mohamed Sayed Shehata</t>
  </si>
  <si>
    <t>عصام محمد سيد شحاتة</t>
  </si>
  <si>
    <t>Warehouse Admin</t>
  </si>
  <si>
    <t>Radwa Nabil Gomaa Salem</t>
  </si>
  <si>
    <t>رضوى نبيل جمعه سالم</t>
  </si>
  <si>
    <t>ahmed gabar</t>
  </si>
  <si>
    <t>احمد جبر حسن احمد</t>
  </si>
  <si>
    <t>QA Officer</t>
  </si>
  <si>
    <t>Khaled Mohamed Fahmy Mohamed</t>
  </si>
  <si>
    <t>خالد محمد فهمى محمد</t>
  </si>
  <si>
    <t>Distribution Manager</t>
  </si>
  <si>
    <t>Fathallah Abdallah Mohammed Fathallah</t>
  </si>
  <si>
    <t>فتح الله عبد الله محمد فتح الله</t>
  </si>
  <si>
    <t>Mina Shawky Saleeb</t>
  </si>
  <si>
    <t>مينا شوقى صليب سيفين</t>
  </si>
  <si>
    <t>Deputy Internal Audit Manager</t>
  </si>
  <si>
    <t>mahmoud amr abd elshafy</t>
  </si>
  <si>
    <t>محمود عمر عبد الشافي</t>
  </si>
  <si>
    <t>Khaled Mostafa Mahmoud Ahmed AlSrogy</t>
  </si>
  <si>
    <t>خالد مصطفى محمود احمد السروجى</t>
  </si>
  <si>
    <t>Ahmed Ahmed Ali Attiah Al shaweesh</t>
  </si>
  <si>
    <t>احمد احمد على عطية الشاويش</t>
  </si>
  <si>
    <t>Mohamed Mostaf Ali Goher</t>
  </si>
  <si>
    <t>محمد مصطفى على جوهر</t>
  </si>
  <si>
    <t>Naglaa mohamed Nagah Mohamed Kasem</t>
  </si>
  <si>
    <t>نجلاء محمد نجاح محمد قاسم</t>
  </si>
  <si>
    <t>Asmaa Mohamed AbdelAziz Ahmed</t>
  </si>
  <si>
    <t>أسماء محمد عبد العزيز أحمد</t>
  </si>
  <si>
    <t>abd el rahman el maghraby</t>
  </si>
  <si>
    <t>عبد الرحمن احمد المغربي</t>
  </si>
  <si>
    <t>Sayed Medhat Ahmed ElSayed</t>
  </si>
  <si>
    <t>سيد مدحت احمد السيد</t>
  </si>
  <si>
    <t>Hager Mostafa Ibrahim Tawfek</t>
  </si>
  <si>
    <t>هاجر مصطفى ابراهيم توفيق</t>
  </si>
  <si>
    <t>Esraa Omar ElSayed Abd El Hafez</t>
  </si>
  <si>
    <t>اسراء عمر السيد عبد الحافظ</t>
  </si>
  <si>
    <t>Ibrahim Anwar Ibrahim Ahmed</t>
  </si>
  <si>
    <t>ابراهيم انور ابراهيم احمد</t>
  </si>
  <si>
    <t>Track &amp; Trace Technician</t>
  </si>
  <si>
    <t>aya abd allah ahmed</t>
  </si>
  <si>
    <t>اية عبد الله احمد</t>
  </si>
  <si>
    <t>Ahmed Ibrahim Mohamed</t>
  </si>
  <si>
    <t>احمد ابراهيم محمد</t>
  </si>
  <si>
    <t>Cost Accountant</t>
  </si>
  <si>
    <t>Mariam Mohamed Sami Mohamed Farid Farrag</t>
  </si>
  <si>
    <t>مريم محمد سامى محمد فريد فراج</t>
  </si>
  <si>
    <t>Asmaa Eid Moustafa Alabbasy</t>
  </si>
  <si>
    <t>اسماء عيد مصطفى العباسى</t>
  </si>
  <si>
    <t>Shahenda Mohamed ahmed Awadallah</t>
  </si>
  <si>
    <t>شاهندة محمد احمد عوض الله هتيمى</t>
  </si>
  <si>
    <t>Sozana Gamal ElAbd</t>
  </si>
  <si>
    <t>سوزانه جمال العبد</t>
  </si>
  <si>
    <t>Dalia Salah Mahmoud Attia</t>
  </si>
  <si>
    <t>داليا صلاح محمود عطية</t>
  </si>
  <si>
    <t>Seham Meligy Ramadan Ahmed AlSingergy</t>
  </si>
  <si>
    <t>سهام مليجى رمضان احمد السنجرجى</t>
  </si>
  <si>
    <t>Ehsan ElSayed ElSayed Ahmed</t>
  </si>
  <si>
    <t>احسان السيد السيد سيد احمد</t>
  </si>
  <si>
    <t>Shrouk Hassan Mohamed</t>
  </si>
  <si>
    <t>شروق حسن محمد</t>
  </si>
  <si>
    <t>Esraa Salem Dakrouny Mohamed</t>
  </si>
  <si>
    <t>اسراء سالم دكرونى محمد</t>
  </si>
  <si>
    <t>Ahmed Reda AbdElzaher Ali</t>
  </si>
  <si>
    <t>احمد رضا عبد الظاهر على</t>
  </si>
  <si>
    <t>Asmahan Mohamed Moustafa Abo Zaid</t>
  </si>
  <si>
    <t>اسمهان محمد مصطفى ابو زيد</t>
  </si>
  <si>
    <t>Seham AboTaleb Mahmoud Soliman</t>
  </si>
  <si>
    <t>سهام ابو طالب محمود سليمان</t>
  </si>
  <si>
    <t>Nourhan Ayman Ahmed ElSayed Mohamed</t>
  </si>
  <si>
    <t>نورهان ايمن احمد السيد محمد</t>
  </si>
  <si>
    <t>Mohamed Hossam Mohamed</t>
  </si>
  <si>
    <t>محمد حسام محمد</t>
  </si>
  <si>
    <t>Ahmed Gamal Mohamed Ibrahim Shaheen</t>
  </si>
  <si>
    <t>أحمد جمال محمد ابراهيم شاهين</t>
  </si>
  <si>
    <t>Hussien Mohamed Mohamed Moustafa</t>
  </si>
  <si>
    <t>حسين محمد محمد مصطفى الشربينى</t>
  </si>
  <si>
    <t>Sachet Filling Supervisor</t>
  </si>
  <si>
    <t>Mahmoud Salem abdelsammad Mohamed</t>
  </si>
  <si>
    <t>محمود سالم عبد الصمد محمد</t>
  </si>
  <si>
    <t>Ireny Fayez Moufeed Samy</t>
  </si>
  <si>
    <t>ايريني فايز مفيد سامى</t>
  </si>
  <si>
    <t>Khaled Yahia Mostafa</t>
  </si>
  <si>
    <t>خالد يحى مصطفى</t>
  </si>
  <si>
    <t>Ahmed Mohamed Abuelfotouh</t>
  </si>
  <si>
    <t>احمد محمد ابو الفتوح محمد</t>
  </si>
  <si>
    <t>Compliance Section Head</t>
  </si>
  <si>
    <t>Eman Mahmoud Shehata Shehata Shusha</t>
  </si>
  <si>
    <t>ايمان محمود شحاتة شحاتة شوشه</t>
  </si>
  <si>
    <t>eman abd allah el sayed</t>
  </si>
  <si>
    <t>ايمان عبد الله السيد</t>
  </si>
  <si>
    <t>Selvana Mores Mousa Zakary</t>
  </si>
  <si>
    <t>سلفانا موريس موسي زخاري</t>
  </si>
  <si>
    <t>Ibrahim Ali Ibrahim Al Sherif</t>
  </si>
  <si>
    <t>ابراهيم علي ابراهيم الشريف</t>
  </si>
  <si>
    <t>Noura Zakaria Shafik Gouda</t>
  </si>
  <si>
    <t>نورا زكريا شفيق جوده</t>
  </si>
  <si>
    <t>Ahmed Mohamed Ahmed Abdel Rehem</t>
  </si>
  <si>
    <t>احمد محمد احمد عبد الرحيم</t>
  </si>
  <si>
    <t>Yasser Mahmoud Ahmed Mahmoud</t>
  </si>
  <si>
    <t>ياسر محمود احمد محمود</t>
  </si>
  <si>
    <t>Moustafa Sabry Aboelmhasen Eltramsy</t>
  </si>
  <si>
    <t>مصطفى صبرى ابو المحاسن الترامسى</t>
  </si>
  <si>
    <t>Mohamed Ramadan El Sayed Ali</t>
  </si>
  <si>
    <t>محمد رمضان السيد على</t>
  </si>
  <si>
    <t>Mourad Mohamed Abo El Mkarem El sayed</t>
  </si>
  <si>
    <t>مراد محمد ابو المكارم السيد</t>
  </si>
  <si>
    <t>Islam Hosny Shaaban Ahmed</t>
  </si>
  <si>
    <t>اسلام حسني شعبان أحمد</t>
  </si>
  <si>
    <t>Marina Yousif Samir Shahhat</t>
  </si>
  <si>
    <t>مارينا يوسف سمير شحات</t>
  </si>
  <si>
    <t>Elizabeth Tawadiros AbdelMalek Boules</t>
  </si>
  <si>
    <t>اليزابيث تاوضروس عبد الملك بولس</t>
  </si>
  <si>
    <t>Mohamed Samy AboelMaaty Salamaa</t>
  </si>
  <si>
    <t>محمد سامى ابو المعاطى سلامة</t>
  </si>
  <si>
    <t>Ahmed Khalaf Mohamed Farghaly</t>
  </si>
  <si>
    <t>أحمد خلاف محمد فرغلي</t>
  </si>
  <si>
    <t>Islam Nassr Mostafa Mohamed Saleh</t>
  </si>
  <si>
    <t>اسلام نصر مصطفى محمد صالح</t>
  </si>
  <si>
    <t>Mohamed SaifelEslam AbdelSabour ELBalshy</t>
  </si>
  <si>
    <t>محمد سيف الاسلام عبد الصبور البلشي</t>
  </si>
  <si>
    <t>Ali Samy Mohamed Bassiony</t>
  </si>
  <si>
    <t>علي سامي محمد بسيوني</t>
  </si>
  <si>
    <t>Anan Ayman Fathy Metwali Yassin</t>
  </si>
  <si>
    <t>عنان ايمن فتحي متولي ياسين</t>
  </si>
  <si>
    <t>Mostafa Mohamed Dakdok Alsaman</t>
  </si>
  <si>
    <t>مصطفى محمد دقدوق السمان</t>
  </si>
  <si>
    <t>Ismaiel Mohamed Ismaiel Mohamed</t>
  </si>
  <si>
    <t>اسماعيل محمد اسماعيل محمد</t>
  </si>
  <si>
    <t>Mennatullah Hassan Metwaly Mohamed</t>
  </si>
  <si>
    <t>منه الله حسن متولى محمد</t>
  </si>
  <si>
    <t>Cristi Mamdouh Fely Samaan</t>
  </si>
  <si>
    <t>كريستى ممدوح فلى سمعان</t>
  </si>
  <si>
    <t>Marketing BU5</t>
  </si>
  <si>
    <t>Mohamed Ezzat Hosny Hussien Mostafa</t>
  </si>
  <si>
    <t>محمد عزت حسنى حسين مصطفي</t>
  </si>
  <si>
    <t>Mahmoud Lotfy Saeed AbdelFatah</t>
  </si>
  <si>
    <t>محمود لطفى سعيد عبد الفتاح</t>
  </si>
  <si>
    <t>Toka Gamal ElDin Mahmoud Desoky</t>
  </si>
  <si>
    <t>تقى جمال الدين محمود دسوقى</t>
  </si>
  <si>
    <t>Slwan Osama Fathi AbdelHameed</t>
  </si>
  <si>
    <t>سلوان اسامة فتحى عبد الحميد</t>
  </si>
  <si>
    <t>Mina Ageeb Alyoun Attallah</t>
  </si>
  <si>
    <t>مينا عجيب اليون عطا الله</t>
  </si>
  <si>
    <t>Aya Salah Alaaref Ahmed</t>
  </si>
  <si>
    <t>آيه صلاح العارف احمد</t>
  </si>
  <si>
    <t>Mohamed Fahd Mousa AlSbeay Mousa</t>
  </si>
  <si>
    <t>محمد فهد موسى السباعى موسى</t>
  </si>
  <si>
    <t>Mohamed ElSayed Mohamed Abo Shosha</t>
  </si>
  <si>
    <t>محمد السيد محمد ابو شوشة</t>
  </si>
  <si>
    <t>Mohamed Abbas Mohamed Hassanin</t>
  </si>
  <si>
    <t>محمد عباس محمد حسنسن</t>
  </si>
  <si>
    <t>Mostafa Mohamed Ali Mohamed Sayed Ahmed</t>
  </si>
  <si>
    <t>مصطفى محمد على محمد سيد احمد حجاج</t>
  </si>
  <si>
    <t>Martina Eid Ersal Salama</t>
  </si>
  <si>
    <t>مارتينا عيد ارسال سلامه</t>
  </si>
  <si>
    <t>Mohamed Gamal ElDin Mohamed Radwan</t>
  </si>
  <si>
    <t>محمد جمال الدين محمد رضوان</t>
  </si>
  <si>
    <t>Aml Mohamed AbdelKader Biomy ElBehery</t>
  </si>
  <si>
    <t>أمل محمد عبد القادر بيومي البحيري</t>
  </si>
  <si>
    <t>Maryam ElSayed Abdel Hady Afify Hana</t>
  </si>
  <si>
    <t>مريم السيد عبدالهادى عفيفى هنا</t>
  </si>
  <si>
    <t>Nageeb Mahfouz Falts Mosaad</t>
  </si>
  <si>
    <t>نجيب محفوظ فلتس مسعد</t>
  </si>
  <si>
    <t>Mina Magdy Gergis Amin</t>
  </si>
  <si>
    <t>مينا مجدى جرجس امين مسيحه</t>
  </si>
  <si>
    <t>Nehad Essam Mostafa Abbas</t>
  </si>
  <si>
    <t>نهاد عصام مصطفي عباس</t>
  </si>
  <si>
    <t>Asmaa Mohamed Mohamed Abdel Baeth</t>
  </si>
  <si>
    <t>أسماء محمد محمد عبد الباعث يعقوب</t>
  </si>
  <si>
    <t>Taha Ismaiel Attia AbdelHameed</t>
  </si>
  <si>
    <t>طه اسماعيل عطية عبد الحميد</t>
  </si>
  <si>
    <t>Yomna Mostafa ElSayed Mostafa ElSherif</t>
  </si>
  <si>
    <t>يمنى مصطفى السيد مصطفى الشريف</t>
  </si>
  <si>
    <t>Sara Rezk Mohamed Zaghloul Rezk AlMandrawy</t>
  </si>
  <si>
    <t>سارة رزق محمد زغلول رزق المندراوي</t>
  </si>
  <si>
    <t>Ahmed Elsayed Mohamed Elsharnoby</t>
  </si>
  <si>
    <t>احمد السيد محمد الشرنوبى</t>
  </si>
  <si>
    <t>Mechanical Engineering Supervisor</t>
  </si>
  <si>
    <t>Mohamed Abdelhady Morsy Mohamed</t>
  </si>
  <si>
    <t>محمد عبد الهادى مرسى محمد</t>
  </si>
  <si>
    <t>Raw Materials Section Head</t>
  </si>
  <si>
    <t>qc2@future-eg.com</t>
  </si>
  <si>
    <t>Basma Raafat ElSayed</t>
  </si>
  <si>
    <t>بسمه رافت السيد</t>
  </si>
  <si>
    <t>Yasmine Mohamed Ali</t>
  </si>
  <si>
    <t>ياسمين محمد على اسماعيل سيخة</t>
  </si>
  <si>
    <t>Esraa Saeed Yousef Elsayed</t>
  </si>
  <si>
    <t>اسراء سعيد يوسف السيد</t>
  </si>
  <si>
    <t>Aziza Farag Ismaiel Soliman</t>
  </si>
  <si>
    <t>عزيزة فرج اسماعيل سليمان</t>
  </si>
  <si>
    <t>Mayada Nasser Hussien</t>
  </si>
  <si>
    <t>ميادة ناصر حسين</t>
  </si>
  <si>
    <t>Hossam Hassan Sayed AbdelHaleem</t>
  </si>
  <si>
    <t>حسام حسن سيد عبد الحليم</t>
  </si>
  <si>
    <t>Sabah Ahmed Ahmed</t>
  </si>
  <si>
    <t>صباح احمد احمد</t>
  </si>
  <si>
    <t>Ahmed Gamal AbdelAzim Khalef</t>
  </si>
  <si>
    <t>احمد جمال عبد العظيم خليف</t>
  </si>
  <si>
    <t>Aya Mohamed Mahmoud</t>
  </si>
  <si>
    <t>ايه محمد محمود</t>
  </si>
  <si>
    <t>Zeinab ElSayed Ahmed Abdo Ahmed</t>
  </si>
  <si>
    <t>زينب السيد احمد عبده احمد</t>
  </si>
  <si>
    <t>APQR/ Compliance Supervisor</t>
  </si>
  <si>
    <t>Hesham Hamdy Mostafa Mohamed</t>
  </si>
  <si>
    <t>هشام حمدى مصطفى محمد</t>
  </si>
  <si>
    <t>Web designing specialist</t>
  </si>
  <si>
    <t>Labib Mourad Labib</t>
  </si>
  <si>
    <t>لبيب مراد لبيب رزيق</t>
  </si>
  <si>
    <t>CFO</t>
  </si>
  <si>
    <t>Shady Khaled Abd El Haleim El Daly</t>
  </si>
  <si>
    <t>شادى خالد عبد الحليم الدالى</t>
  </si>
  <si>
    <t>DiaaelDin Mostafa Thabet Abdullah</t>
  </si>
  <si>
    <t>ضياء الدين مصطفي ثابت عبد الله</t>
  </si>
  <si>
    <t>Ahmed Mohamed Ahmed Mohamed</t>
  </si>
  <si>
    <t>أحمد محمد أحمد محمد</t>
  </si>
  <si>
    <t>Mostafa Hassan Mostafa Hassan Saeed</t>
  </si>
  <si>
    <t>مصطفي حسن مصطفي حسن سعيد</t>
  </si>
  <si>
    <t>Aya Rabee Mohamed Mahdy ElAreeny</t>
  </si>
  <si>
    <t>أيه ربيع محمد مهدي العريني</t>
  </si>
  <si>
    <t>Tahia Wagih Mahfouz Mohamed</t>
  </si>
  <si>
    <t>تحية وجيه محفوظ محمد</t>
  </si>
  <si>
    <t>Methodology Analyst</t>
  </si>
  <si>
    <t>Ahmed Abd El Gelil El Ghanam</t>
  </si>
  <si>
    <t>احمد عبد الجليل الغنام</t>
  </si>
  <si>
    <t>Reem Sayed AbdelWahab AbdAllah Behery</t>
  </si>
  <si>
    <t>ريم سيد عبد الوهاب عبد الله بحيري</t>
  </si>
  <si>
    <t>Regulatory Affairs Senior Specialist</t>
  </si>
  <si>
    <t>Noha Salah Abd El Razek Abd El Aal Sarhan</t>
  </si>
  <si>
    <t>نها صلاح عبد الرازق عبد العال سرحان</t>
  </si>
  <si>
    <t>Omar Ahmed Sabry</t>
  </si>
  <si>
    <t>عمر احمد صبرى</t>
  </si>
  <si>
    <t>Aya Refaat Mohamed AbdelMoaty</t>
  </si>
  <si>
    <t>أية رفعت محمد عبدالمعطى</t>
  </si>
  <si>
    <t>Laila Shabaan Kamel Soliman</t>
  </si>
  <si>
    <t>ليلى شعبان كامل سليمان</t>
  </si>
  <si>
    <t>Nabil Yasser Helmy Marzouk</t>
  </si>
  <si>
    <t>نبيل ياسر حلمى مرزوق</t>
  </si>
  <si>
    <t>Om Hashem Salah Salem</t>
  </si>
  <si>
    <t>ام هاشم صلاح سالم مرسى</t>
  </si>
  <si>
    <t>Karim Abdel Fatah Abdel Wadod</t>
  </si>
  <si>
    <t>كريم عبد الفتاح عبد الودود</t>
  </si>
  <si>
    <t>Khaled Mohamed ElSAyed</t>
  </si>
  <si>
    <t>خالد محمد السيد</t>
  </si>
  <si>
    <t>Mohamed Abdel Megied Abdel Maabod</t>
  </si>
  <si>
    <t>محمد عبد المجيد عبد المعبود عامر</t>
  </si>
  <si>
    <t>Ashraf Kassem Kassem Abdel latif</t>
  </si>
  <si>
    <t>اشرف قاسم قاسم عبداللطيف</t>
  </si>
  <si>
    <t>Part-Time Medical Representative</t>
  </si>
  <si>
    <t>Salama Sayed AbdelSalam Ismael</t>
  </si>
  <si>
    <t>سلامة سيد عبد السلام اسماعيل</t>
  </si>
  <si>
    <t>Youstina Gerges Shafik Basely</t>
  </si>
  <si>
    <t>يوستينة جرجس شفيق باسيلى</t>
  </si>
  <si>
    <t>bssam sayeed salama</t>
  </si>
  <si>
    <t>بسام سعيد سلامه</t>
  </si>
  <si>
    <t>sabah Farouk Abdel Aziz Mohamed</t>
  </si>
  <si>
    <t>صباح فاروق عبدالعزيز محمد</t>
  </si>
  <si>
    <t>Ayman Nabil Tawfeek</t>
  </si>
  <si>
    <t>أيمن نبيل توفيق خميس</t>
  </si>
  <si>
    <t>Acting as SFE Manager</t>
  </si>
  <si>
    <t>Ahmed Mousa Yousef Mousa Abdo</t>
  </si>
  <si>
    <t>احمد موسى يوسف موسى عبده</t>
  </si>
  <si>
    <t>Microbiology Supervisor</t>
  </si>
  <si>
    <t>Omnia Saleh Ali Mohamed</t>
  </si>
  <si>
    <t>أمنية صالح علي محمد</t>
  </si>
  <si>
    <t>Manar Ibrahim</t>
  </si>
  <si>
    <t>منار ابراهيم</t>
  </si>
  <si>
    <t>Neveen Mohamed Maher Mohamed</t>
  </si>
  <si>
    <t>نيفين محمد ماهر محمد</t>
  </si>
  <si>
    <t>Mahmoud Sami Ibrahim</t>
  </si>
  <si>
    <t>محمود سامى إبراهيم</t>
  </si>
  <si>
    <t>Ahmed Saeed Mahmoud Ali Salim</t>
  </si>
  <si>
    <t>أحمد سعيد محمود علي سالم</t>
  </si>
  <si>
    <t>Raw Material Sampler</t>
  </si>
  <si>
    <t>Mahmoud Galal Mohamed</t>
  </si>
  <si>
    <t>محمود جلال محمد</t>
  </si>
  <si>
    <t>Nadine Nasreldeen Mohamed Ezzat</t>
  </si>
  <si>
    <t>نادين نصرالدين محمد عزت رياض</t>
  </si>
  <si>
    <t>Kyrillos Anis</t>
  </si>
  <si>
    <t>كرولوس انيس</t>
  </si>
  <si>
    <t>Internal Auditor</t>
  </si>
  <si>
    <t>Rober Safwat Alber Sabry</t>
  </si>
  <si>
    <t>روبير صفوت البير صبري</t>
  </si>
  <si>
    <t>Eman Abdallah Salem</t>
  </si>
  <si>
    <t>ايمان عبد الله سالم</t>
  </si>
  <si>
    <t>Ahmed Tarek Ahmed Shatia</t>
  </si>
  <si>
    <t>أحمد طارق احمد شطية</t>
  </si>
  <si>
    <t>Fatma Abd El-Aaty Abd El-Khalek</t>
  </si>
  <si>
    <t>فاطمه عبد العاطى عبد الخالق</t>
  </si>
  <si>
    <t>Hoda Khairy Ashry</t>
  </si>
  <si>
    <t>هدى خيرى عشرى</t>
  </si>
  <si>
    <t>Mohab Moatasem</t>
  </si>
  <si>
    <t>مهاب معتصم</t>
  </si>
  <si>
    <t>Hady Ashraf Hamed EL Eakeel</t>
  </si>
  <si>
    <t>هادى اشرف حامد الوكيل</t>
  </si>
  <si>
    <t>Moataz Khalif Sabra Ibrahim</t>
  </si>
  <si>
    <t>معتز خليف صبرة ابراهيم</t>
  </si>
  <si>
    <t>Mohamed Ashraf Fahmy Abo El Ezz</t>
  </si>
  <si>
    <t>محمد اشرف فهمي أبو العز</t>
  </si>
  <si>
    <t>Alaa Sherif Abd El Zaher</t>
  </si>
  <si>
    <t>علاء شريف عبد الظاهر</t>
  </si>
  <si>
    <t>Mostafa Hamed Abdel Hamid Awad Al Naqib</t>
  </si>
  <si>
    <t>مصطفى حامد عبدالحميد عواد النقيب</t>
  </si>
  <si>
    <t>Warehouse Supervisor</t>
  </si>
  <si>
    <t>Elsayed Abozaid Elsayed Hamed Abozaid</t>
  </si>
  <si>
    <t>السيد ابوزيد السيد حامد ابوزيد</t>
  </si>
  <si>
    <t>Ali Ibrahim Ali Mohamed Amer</t>
  </si>
  <si>
    <t>على إبراهيم على محمد عامر</t>
  </si>
  <si>
    <t>Ahmed Adel Ismail Metwally</t>
  </si>
  <si>
    <t>احمد عادل إسماعيل متولي</t>
  </si>
  <si>
    <t>Data Entry</t>
  </si>
  <si>
    <t>Mohamed Hussein AbdelHamed Mohamed Soliman</t>
  </si>
  <si>
    <t>محمد حسين عبد الحميد محمد سليمان</t>
  </si>
  <si>
    <t>Acting as HSE Manager</t>
  </si>
  <si>
    <t>Ahmed Hamdy Abdo ElSayed</t>
  </si>
  <si>
    <t>احمد حمدي عبده السيد</t>
  </si>
  <si>
    <t>Abd El Ghany Gamal Abd El Ghany Fahmy</t>
  </si>
  <si>
    <t>عبدالغنى جمال عبدالغنى فهمى</t>
  </si>
  <si>
    <t>QA Compliance Officer</t>
  </si>
  <si>
    <t>Ahmed Ali Ahmed AboGazia</t>
  </si>
  <si>
    <t>احمد على احمد على ابو جازية</t>
  </si>
  <si>
    <t>Abd El-Aziz Ibrahim</t>
  </si>
  <si>
    <t>عبد العزيز ابراهيم</t>
  </si>
  <si>
    <t>Amir Ali Mahmoud Tantawy</t>
  </si>
  <si>
    <t>امير على محمود طنطاوي</t>
  </si>
  <si>
    <t>omnya mohamed ahmed</t>
  </si>
  <si>
    <t>امنية محمد احمد</t>
  </si>
  <si>
    <t>Michael Saad Nazeem Saad</t>
  </si>
  <si>
    <t>مايكل سعد نظيم سعد</t>
  </si>
  <si>
    <t>Nahla Soliman AbdelKhalek Hatem</t>
  </si>
  <si>
    <t>نهله سليمان عبدالخالق حاتم</t>
  </si>
  <si>
    <t>Sameh Mohamed Reda Mohamed El Metwaly</t>
  </si>
  <si>
    <t>سامح محمد رضا محمد المتولي</t>
  </si>
  <si>
    <t>Ahmed Badwy Mohamed ElSayed</t>
  </si>
  <si>
    <t>أحمد بدوى محمد السيد</t>
  </si>
  <si>
    <t>Emad EISayed ElSaied Mohamed ElMasry</t>
  </si>
  <si>
    <t>عماد السيد السعيد محمد المصري</t>
  </si>
  <si>
    <t>Aya Mahmoud Ahmed AbdelMaged elNakeeb</t>
  </si>
  <si>
    <t>آيه محمود أحمد عبدالمجيد النقيب</t>
  </si>
  <si>
    <t>PV and Medical Affairs Supervisor</t>
  </si>
  <si>
    <t>Shimaa Adel Emam Ibrahim</t>
  </si>
  <si>
    <t>شيماء عادل امام إبراهيم</t>
  </si>
  <si>
    <t>HR Admin</t>
  </si>
  <si>
    <t>Ahmed Attia Hassan Ali Badran</t>
  </si>
  <si>
    <t>أحمد عطيه حسن علي بدران</t>
  </si>
  <si>
    <t>Mahmoud ElSayed ElEsawy Mansour</t>
  </si>
  <si>
    <t>محمود السيد العيسوى منصور</t>
  </si>
  <si>
    <t>Mohamed Gamal Taha Bayomi Essa</t>
  </si>
  <si>
    <t>محمد جمال طه بيومي عيسى</t>
  </si>
  <si>
    <t>Gamal AbdelNasser Abdullah Negm</t>
  </si>
  <si>
    <t>جمال عبد الناصر عبدالله نجم</t>
  </si>
  <si>
    <t>Hend Ahmed Ahmed Ibrahim Salem EL Hayg</t>
  </si>
  <si>
    <t>هند أحمد أحمد إبراهيم سالم الهايج</t>
  </si>
  <si>
    <t>Zainab Rafat ElSayed Salem Ahmed Salem</t>
  </si>
  <si>
    <t>زينب رأفت السيد سالم احمد سالم</t>
  </si>
  <si>
    <t>Athar Attia Mohamed Mohamed ElSaadany</t>
  </si>
  <si>
    <t>آثار عطيه محمد محمد السعدنى</t>
  </si>
  <si>
    <t>Omnia Mohamed Ahmed Ahmed</t>
  </si>
  <si>
    <t>أمنية محمد أحمد أحمد</t>
  </si>
  <si>
    <t>Hossam Ashraf Ibrahim Mohamed Ibrahim</t>
  </si>
  <si>
    <t>حسام اشرف إبراهيم محمد إبراهيم</t>
  </si>
  <si>
    <t>AbdelHamid Said Mahdy Khalel Shady</t>
  </si>
  <si>
    <t>عبد الحميد سعيد مهدي خليل شادى</t>
  </si>
  <si>
    <t>Mohamed Hassan Hassan Ali Salem</t>
  </si>
  <si>
    <t>محمد حسن حسن على سالم</t>
  </si>
  <si>
    <t>Ibrahim AbdelFattah Mohamed Ibrahim</t>
  </si>
  <si>
    <t>إبراهيم عبد الفتاح محمد إبراهيم</t>
  </si>
  <si>
    <t>Shorouk Sayed Mohamed Elgharib</t>
  </si>
  <si>
    <t>شروق سيد محمد الغريب</t>
  </si>
  <si>
    <t>Tamer Reda Azouz Saad Saad</t>
  </si>
  <si>
    <t>تامر رضا عزوز سعد سعد</t>
  </si>
  <si>
    <t>Ibrahim Khaled Refaat Mohamed</t>
  </si>
  <si>
    <t>إبراهيم خالد رفعت محمد</t>
  </si>
  <si>
    <t>Hussein Atef ElSayed ElSayed Mohamed</t>
  </si>
  <si>
    <t>حسين عاطف السيد السيد محمد</t>
  </si>
  <si>
    <t>Shrinking Unit Technician</t>
  </si>
  <si>
    <t>AbdelHamid Ahmed AbdelSatar Negm</t>
  </si>
  <si>
    <t>عبد الحميد أحمد عبد الستار نجم</t>
  </si>
  <si>
    <t>QA Assistant Technician</t>
  </si>
  <si>
    <t>Islam Mohamed Zaky</t>
  </si>
  <si>
    <t>اسلام محمد زكى</t>
  </si>
  <si>
    <t>Mahmoud Hesham Mohamed ElHawat</t>
  </si>
  <si>
    <t>محمود هشام محمد الحواط</t>
  </si>
  <si>
    <t>Coating Technician</t>
  </si>
  <si>
    <t>Ahmed AbdelWahab AbdelAziz AbdelRahman</t>
  </si>
  <si>
    <t>أحمد عبد الوهاب عبد العزيز عبد الرحمن</t>
  </si>
  <si>
    <t>Compression Technician</t>
  </si>
  <si>
    <t>Mohamed Mahmoud Hamed Mahmoud ElSayed</t>
  </si>
  <si>
    <t>محمد محمود حامد محمود السيد</t>
  </si>
  <si>
    <t>Islam Mohamed AbdelBaky Mohamed Eid</t>
  </si>
  <si>
    <t>اسلام محمد عبد الباقي محمد عيد</t>
  </si>
  <si>
    <t>Compressing Assistant Technician</t>
  </si>
  <si>
    <t>ahmed Fathy</t>
  </si>
  <si>
    <t>احمد فتحى</t>
  </si>
  <si>
    <t>Yara Ashraf Mohamed AbdelSamie</t>
  </si>
  <si>
    <t>يارا اشرف محمد عبد السميع</t>
  </si>
  <si>
    <t>Karim Ibrahim AbdelWahab Mousa Saad</t>
  </si>
  <si>
    <t>كريم إبراهيم عبد الوهاب موسى سعد</t>
  </si>
  <si>
    <t>Mostafa ElShahat Mohamed ElHady</t>
  </si>
  <si>
    <t>مصطفى الشحات محمد الهادى</t>
  </si>
  <si>
    <t>Mohamed Gamal ElSherbiny ElHaredy</t>
  </si>
  <si>
    <t>محمد جمال الشربينى الهريدى</t>
  </si>
  <si>
    <t>QA Document Control and JDE Senior Officer</t>
  </si>
  <si>
    <t>Ahmed Gamal Sayed Gaber</t>
  </si>
  <si>
    <t>احمد جمال سيد جابر</t>
  </si>
  <si>
    <t>Automatic Packaging Unit Supervisor</t>
  </si>
  <si>
    <t>Ramez Raed Naseem Youssef</t>
  </si>
  <si>
    <t>رامز رائد نسيم يوسف</t>
  </si>
  <si>
    <t>Youstina Nabil Mofeed Nathan</t>
  </si>
  <si>
    <t>يوستينا نبيل مفيد ناثان</t>
  </si>
  <si>
    <t>Youlyana Eid Salip Farid</t>
  </si>
  <si>
    <t>يوليانه عيد صليب فريد</t>
  </si>
  <si>
    <t>Mohamed Ahmed Sedeek Ibrahim</t>
  </si>
  <si>
    <t>محمد احمد صديق إبراهيم</t>
  </si>
  <si>
    <t>Mostafa Ali Mostafa</t>
  </si>
  <si>
    <t>مصطفى علي مصطفى</t>
  </si>
  <si>
    <t>Amira Mamdouh AbdEl-Halim</t>
  </si>
  <si>
    <t>أميرة ممدوح عبدالحليم</t>
  </si>
  <si>
    <t>Ahmed Mohamed Hussien Mohamed Ahmed AL Daly</t>
  </si>
  <si>
    <t>احمد محمد حسين محمد احمد الدالى</t>
  </si>
  <si>
    <t>Ahmed Gamaleldin Nasreldin Ellithy</t>
  </si>
  <si>
    <t>أحمد جمال الدين نصر الدين الليثى</t>
  </si>
  <si>
    <t>International Project Manager</t>
  </si>
  <si>
    <t>Mostafa Mahmoud Hafez Mohamed ElHanafy</t>
  </si>
  <si>
    <t>مصطفى محمود حافظ محمد الحنفى</t>
  </si>
  <si>
    <t>Sara Ahmed Elsayed Mohamed ElNady</t>
  </si>
  <si>
    <t>ساره احمد السيد محمد النادى</t>
  </si>
  <si>
    <t>AbdelRahman Mohamed Ahmed AbdelMotteleb</t>
  </si>
  <si>
    <t>عبد الرحمن محمد احمد عبد المطلب</t>
  </si>
  <si>
    <t>Ahmed Mohamed AbdelFattah Ali</t>
  </si>
  <si>
    <t>احمد محمد عبد الفتاح على</t>
  </si>
  <si>
    <t>Abdullah Shaaban AbdelLatif AbdelHafez</t>
  </si>
  <si>
    <t>عبدالله شعبان عبداللطيف عبد الحفيظ</t>
  </si>
  <si>
    <t>AbdelKader Mohamed ElSayed AbdelKader Abokela</t>
  </si>
  <si>
    <t>عبدالقادر محمد السيد عبدالقادر ابوكيله</t>
  </si>
  <si>
    <t>Eslam Ahmed Mohamed Basiony</t>
  </si>
  <si>
    <t>اسلام احمد محمد بسيونى</t>
  </si>
  <si>
    <t>Ali Soliman</t>
  </si>
  <si>
    <t>على سليمان مصطفى</t>
  </si>
  <si>
    <t>Amaal Hassan Abo Serea Mohamed</t>
  </si>
  <si>
    <t>امال حسن ابوسريع محمد</t>
  </si>
  <si>
    <t>Mohamed Ragab Gaber El Gzara</t>
  </si>
  <si>
    <t>محمد رجب جابر الجزاره</t>
  </si>
  <si>
    <t>Mahmoud Reda Mohamed Kamel Mostafa</t>
  </si>
  <si>
    <t>محمود رضا محمد كامل مصطفي الوليلي</t>
  </si>
  <si>
    <t>Nada Ashraf Mohamed Mokhtar Kamel</t>
  </si>
  <si>
    <t>ندى اشرف محمد مختار كامل</t>
  </si>
  <si>
    <t>Yasser ElShahat Mohamed Metwaly</t>
  </si>
  <si>
    <t>ياسر الشحات محمد متولى</t>
  </si>
  <si>
    <t>Technicion Supervisor</t>
  </si>
  <si>
    <t>Mohamed Nabawy Mohamed Amry Salem</t>
  </si>
  <si>
    <t>محمد نبوى محمد عمرى سالم</t>
  </si>
  <si>
    <t>Douha Gaber Mahmoud Awad AbouZaid</t>
  </si>
  <si>
    <t>ضحى جابر محمود عوض ابوزيد</t>
  </si>
  <si>
    <t>Essam Atef Attia AbdelAal Soultan</t>
  </si>
  <si>
    <t>عصام عاطف عطيه عبد العال سلطان</t>
  </si>
  <si>
    <t>Sandra Ikram William Waled Hefz Allah</t>
  </si>
  <si>
    <t>ساندرا اكرام وليد حفظ الله</t>
  </si>
  <si>
    <t>Ahmed Gamal mohamed</t>
  </si>
  <si>
    <t>احمد جمال محمد</t>
  </si>
  <si>
    <t>Michael Magdy Shawky Beshay</t>
  </si>
  <si>
    <t>مايكل مجدى شوقى بشاى</t>
  </si>
  <si>
    <t>Mohamed Saied Mahdy AbdelSamie</t>
  </si>
  <si>
    <t>محمد سعيد مهدى عبدالسميع</t>
  </si>
  <si>
    <t>Formulation Assistant Technician</t>
  </si>
  <si>
    <t>Eslam Said Mohamed</t>
  </si>
  <si>
    <t>إسلام سعيد محمد</t>
  </si>
  <si>
    <t>Production Admin</t>
  </si>
  <si>
    <t>Mahmoud Mohamed AbdelMahdy Abdullah</t>
  </si>
  <si>
    <t>محمود محمد عبدالمهدى عبدالله</t>
  </si>
  <si>
    <t>Mayada Ali Sayed abdelLateif</t>
  </si>
  <si>
    <t>مياده علي سيد عبد اللطيف</t>
  </si>
  <si>
    <t>Mohamed Tawfik Saber Bassuoni ElKanawany</t>
  </si>
  <si>
    <t>محمد توفيق صابر بسيونى القنوانى</t>
  </si>
  <si>
    <t>Kerlous Gerges Malky Sanada</t>
  </si>
  <si>
    <t>كيرليس جرجس ملقى سناده</t>
  </si>
  <si>
    <t>Alaa Misbah Salem AbouelNile</t>
  </si>
  <si>
    <t>علاء مصباح سالم ابوالنيل</t>
  </si>
  <si>
    <t>Alia Salah</t>
  </si>
  <si>
    <t>عليه صلاح</t>
  </si>
  <si>
    <t>Malak Magdy Samy Rizk Gerges</t>
  </si>
  <si>
    <t>ملاك مجدى سامى رزق جرجس</t>
  </si>
  <si>
    <t>Mostafa Hassanein Mohamed Hassanein</t>
  </si>
  <si>
    <t>مصطفى حسنين محمد حسنين</t>
  </si>
  <si>
    <t>Bahgat Mansour AbdelMalak Seha</t>
  </si>
  <si>
    <t>بهجت منصور عبدالملاك سيحه</t>
  </si>
  <si>
    <t>Helmy Mohamed Magdy Ibrahim Ali</t>
  </si>
  <si>
    <t>حلمى محمد مجدى إبراهيم على</t>
  </si>
  <si>
    <t>Maged Ali Mohamed ElKhatib</t>
  </si>
  <si>
    <t>ماجد على محمد الخطيب</t>
  </si>
  <si>
    <t>Mohamed Ali Sayed Mohamed Ismail</t>
  </si>
  <si>
    <t>محمد على سيد محمد إسماعيل</t>
  </si>
  <si>
    <t>Sales Representative</t>
  </si>
  <si>
    <t>Mahmoud Shehata AbdelNabi Awad Badr</t>
  </si>
  <si>
    <t>محمود شحاته عبد النبى عواد بدر</t>
  </si>
  <si>
    <t>Ahmed Ashraf Mohamed Tony</t>
  </si>
  <si>
    <t>احمد اشرف محمد تونى</t>
  </si>
  <si>
    <t>Senior Sales Representative</t>
  </si>
  <si>
    <t>Mostafa Hassany Kamel Ibrahim</t>
  </si>
  <si>
    <t>مصطفى حسانى كامل إبراهيم</t>
  </si>
  <si>
    <t>Mina Aziz Adly Saeed</t>
  </si>
  <si>
    <t>مينا عزيز عادلى سعيد</t>
  </si>
  <si>
    <t>Moamen Mohamed Fadl Abdel Fattah</t>
  </si>
  <si>
    <t>مؤمن محمد فضل عبد الفتاح</t>
  </si>
  <si>
    <t>Amir Gerges Bekhit Gerges</t>
  </si>
  <si>
    <t>امير جرجس بخيت جرجس</t>
  </si>
  <si>
    <t>Gerges Adel Onsy Zokm</t>
  </si>
  <si>
    <t>جرجس عادل انسى زقم</t>
  </si>
  <si>
    <t>Mahmoud Masoud Mohamed ElSayed</t>
  </si>
  <si>
    <t>محمود مسعود محمد السيد</t>
  </si>
  <si>
    <t>Nour Tarek Mohamed Zalat</t>
  </si>
  <si>
    <t>نور طارق محمد زلط</t>
  </si>
  <si>
    <t>Karim Ahmed Saeed AlWaziry</t>
  </si>
  <si>
    <t>كريم احمد سعيد الوزيرى</t>
  </si>
  <si>
    <t>Mina Adel Adly Khalil</t>
  </si>
  <si>
    <t>مينا عادل عدلى خليل</t>
  </si>
  <si>
    <t>Khaled Ibrahim El-Sayed Amin</t>
  </si>
  <si>
    <t>خالد إبراهيم السيد امين</t>
  </si>
  <si>
    <t>Elsayed gamal</t>
  </si>
  <si>
    <t>السيد جمال ابو رية</t>
  </si>
  <si>
    <t>Mohamed Gamal Mohamed Emam</t>
  </si>
  <si>
    <t>محمد جمال محمد امام</t>
  </si>
  <si>
    <t>Ayman Farhan Swailem Mohamed Sweilem</t>
  </si>
  <si>
    <t>ايمن فرحان سويلم محمد سويلم</t>
  </si>
  <si>
    <t>Gerges Nasser Youssef Tawfik</t>
  </si>
  <si>
    <t>جرجس ناصر يوسف توفيق</t>
  </si>
  <si>
    <t>Mohamed Ahmed Mohamed Taha</t>
  </si>
  <si>
    <t>محمد احمد محمد طه</t>
  </si>
  <si>
    <t>Dispensing Section Head</t>
  </si>
  <si>
    <t>Mohamed Ibrahim Hassan Ahmed El-Amrosy</t>
  </si>
  <si>
    <t>محمد إبراهيم حسن احمد العمروسي</t>
  </si>
  <si>
    <t>George Wadea Riad Sadik</t>
  </si>
  <si>
    <t>جورج وديع رياض صادق</t>
  </si>
  <si>
    <t>Mazen Hesham Mohamed</t>
  </si>
  <si>
    <t>مازن هشام محمد</t>
  </si>
  <si>
    <t>R&amp;D Senior Specialist</t>
  </si>
  <si>
    <t>Yasmin Ali kassem Mahmoud</t>
  </si>
  <si>
    <t>ياسمين على قاسم محمود</t>
  </si>
  <si>
    <t>Mostafa Atef Abdel Rahman Abdel Fattah</t>
  </si>
  <si>
    <t>مصطفى عاطف عبدالرحمن عبدالفتاح</t>
  </si>
  <si>
    <t>Martina Tharwat Ramzy Wissa</t>
  </si>
  <si>
    <t>مارتينا ثروت رمزى ويصا</t>
  </si>
  <si>
    <t>Salsabel Mohamed Fathy Mohamed</t>
  </si>
  <si>
    <t>سلسبيل محمد فتحى محمد</t>
  </si>
  <si>
    <t>Joseph Adel Azmy Aziz</t>
  </si>
  <si>
    <t>جوزيف عادل عزمى عزيز</t>
  </si>
  <si>
    <t>Ibrahim Mahmoud Mohamed AbdelHady</t>
  </si>
  <si>
    <t>إبراهيم محمود محمد عبدالهادي</t>
  </si>
  <si>
    <t>Mohamed Sobhy Mohamed Mohamed Mahfouz</t>
  </si>
  <si>
    <t>محمد صبحي محمد محمد محفوظ</t>
  </si>
  <si>
    <t>Atta Abdullah AbdelRazek Ibrahim</t>
  </si>
  <si>
    <t>عطاء عبد الله عبد الرازق إبراهيم</t>
  </si>
  <si>
    <t>Liquid Filling Supervisor</t>
  </si>
  <si>
    <t>Mirna George Fekry Kyrollos Hanna</t>
  </si>
  <si>
    <t>ميرنا جورج فكرى كيرلس حنا</t>
  </si>
  <si>
    <t>Sara Ali Mohamed Ahmed</t>
  </si>
  <si>
    <t>ساره على محمد احمد</t>
  </si>
  <si>
    <t>George samaan</t>
  </si>
  <si>
    <t>جورج سمعان</t>
  </si>
  <si>
    <t>Esraa Raafat AbdelHamid Hassan Hussein</t>
  </si>
  <si>
    <t>اسراء رأفت عبد الحميد حسن حسين</t>
  </si>
  <si>
    <t>Sara El Sayed Mustafa El Sayed El Hadary</t>
  </si>
  <si>
    <t>ساره السيد مصطفى السيد الخضري</t>
  </si>
  <si>
    <t>Moataz Mohamed Taha</t>
  </si>
  <si>
    <t>معتز محمد طه</t>
  </si>
  <si>
    <t>R&amp;D Senior Analyst</t>
  </si>
  <si>
    <t>Seham Hemeda Mohamed ElSayed</t>
  </si>
  <si>
    <t>سهام حميده محمد السيد</t>
  </si>
  <si>
    <t>Trevina Nabil Naiem Shenouda</t>
  </si>
  <si>
    <t>تريفينا نبيل نعيم شنوده</t>
  </si>
  <si>
    <t>Hend Ahmed Abd El Fattah Abu Rashed</t>
  </si>
  <si>
    <t>هند أحمد عبد الفتاح أبو راشد</t>
  </si>
  <si>
    <t>Mohamed AbdelRahim Agami Khattab</t>
  </si>
  <si>
    <t>محمد عبدالرحيم عجمى خطاب</t>
  </si>
  <si>
    <t>Ahmed Mahdy Kamel Omar Karaka</t>
  </si>
  <si>
    <t>احمد مهدى كامل عمر كركه</t>
  </si>
  <si>
    <t>Abanoub Sedky Mehawed AbdelNour</t>
  </si>
  <si>
    <t>ابانوب صدقى مهاود عبدالنور</t>
  </si>
  <si>
    <t>Sameh Abdo Ibrahim Awad</t>
  </si>
  <si>
    <t>سامح عبده إبراهيم عوض</t>
  </si>
  <si>
    <t>Ahmed Sayed Shaaban Khalil</t>
  </si>
  <si>
    <t>احمد سيد شعبان خليل</t>
  </si>
  <si>
    <t>Ali Adel Ali ElHamdan</t>
  </si>
  <si>
    <t>على عادل على الهمدان</t>
  </si>
  <si>
    <t>Ahmed AbdelWahab Mousa Shalaby</t>
  </si>
  <si>
    <t>احمد عبدالوهاب موسى شلبى</t>
  </si>
  <si>
    <t>Mostafa Bahgat AbdelMegied AboelNasr</t>
  </si>
  <si>
    <t>مصطفى بهجت عبد المجيد أبو النصر</t>
  </si>
  <si>
    <t>laundry Worker</t>
  </si>
  <si>
    <t>Engy Hussein Amary Abdullah</t>
  </si>
  <si>
    <t>انجى حسين عمرى عبدالله</t>
  </si>
  <si>
    <t>Amira Ibrahim ElKomy Ahmed</t>
  </si>
  <si>
    <t>اميره إبراهيم الكومى احمد</t>
  </si>
  <si>
    <t>Ahmed Fathy AbdelHamid Hassan Ali</t>
  </si>
  <si>
    <t>احمد فتحى عبد الحميد حسن على</t>
  </si>
  <si>
    <t>Fatma AbdelFattah Ibrahim ElSutohy</t>
  </si>
  <si>
    <t>فاطمه عبد الفتاح إبراهيم السطوحى</t>
  </si>
  <si>
    <t>Ahmed Hossameldin Mohamed Said Mohamed</t>
  </si>
  <si>
    <t>احمد حسام الدين محمد سعيد محمد الشعراوي</t>
  </si>
  <si>
    <t>Ezzat Shoukry AbdelKhalek AbdelRahman</t>
  </si>
  <si>
    <t>عزت شكرى عبدالخالق عبدالرحمن</t>
  </si>
  <si>
    <t>Mohamed Othman AbdelFattah Negm</t>
  </si>
  <si>
    <t>محمد عثمان عبدالفتاح نجم</t>
  </si>
  <si>
    <t>Haytham Mohamed SalahelDin NasrelDin</t>
  </si>
  <si>
    <t>هيثم محمد صلاح الدين نصر الدين</t>
  </si>
  <si>
    <t>Food &amp; Beverage Section Head</t>
  </si>
  <si>
    <t>Amira Nagy Shawky Asaad</t>
  </si>
  <si>
    <t>اميرة ناجى شوقى اسعد</t>
  </si>
  <si>
    <t>Khaled Abd El Nasser Mohamed Amasha</t>
  </si>
  <si>
    <t>خالد عبدالناصر محمد عماشة</t>
  </si>
  <si>
    <t>Nadine Ayman Mahmoud Abo Zeid El Sabagh</t>
  </si>
  <si>
    <t>نادين ايمن محمود ابوزيد الصباغ</t>
  </si>
  <si>
    <t>Planning Specialist</t>
  </si>
  <si>
    <t>Moshira Mohamed Youssef Mohamed</t>
  </si>
  <si>
    <t>مشيرة محمد يوسف محمد</t>
  </si>
  <si>
    <t>Haitham Mohamad Gamal Abdullah</t>
  </si>
  <si>
    <t>هيثم محمد جمال عبداللاه</t>
  </si>
  <si>
    <t>Hoda Reda AbdeLMegied Mohamad</t>
  </si>
  <si>
    <t>هدى رضا عبدالمجيد محمد</t>
  </si>
  <si>
    <t>osama Al- Sayed hassan Al-Azb</t>
  </si>
  <si>
    <t>اسامة السيد حسن العزب</t>
  </si>
  <si>
    <t>Ahmed Mohamed Gouda Mohamed</t>
  </si>
  <si>
    <t>احمد محمد جوده محمد</t>
  </si>
  <si>
    <t>Eman Adel Hussein Ahmed Shoman</t>
  </si>
  <si>
    <t>ايمان عادل حسين احمد شومان</t>
  </si>
  <si>
    <t>Eman ElAwady Rady ElAwady Othman</t>
  </si>
  <si>
    <t>ايمان العوضى راضى العوضى عثمان</t>
  </si>
  <si>
    <t>Kerellos Botros Anwar Basilios</t>
  </si>
  <si>
    <t>كيرلس بطرس أنور باسليوس</t>
  </si>
  <si>
    <t>Mohamed Ahmed Ali El Nakidy</t>
  </si>
  <si>
    <t>محمد احمد على النقيدى</t>
  </si>
  <si>
    <t>Ahmed Mostafa Tawfik AbdelGalil Mohamed</t>
  </si>
  <si>
    <t>أحمد مصطفى توفيق عبد الجليل محمد</t>
  </si>
  <si>
    <t>Maryam Mohamed Safwat Ahmed Abd El Aziz</t>
  </si>
  <si>
    <t>مريم محمد صفوت احمد عبد العزيز</t>
  </si>
  <si>
    <t>PV &amp; Medical Associate</t>
  </si>
  <si>
    <t>Mohamad Musalam AbdelSamiea Muslim</t>
  </si>
  <si>
    <t>محمد مسلم عبد السميع مسلم</t>
  </si>
  <si>
    <t>Warehouse Technician &amp; Forklift Driver</t>
  </si>
  <si>
    <t>Obaida ElSayed Mohamed Yousef</t>
  </si>
  <si>
    <t>عبيده السيد محمد يوسف</t>
  </si>
  <si>
    <t>Mohamed Abd El Karim Abd El Hamid Abd El Halim</t>
  </si>
  <si>
    <t>محمد عبد الكريم عبد الحميد عبد الحليم</t>
  </si>
  <si>
    <t>Mohamed Ayman Mohamed Sayed Ahmed</t>
  </si>
  <si>
    <t>محمد ايمن محمد سيد احمد</t>
  </si>
  <si>
    <t>Nahla Talaat Bayoumi Mohamed</t>
  </si>
  <si>
    <t>نهله طلعت بيومى محمد</t>
  </si>
  <si>
    <t>Data Entry &amp; Admin Production</t>
  </si>
  <si>
    <t>Mohamed Ahmed Ahmed Heikal</t>
  </si>
  <si>
    <t>محمد احمد احمد هيكل</t>
  </si>
  <si>
    <t>Heba AbdelNasser Ashour Mohamad</t>
  </si>
  <si>
    <t>هبه عبدالناصر عاشور محمد</t>
  </si>
  <si>
    <t>Ahmed Ramadan Naeem</t>
  </si>
  <si>
    <t>احمد رمضان نعييم</t>
  </si>
  <si>
    <t>Ahmed Ibrahim Emam Ibrahim Emam</t>
  </si>
  <si>
    <t>احمد إبراهيم امام إبراهيم امام</t>
  </si>
  <si>
    <t>Warehouse and Administrative Specialist</t>
  </si>
  <si>
    <t>AbdelRahman Mohamed Mohamed ElEbiary</t>
  </si>
  <si>
    <t>عبد الرحمن محمد محمد الابيارى</t>
  </si>
  <si>
    <t>Mostafa Mohamed Mostafa Mohamed Elwan</t>
  </si>
  <si>
    <t>مصطفى محمد مصطفى محمد علوان</t>
  </si>
  <si>
    <t>Ahmed Said</t>
  </si>
  <si>
    <t>أحمد سعيد</t>
  </si>
  <si>
    <t>Compliance Technician</t>
  </si>
  <si>
    <t>Mohamed Kamal AbdelLatif Tantawy</t>
  </si>
  <si>
    <t>محمد كمال عبد اللطيف طنطاوي</t>
  </si>
  <si>
    <t>Amaal Mohamed Ibrahim Mohamed Abdella</t>
  </si>
  <si>
    <t>أمال محمد إبراهيم محمد عبداللا</t>
  </si>
  <si>
    <t>Fadwa Ahmed Sultan Khalil</t>
  </si>
  <si>
    <t>فدوى احمد سلطان خليل</t>
  </si>
  <si>
    <t>Ayman Anwar Saad Bsada</t>
  </si>
  <si>
    <t>ايمن أنور سعد بساده</t>
  </si>
  <si>
    <t>Ibrahim Mostafa Kamel Madbouly</t>
  </si>
  <si>
    <t>ابراهيم مصطفى كامل مدبولى</t>
  </si>
  <si>
    <t>Export Senior Specialist</t>
  </si>
  <si>
    <t>Abdullah Mohamed Ahmed Mohamed Mohamed Darwish</t>
  </si>
  <si>
    <t>عبدالله محمد احمد محمد محمد درويش</t>
  </si>
  <si>
    <t>Raneem Saleh Mohamed Nabeeh Hassan</t>
  </si>
  <si>
    <t>رنيم صالح محمد نبيه حسن</t>
  </si>
  <si>
    <t>Mahmoud Hatem Ahmed AbdelRahim</t>
  </si>
  <si>
    <t>محمود حاتم احمد عبد الرحيم</t>
  </si>
  <si>
    <t>Validation Specialist</t>
  </si>
  <si>
    <t>Mohamed Hussein Mohamed Shoulkamy</t>
  </si>
  <si>
    <t>محمد حسين محمد شلقامى</t>
  </si>
  <si>
    <t>Ahmed Osama Hamed Abdel Azim El Sayed</t>
  </si>
  <si>
    <t>احمد اسامه حامد عبد العظيم السيد</t>
  </si>
  <si>
    <t>Sherry Hanna Ibrahim Abdullah Gerges</t>
  </si>
  <si>
    <t>شيرى حنا ابراهيم عبدالله جرجس</t>
  </si>
  <si>
    <t>رشا ايمن طلعت محمد</t>
  </si>
  <si>
    <t>QA Systems Senior Officer</t>
  </si>
  <si>
    <t>qa-doc@future-eg.com</t>
  </si>
  <si>
    <t>Mostafa Mohamed Taha Hassan</t>
  </si>
  <si>
    <t>مصطفى محمد طه حسن</t>
  </si>
  <si>
    <t>Mohamed AbdelAty Hassan Yassin</t>
  </si>
  <si>
    <t>محمد عبد العاطى حسن يس</t>
  </si>
  <si>
    <t>Monica Lotfy Zakaria Sayed</t>
  </si>
  <si>
    <t>مونيكا لطفى زكريا سيد</t>
  </si>
  <si>
    <t>Mohamed Mahmoud Mohamed Mohamed ElNady</t>
  </si>
  <si>
    <t>محمد محمود محمد محمد النادى</t>
  </si>
  <si>
    <t>Karim Waheed Samir Eliazer</t>
  </si>
  <si>
    <t>كريم وحيد سمير اليعاظر</t>
  </si>
  <si>
    <t>Radwa Hamdy Mohamed Khalifa</t>
  </si>
  <si>
    <t>رضوى حمدى محمد خليفه</t>
  </si>
  <si>
    <t>Mohamed Tawfik Mohamed Gabr</t>
  </si>
  <si>
    <t>محمد توفيق محمد جبر</t>
  </si>
  <si>
    <t>AyaAllah El Araby ElSayed Mohamed Negm</t>
  </si>
  <si>
    <t>ايه الله العربى السيد محمد نجم</t>
  </si>
  <si>
    <t>Hossam Mostafa ElSayed Mohamad Abdullah</t>
  </si>
  <si>
    <t>حسام مصطفى السيد محمد عبدالله</t>
  </si>
  <si>
    <t>Mohamed Nabil Gaber AbdelAal</t>
  </si>
  <si>
    <t>محمد نبيل جابر عبدالعال</t>
  </si>
  <si>
    <t>Ahmed Samy Abdullah Ahmed</t>
  </si>
  <si>
    <t>احمد سامى عبدالله احمد</t>
  </si>
  <si>
    <t>Mina Farag Salib Farag Asaad</t>
  </si>
  <si>
    <t>مينا فرج صليب فرج اسعد</t>
  </si>
  <si>
    <t>Peter Gerges Azar Awad ElBarawy</t>
  </si>
  <si>
    <t>بيتر جرجس عازر عوض البراوي</t>
  </si>
  <si>
    <t>Hammad Abd El Hak Abd El Fattah Abo Zaid</t>
  </si>
  <si>
    <t>حماد عبدالحق عبدالفتاح ابوزيد</t>
  </si>
  <si>
    <t>Mohamed Mansour Metwally Ali ElHosary</t>
  </si>
  <si>
    <t>محمد منصور متولى على الحصرى</t>
  </si>
  <si>
    <t>Mahmoud Shebl Hamed Mohamed ElNaggar</t>
  </si>
  <si>
    <t>محمود شبل حامد محمد النجار</t>
  </si>
  <si>
    <t>Senior Treasury Accountant</t>
  </si>
  <si>
    <t>Mohamed Ashraf Mohamed Abd Rabbo Hawas</t>
  </si>
  <si>
    <t>محمد اشرف محمد عبدربه حواس</t>
  </si>
  <si>
    <t>Ibram Gerges AbdelKodous Hanna</t>
  </si>
  <si>
    <t>ابرام جرجس عبد القدوس حنا</t>
  </si>
  <si>
    <t>Amr Mohamed Farhat Mohamed</t>
  </si>
  <si>
    <t>عمرو محمد فرحات محمد</t>
  </si>
  <si>
    <t>Mina Safwat Labib Youssef</t>
  </si>
  <si>
    <t>مينا صفوت لبيب يوسف</t>
  </si>
  <si>
    <t>Ayman Tarek Mousa AbdelSatar</t>
  </si>
  <si>
    <t>ايمن طارق موسى عبدالستار</t>
  </si>
  <si>
    <t>QC Senior Analyst</t>
  </si>
  <si>
    <t>Mostafa Gamal Shahat Ali Salem</t>
  </si>
  <si>
    <t>مصطفى جمال شحات على سالم</t>
  </si>
  <si>
    <t>Hazem Khaled Abd El Shafiy Mabrouk</t>
  </si>
  <si>
    <t>حازم خالد عبد الشافى مبروك</t>
  </si>
  <si>
    <t>Ramy Kamal Emil Khouzam</t>
  </si>
  <si>
    <t>رامى كمال اميل خزام</t>
  </si>
  <si>
    <t>Marina Fouad Adly Awad</t>
  </si>
  <si>
    <t>مارينا فؤاد عدلى عوض</t>
  </si>
  <si>
    <t>Aya Magdy Ahmed Mohamed Ismail</t>
  </si>
  <si>
    <t>ايه مجدى احمد محمد إسماعيل</t>
  </si>
  <si>
    <t>Karim Mahmoud Abd El Rahim Badawy</t>
  </si>
  <si>
    <t>كريم محمود عبدالرحيم بدوى</t>
  </si>
  <si>
    <t>Finished Product Analyst</t>
  </si>
  <si>
    <t>Amany Ahmed Mohamed Moustafa</t>
  </si>
  <si>
    <t>اماني احمد محمد مصطفى</t>
  </si>
  <si>
    <t>Samy AbdelWahab Nabih Ahmed Ibrahim</t>
  </si>
  <si>
    <t>سامى عبدالوهاب نبيه احمد إبراهيم</t>
  </si>
  <si>
    <t>Youssef Mohamed Abd El Aziz Mohamed Youssef</t>
  </si>
  <si>
    <t>يوسف محمد عبدالعزيز محمد يوسف</t>
  </si>
  <si>
    <t>Abanoub Reda Tawfik Abdo</t>
  </si>
  <si>
    <t>ابانوب رضا توفيق عبده</t>
  </si>
  <si>
    <t>Mahmoud Shaaban Hussein Abo Gabal</t>
  </si>
  <si>
    <t>محمود شعبان حسين ابوجبل</t>
  </si>
  <si>
    <t>Mennat Allah Mahmoud Amin ElSaadany</t>
  </si>
  <si>
    <t>منة الله محمود امين السعدنى</t>
  </si>
  <si>
    <t>Yara Ayman Mohamed Mohamed El Saeed</t>
  </si>
  <si>
    <t>يارا ايمن محمد محمد السعيد</t>
  </si>
  <si>
    <t>Mostafa Mohamed AbdelSamie AbdRabbo</t>
  </si>
  <si>
    <t>مصطفى محمد عبد السميع عبدربه</t>
  </si>
  <si>
    <t>Salma Osama Zakaria Ahmed</t>
  </si>
  <si>
    <t>سلمى اسامه ذكريا احمد</t>
  </si>
  <si>
    <t>AbdelGhany Mohamed AbdelGhany Mohamed</t>
  </si>
  <si>
    <t>عبد الغنى محمد عبد الغنى محمد إبراهيم</t>
  </si>
  <si>
    <t>Liquid Packaging Technician</t>
  </si>
  <si>
    <t>Hossam ElDin Mosaad ElAwady Mohamed Kashakl</t>
  </si>
  <si>
    <t>حسام الدين مسعد العوضى محمد كشكل</t>
  </si>
  <si>
    <t>Production Specialist</t>
  </si>
  <si>
    <t>Michael Sobhy Atallah Georgy</t>
  </si>
  <si>
    <t>مايكل صبحى عطالله جورجى</t>
  </si>
  <si>
    <t>Mohamed Sobhy Amin Shehata Basha</t>
  </si>
  <si>
    <t>محمد صبحى امين شحاته باشا</t>
  </si>
  <si>
    <t>Ahmed Essam El Din Salem Hussein</t>
  </si>
  <si>
    <t>احمد عصام الدين سالم حسين</t>
  </si>
  <si>
    <t>Emad Khalaf Attia Abaskhroun</t>
  </si>
  <si>
    <t>عماد خلف عطيه ابسخرون</t>
  </si>
  <si>
    <t>Mohamed Ismail Mohamed Metwally</t>
  </si>
  <si>
    <t>محمد إسماعيل محمد متولى</t>
  </si>
  <si>
    <t>Hanan Mohamed Ebeid Morsy</t>
  </si>
  <si>
    <t>حنان محمد عبيد مرسى</t>
  </si>
  <si>
    <t>Marlin Malak Shahat Barsoum</t>
  </si>
  <si>
    <t>مارلين ملاك شحات برسوم</t>
  </si>
  <si>
    <t>Brand Manager</t>
  </si>
  <si>
    <t>Ahmed Alaa Eldein Ibrahim Mohamed Kiwan</t>
  </si>
  <si>
    <t>احمد علاءالدين إبراهيم محمد كيوان</t>
  </si>
  <si>
    <t>Mohamed Hussein Mohamed Mahdy Hanoon</t>
  </si>
  <si>
    <t>محمد حسين محمد مهدى هنون</t>
  </si>
  <si>
    <t>Ibrahim Nagy Hamed El-Eraky</t>
  </si>
  <si>
    <t>إبراهيم ناجى حامد العراقى</t>
  </si>
  <si>
    <t>Mohamed Salah Mohamed Ali Gomaa</t>
  </si>
  <si>
    <t>محمد صلاح محمد على جمعه</t>
  </si>
  <si>
    <t>Abd ElRahman Ismail ElSayed Ismail</t>
  </si>
  <si>
    <t>عبدالرحمن إسماعيل السيد إسماعيل</t>
  </si>
  <si>
    <t>Amira Gamal AbdelNasser Ibrahim Metwally</t>
  </si>
  <si>
    <t>اميره جمال عبدالناصر إبراهيم متولى</t>
  </si>
  <si>
    <t>Martina Farhat Youssef Gadallah</t>
  </si>
  <si>
    <t>مارتينا فرحات يوسف جادالله</t>
  </si>
  <si>
    <t>Khaled Ahmed Mohamed Ahmed Hassan</t>
  </si>
  <si>
    <t>خالد احمد محمد احمد حسن</t>
  </si>
  <si>
    <t>System Administrator</t>
  </si>
  <si>
    <t>Tamer ElSayed Noaman Abd ElHalim</t>
  </si>
  <si>
    <t>تامر السيد نعمان عبدالحليم</t>
  </si>
  <si>
    <t>BU7</t>
  </si>
  <si>
    <t>AbdelRahman Mohamady Ibrahim Saleh</t>
  </si>
  <si>
    <t>عبد الرحمن محمدى إبراهيم صالح</t>
  </si>
  <si>
    <t>Packaging senior analyst</t>
  </si>
  <si>
    <t>Esraa samy fathy</t>
  </si>
  <si>
    <t>اسراء سامى فتحى</t>
  </si>
  <si>
    <t>Khaled Mohamed Khaled Fadel Mohamed</t>
  </si>
  <si>
    <t>خالد محمد خالد فاضل محمد</t>
  </si>
  <si>
    <t>Hussein Abd ElAziz ElٍSayed Moustafa Shaaban</t>
  </si>
  <si>
    <t>حسين عبدالعزيز السيد مصطفى شعبان</t>
  </si>
  <si>
    <t>Michael Youssef Younan Youssef</t>
  </si>
  <si>
    <t>مايكل يوسف يونان يوسف</t>
  </si>
  <si>
    <t>Mahmoud Abd El Latif Mahmoud Taha</t>
  </si>
  <si>
    <t>محمود عبداللطيف محمود طه</t>
  </si>
  <si>
    <t>Pavili Abo El Hool Makhaly Tadros</t>
  </si>
  <si>
    <t>بافلى ابوالهول مخالى تادرس</t>
  </si>
  <si>
    <t>Maryam Atef Deif AbdelMalek</t>
  </si>
  <si>
    <t>مريم عاطف ضيف عبدالملك</t>
  </si>
  <si>
    <t>Catherine Khairy Shawky Tanago Shehata</t>
  </si>
  <si>
    <t>كاترين خيرى شوقى تناغو شحاته</t>
  </si>
  <si>
    <t>Karoline Khalil Gayed Khalil</t>
  </si>
  <si>
    <t>كارولين خليل جيد خليل</t>
  </si>
  <si>
    <t>Sara Mohamed Abd El Azim Lashin</t>
  </si>
  <si>
    <t>ساره محمد عبدالعظيم لاشين</t>
  </si>
  <si>
    <t>Sally Sobhy Lotfy Zaky</t>
  </si>
  <si>
    <t>سالى صبحى لطفى زكى</t>
  </si>
  <si>
    <t>Noha Mohamed Younes Ahmed</t>
  </si>
  <si>
    <t>نهى محمد يونس احمد</t>
  </si>
  <si>
    <t>EIaria Reda Keaser Bsada</t>
  </si>
  <si>
    <t>ايلاريه رضا قيصر بساده</t>
  </si>
  <si>
    <t>Walid Mohamed El Sayed El Baz</t>
  </si>
  <si>
    <t>وليد محمد السيد الباز</t>
  </si>
  <si>
    <t>Marina Sameh Sedhom Youssef AbdelSayed</t>
  </si>
  <si>
    <t>مارينا سامح سيدهم يوسف عبدالسيد</t>
  </si>
  <si>
    <t>Shimaa Ali Masoud Mohamed Ahmed ElNawasany</t>
  </si>
  <si>
    <t>شيماء على مسعود محمد احمد النواسانى</t>
  </si>
  <si>
    <t>Beshoy Adel Botros Abdo</t>
  </si>
  <si>
    <t>بيشوى عادل بطرس عبده</t>
  </si>
  <si>
    <t>Rana Mohamed Fahmy Mahmoud Ali</t>
  </si>
  <si>
    <t>رنا محمد فهمى محمود على</t>
  </si>
  <si>
    <t>Field Trainer</t>
  </si>
  <si>
    <t>Eman Mohamed AbdelRaouf Abdo Flayes</t>
  </si>
  <si>
    <t>ايمان محمد عبد الرؤوف عبده فليس</t>
  </si>
  <si>
    <t>Andrew Wahib Fathy Labib Abdo</t>
  </si>
  <si>
    <t>اندرو وهيب فتحى لبيب عبده</t>
  </si>
  <si>
    <t>Ahmed Mohamed Abd El Moneim Ahmed El Nawasany</t>
  </si>
  <si>
    <t>احمد محمد عبد المنعم احمد النوسانى</t>
  </si>
  <si>
    <t>Mahmoud Saber Mohamed ElSayed</t>
  </si>
  <si>
    <t>محمود صابر محمد السيد</t>
  </si>
  <si>
    <t>Ereny Momtaz Fouad Gabra</t>
  </si>
  <si>
    <t>ايرينى ممتاز فؤاد جبره</t>
  </si>
  <si>
    <t>Hussein Ahmed Mohamed Okasha</t>
  </si>
  <si>
    <t>حسين احمد محمد عكاشه</t>
  </si>
  <si>
    <t>Marian Saad Labib Fikeus</t>
  </si>
  <si>
    <t>ماريان سعد لبيب فكيوس</t>
  </si>
  <si>
    <t>Reham El Helaly Ali Ibrahim</t>
  </si>
  <si>
    <t>ريهام الهلالى على إبراهيم</t>
  </si>
  <si>
    <t>Shady Mahrous Shaker Mikhael</t>
  </si>
  <si>
    <t>شادى محروص شاكر ميخائيل</t>
  </si>
  <si>
    <t>Regional Sales Manager</t>
  </si>
  <si>
    <t>Mahmoud Samy Ibrahim Mohamed Halqa</t>
  </si>
  <si>
    <t>محمود سامى إبراهيم محمد حلقه</t>
  </si>
  <si>
    <t>Ahmed Ali Abd El Ghany El Nagar</t>
  </si>
  <si>
    <t>احمد على عبدالغنى النجار</t>
  </si>
  <si>
    <t>Shimaa Fawzy Abd El Khalek Mahmoud Khater</t>
  </si>
  <si>
    <t>شيماء فوزى عبدالخالق محمود خاطر</t>
  </si>
  <si>
    <t>Heba Ramadan Younis Khalifa</t>
  </si>
  <si>
    <t>هبه رمضان يونس خليفه</t>
  </si>
  <si>
    <t>Hussein Esmat Anwar Ahmed Bkeer</t>
  </si>
  <si>
    <t>حسين عصمت أنور احمد بكير</t>
  </si>
  <si>
    <t>Mohsen Abd El Galil Youssef Abdel Kader</t>
  </si>
  <si>
    <t>محسن عبدالجليل يوسف عبدالقادر</t>
  </si>
  <si>
    <t>Michael Nabil Karam Mikhael Youssef</t>
  </si>
  <si>
    <t>مايكل نبيل كرم ميخائيل يوسف</t>
  </si>
  <si>
    <t>Mahmoud Essam Mohamed Abd El Rahman</t>
  </si>
  <si>
    <t>محمود عصام محمد عبدالرحمن</t>
  </si>
  <si>
    <t>Eslam Mohamed Ali AbdelRazik Ali</t>
  </si>
  <si>
    <t>اسلام محمد على عبد الرازق على</t>
  </si>
  <si>
    <t>Ahmed Mohamed Abd El Aziz Attia Metwally</t>
  </si>
  <si>
    <t>احمد محمد عبد العزيز عطيه متولى</t>
  </si>
  <si>
    <t>Mirna Youssef Shafik Awad</t>
  </si>
  <si>
    <t>ميرنا يوسف شفيق عوض</t>
  </si>
  <si>
    <t>Maryam Asfour Philip Sadik</t>
  </si>
  <si>
    <t>مريم عصفور فيليب صادق</t>
  </si>
  <si>
    <t>Haidi Gamal Mohamed Abo ElSayed</t>
  </si>
  <si>
    <t>هايدى جمال محمد أبو السيد</t>
  </si>
  <si>
    <t>Monika Milad Shehata Georgi</t>
  </si>
  <si>
    <t>مونيكا ميلاد شحاته جورجى</t>
  </si>
  <si>
    <t>Eslam Mohamed Mahmoud ElSayed Hilal</t>
  </si>
  <si>
    <t>اسلام محمد محمود السيد هلال</t>
  </si>
  <si>
    <t>Ali Eid Shaker Abdullah</t>
  </si>
  <si>
    <t>على عيد شاكر عبدالله</t>
  </si>
  <si>
    <t>Nada Ramadan Rabie AboelEaz</t>
  </si>
  <si>
    <t>ندا رمضان ربيع أبو العز</t>
  </si>
  <si>
    <t>Mohamed Amin Mohamed Saber</t>
  </si>
  <si>
    <t>محمد امين محمد صابر</t>
  </si>
  <si>
    <t>Ayman Tarek Abd El Aziz Mohamed Behairy</t>
  </si>
  <si>
    <t>ايمن طارق عبد العزيز محمد بحيرى</t>
  </si>
  <si>
    <t>Martina Rashad Wahba Gendy</t>
  </si>
  <si>
    <t>مارتينا رشاد وهبه جندي</t>
  </si>
  <si>
    <t>Fady Samy Wadie Hanna</t>
  </si>
  <si>
    <t>فادى سامى وديع حنا</t>
  </si>
  <si>
    <t>Ahmed Mohamed El Sayed Attia</t>
  </si>
  <si>
    <t>احمد محمد السيد عطيه</t>
  </si>
  <si>
    <t>Teudora Sameh Yenni Badwany</t>
  </si>
  <si>
    <t>تيودورا سامح ينى بدوانى</t>
  </si>
  <si>
    <t>Hanna Samir Hanna Nicola Moussa</t>
  </si>
  <si>
    <t>حنا سمير حنا نيقولا موسى</t>
  </si>
  <si>
    <t>Amira Mahmoud Khalil Omar</t>
  </si>
  <si>
    <t>اميره محمود خليل عمر</t>
  </si>
  <si>
    <t>Mohamed Nasr Mohamed Ibrahim Makled</t>
  </si>
  <si>
    <t>محمد نصر محمد إبراهيم مقلد</t>
  </si>
  <si>
    <t>Abdullah Khamis ElSayed Othman</t>
  </si>
  <si>
    <t>عبد الله خميس السيد عثمان</t>
  </si>
  <si>
    <t>Mahmoud Tawfik Ahmed El Gendy</t>
  </si>
  <si>
    <t>محمود توفيق احمد الجندى</t>
  </si>
  <si>
    <t>Rawan Ahmed ElSayed Mohamed ElAshry</t>
  </si>
  <si>
    <t>روان احمد السيد محمد العشرى</t>
  </si>
  <si>
    <t>مصطفى عادل توفيق</t>
  </si>
  <si>
    <t>Ahmed ElSayed Ahmed Mohamed Ahmed</t>
  </si>
  <si>
    <t>احمد السيد احمد محمد احمد</t>
  </si>
  <si>
    <t>Mahmoud Reda Atef Abd ElMoaty</t>
  </si>
  <si>
    <t>محمود رضا عاطف عبد المعطى</t>
  </si>
  <si>
    <t>Haitham Mahmoud Mohamed AbdelHalim</t>
  </si>
  <si>
    <t>هيثم محمود محمد عبد الحليم</t>
  </si>
  <si>
    <t>Shimaa Saeed AbdelRazek Shehata</t>
  </si>
  <si>
    <t>شيماء سعيد عبدالرازق شحاته</t>
  </si>
  <si>
    <t>Ibrahim Mosaad Ibrahim Mosaad</t>
  </si>
  <si>
    <t>إبراهيم مسعد إبراهيم مسعد</t>
  </si>
  <si>
    <t>Basma Mostafa Mohamed ElSayed</t>
  </si>
  <si>
    <t>بسمه مصطفى محمد السيد</t>
  </si>
  <si>
    <t>Ramy Ragab Mahmoud Othman</t>
  </si>
  <si>
    <t>رامى رجب محمود عثمان</t>
  </si>
  <si>
    <t>Shereen Atwa Mohamed ElSayed Ibrahim</t>
  </si>
  <si>
    <t>شرين عطوه محمد السيد إبراهيم</t>
  </si>
  <si>
    <t>Abd ElRahman Mostafa Abd ElMoneam Mohamed ElZagh</t>
  </si>
  <si>
    <t>عبدالرحمن مصطفى عبدالمنعم محمد الزاغ</t>
  </si>
  <si>
    <t>Abeer Mohamed Ibrahim Awad ElAtfy</t>
  </si>
  <si>
    <t>عبير محمد إبراهيم عوض العطفى</t>
  </si>
  <si>
    <t>AbdelRahman Yousry Abdullah Mahlab</t>
  </si>
  <si>
    <t>عبدالرحمن يسرى عبدالله محيلب</t>
  </si>
  <si>
    <t>Abd ElRahman Saad Abd ElKarim Mohamed</t>
  </si>
  <si>
    <t>عبدالرحمن سعد عبدالكريم محمد</t>
  </si>
  <si>
    <t>Aya Mohamed Attia ElShahat Ismail Saleh</t>
  </si>
  <si>
    <t>ايه محمد عطيه الشحات إسماعيل صالح</t>
  </si>
  <si>
    <t>Mina Sabry Zaky Saad</t>
  </si>
  <si>
    <t>مينا صبرى زكى سعد</t>
  </si>
  <si>
    <t>Mostafa Talaat Saber Qamar ElDawla</t>
  </si>
  <si>
    <t>مصطفى طلعت صابر قمرالدوله</t>
  </si>
  <si>
    <t>Alaa Mostafa Abd ElKhalek ElMehrath</t>
  </si>
  <si>
    <t>الاء مصطفى عبدالخالق المحراث</t>
  </si>
  <si>
    <t>Mohamed Ibrahim Mohamed Shadof</t>
  </si>
  <si>
    <t>محمد إبراهيم محمد شادوف</t>
  </si>
  <si>
    <t>Abd ElRahman Mohamed Ali Ahmed</t>
  </si>
  <si>
    <t>عبد الرحمن محمد على احمد</t>
  </si>
  <si>
    <t>Ola Abd ElAal Abd ElKhalek Abd ElAal</t>
  </si>
  <si>
    <t>علا عبدالعال عبد الخالق عبدالعال</t>
  </si>
  <si>
    <t>Mirna Mostafa Abd ElRahman Mostafa Halil</t>
  </si>
  <si>
    <t>ميرنا مصطفى عبدالرحمن مصطفى هليل</t>
  </si>
  <si>
    <t>Mohamed Gamal Shehata Hegazy</t>
  </si>
  <si>
    <t>محمد جمال شحاته حجازي</t>
  </si>
  <si>
    <t>Ahmed Mostafa khalel</t>
  </si>
  <si>
    <t>أحمد مصطفي خليل عطا الله</t>
  </si>
  <si>
    <t>Engineering Section Head</t>
  </si>
  <si>
    <t>Nihal Omran Mohamed Mohamed Sayed Ahmed</t>
  </si>
  <si>
    <t>نهال عمران محمد محمد سيد احمد</t>
  </si>
  <si>
    <t>Mohamed Magdy Mohamed Abd ElAziz</t>
  </si>
  <si>
    <t>محمد مجدى محمد عبدالعزيز</t>
  </si>
  <si>
    <t>Aya Abd ElBasset Abd ElMoaem Boshnak</t>
  </si>
  <si>
    <t>ايه عبدالباسط عبدالمنعم مصطفى بشناق</t>
  </si>
  <si>
    <t>Loris Samir Sobhy Eskaroos</t>
  </si>
  <si>
    <t>لوريس سمير صبحى اسكاروس</t>
  </si>
  <si>
    <t>Marco Mahrous Tawfik Eshak</t>
  </si>
  <si>
    <t>ماركو محروس توفيق اسحق</t>
  </si>
  <si>
    <t>Shorouk Gamal Mohamed ElHady Ali</t>
  </si>
  <si>
    <t>شروق جمال محمد الهادى على</t>
  </si>
  <si>
    <t>Alaa AbdelNasser Maghawry AboSabaa</t>
  </si>
  <si>
    <t>آلاء عبدالناصر المغاورى ابوسبع</t>
  </si>
  <si>
    <t>Aya Reda Abdo Ghorab</t>
  </si>
  <si>
    <t>ايه رضا عبده غراب</t>
  </si>
  <si>
    <t>Gihad Gamal Gomaa AbdelHamed</t>
  </si>
  <si>
    <t>جهاد جمال جمعه عبدالحميد</t>
  </si>
  <si>
    <t>Mohamed Ahmed Mohamed Saleh</t>
  </si>
  <si>
    <t>محمد احمد محمد صالح</t>
  </si>
  <si>
    <t>Compression Operator Technician</t>
  </si>
  <si>
    <t>Mahmoud Mohamed Sayed Hassanein</t>
  </si>
  <si>
    <t>محمود محمد سيد حسانين</t>
  </si>
  <si>
    <t>Mohamed Shawky Mohamed ElShahat Mostafa ElFaky</t>
  </si>
  <si>
    <t>محمد شوقي محمد الشحات مصطفى الفقي</t>
  </si>
  <si>
    <t>Noura Mahmoud Saadeldin Mohamed Hussein</t>
  </si>
  <si>
    <t>نورا محمود سعدالدين محمد حسين</t>
  </si>
  <si>
    <t>Walid Farrag Oraby Ahmed</t>
  </si>
  <si>
    <t>وليد فراج عرابى احمد</t>
  </si>
  <si>
    <t>Special Needs - Plant</t>
  </si>
  <si>
    <t>Special Needs</t>
  </si>
  <si>
    <t>Mohamed Hassan Abdullah Ahmed</t>
  </si>
  <si>
    <t>محمد حسن عبدالله احمد</t>
  </si>
  <si>
    <t>m.hassan@future-eg.com</t>
  </si>
  <si>
    <t>Mohamed Abdo Mohamed Galal</t>
  </si>
  <si>
    <t>محمد عبده محمد جلال</t>
  </si>
  <si>
    <t>Nour Yahya Abdel Rahman</t>
  </si>
  <si>
    <t>نور يحيى عبد الرحمن</t>
  </si>
  <si>
    <t>Walid Ahmed Atta Hassan</t>
  </si>
  <si>
    <t>وليد احمد عطا حسن</t>
  </si>
  <si>
    <t>Mohamed Ahmed Mohamed Ahmed</t>
  </si>
  <si>
    <t>محمد احمد محمد احمد</t>
  </si>
  <si>
    <t>Fawzya Atef Hamdy Amin</t>
  </si>
  <si>
    <t>فوزية عاطف حمدى امين</t>
  </si>
  <si>
    <t>Mohamed Samy Helmy Hanafy</t>
  </si>
  <si>
    <t>محمد سامى حلمى حنفى</t>
  </si>
  <si>
    <t>Sayed Thabet Sayed Thabet</t>
  </si>
  <si>
    <t>سيد ثابت سيد ثابت</t>
  </si>
  <si>
    <t>Mamdouh Ahmed Mohamed</t>
  </si>
  <si>
    <t>ممدوح احمد محمد</t>
  </si>
  <si>
    <t>Hamada Mohamed AbdelMoneim Hassan</t>
  </si>
  <si>
    <t>حماده محمد عبدالمنعم حسن الزقم</t>
  </si>
  <si>
    <t>Mariam Helmy Gerges Beshay</t>
  </si>
  <si>
    <t>مريم حلمى جرجس بشاى</t>
  </si>
  <si>
    <t>Nancy Esmat Fouad Kaliny</t>
  </si>
  <si>
    <t>نانسى عصمت فؤاد قلينى</t>
  </si>
  <si>
    <t>Ahmed Husseiny Mishref Ismail Hassan</t>
  </si>
  <si>
    <t>احمد حسينى مشرف إسماعيل حسن</t>
  </si>
  <si>
    <t>Abd ElRahman Ibrahim Abd ELRahman Zaky Kassem</t>
  </si>
  <si>
    <t>عبدالرحمن إبراهيم عبدالرحمن زكى قاسم</t>
  </si>
  <si>
    <t>Ibrahim Mohamed AbdelGhany Hashhash</t>
  </si>
  <si>
    <t>إبراهيم محمد عبدالغنى هشهش</t>
  </si>
  <si>
    <t>Rania Emad Mahmoud Shawky</t>
  </si>
  <si>
    <t>رانيا عماد محمود شوقى</t>
  </si>
  <si>
    <t>Mohamed Helmy Ali Abo Samak Al Batanoun</t>
  </si>
  <si>
    <t>محمد حلمى على ابو سمك البتانون</t>
  </si>
  <si>
    <t>Abdullah Attia Abdel gaid Attia Diab</t>
  </si>
  <si>
    <t>عبدالله عطية عبد الجيد عطية دياب</t>
  </si>
  <si>
    <t>Mahmoud Issa Saadallah Issa Hamed</t>
  </si>
  <si>
    <t>محمود عيسى سعدالله عيسى حامد</t>
  </si>
  <si>
    <t>Walid Salah Ramadan Khalif</t>
  </si>
  <si>
    <t>وليد صلاح رمضان خليف</t>
  </si>
  <si>
    <t>Samar Yousry Abdel Mohsen Sakr</t>
  </si>
  <si>
    <t>سمر يسرى عبد المحسن صقر</t>
  </si>
  <si>
    <t>Yasser Salah Ramadan Khalif</t>
  </si>
  <si>
    <t>ياسر صلاح رمضان خليف</t>
  </si>
  <si>
    <t>Abdo Galal Abdo Abd ElFattah</t>
  </si>
  <si>
    <t>عبده جلال عبده عبدالفتاح</t>
  </si>
  <si>
    <t>Mayar Mahmoud Mohamed Ali</t>
  </si>
  <si>
    <t>ميار محمود محمد على</t>
  </si>
  <si>
    <t>Hassan ElShafey Mohamed Hussein</t>
  </si>
  <si>
    <t>حسن الشافعى محمد حسين</t>
  </si>
  <si>
    <t>Ahmed Ibrahim Fekry Barakat El Rifay</t>
  </si>
  <si>
    <t>احمد إبراهيم فكرى بركات الرفاعى</t>
  </si>
  <si>
    <t>Ahmed Samir Ahmed Diab Moussa</t>
  </si>
  <si>
    <t>احمد سمير احمد دياب موسى</t>
  </si>
  <si>
    <t>Mohamed AbdelHamid Mohamed Obaida</t>
  </si>
  <si>
    <t>محمد عبدالحميد محمد عبيده</t>
  </si>
  <si>
    <t>Ahmed Khaled Soliman Emam</t>
  </si>
  <si>
    <t>احمد خالد سليمان امام</t>
  </si>
  <si>
    <t>Ahmed Ibrahim Mohamed Ibrahim</t>
  </si>
  <si>
    <t>احمد إبراهيم محمد إبراهيم</t>
  </si>
  <si>
    <t>Mostafa Ahmed Mohamed Shelbaya</t>
  </si>
  <si>
    <t>مصطفى احمد محمد شلبايه</t>
  </si>
  <si>
    <t>Esraa Mahmoud ElDemerdash Saad ElQady</t>
  </si>
  <si>
    <t>اسراء محمود الدمرداش سعد القاضي</t>
  </si>
  <si>
    <t>Ramadan AboZeid Hussein AboZeid</t>
  </si>
  <si>
    <t>رمضان ابوزيد حسين ابوزيد</t>
  </si>
  <si>
    <t>Ahmed Salah AbdelHakam Mahmoud</t>
  </si>
  <si>
    <t>احمد صلاح عبدالحكم محمود</t>
  </si>
  <si>
    <t>Mirna Fawzy Nazmy Tadrous</t>
  </si>
  <si>
    <t>ميرنا فوزى نظمى تادرس</t>
  </si>
  <si>
    <t>Mahmoud Mahmoud Morsy ElNegery</t>
  </si>
  <si>
    <t>محمود محمود مرسى النجيرى</t>
  </si>
  <si>
    <t>Ahmed Mohamed Ibrahim Abada</t>
  </si>
  <si>
    <t>احمد محمد إبراهيم عباده</t>
  </si>
  <si>
    <t>Basma Ahmed Mousa Mahmoud</t>
  </si>
  <si>
    <t>بسمه احمد موسى محمود</t>
  </si>
  <si>
    <t>Ahmed Badir Abd ElRahman Hamza ElSayed</t>
  </si>
  <si>
    <t>احمد بدير عبدالرحمن حمزه السيد</t>
  </si>
  <si>
    <t>Nagwa ElSaeed Abd ElBary ElSheikh</t>
  </si>
  <si>
    <t>نجوى السعيد عبدالبارى الشيخ</t>
  </si>
  <si>
    <t>Marco Nasry Ayyad Bishta</t>
  </si>
  <si>
    <t>ماركو نصرى عياد بشته</t>
  </si>
  <si>
    <t>Alaa Hamed AbdelMoneim Hamed</t>
  </si>
  <si>
    <t>الاء حامد عبدالمنعم حامد</t>
  </si>
  <si>
    <t>Mohamed Ali Abdullah Khalil Abdo</t>
  </si>
  <si>
    <t>محمد على عبدالله خليل عبده</t>
  </si>
  <si>
    <t>Joseph Ezzat Ibrahim Aziz</t>
  </si>
  <si>
    <t>جوزيف عزت إبراهيم عزيز</t>
  </si>
  <si>
    <t>Esraa Mohamed Shawky Abd ElNaby Abdullah Gado</t>
  </si>
  <si>
    <t>اسراء محمد شوقى عبدالنبى عبدالله جادو</t>
  </si>
  <si>
    <t>Andrew Nabil Zaky Zakhery Gaid</t>
  </si>
  <si>
    <t>اندرو نبيل زكى زخارى جيد</t>
  </si>
  <si>
    <t>Magda Maher Kamal Gad ElSayed</t>
  </si>
  <si>
    <t>ماجده ماهر كمال جادالسيد</t>
  </si>
  <si>
    <t>Fady Kamal Helmy Rashed</t>
  </si>
  <si>
    <t>فادى كمال حلمى راشد</t>
  </si>
  <si>
    <t>Amany Mohamed Ahmed Emam</t>
  </si>
  <si>
    <t>امانى محمد احمد امام</t>
  </si>
  <si>
    <t>Noha Khaled Ali Mohamed ElLeithy</t>
  </si>
  <si>
    <t>نهى خالد على محمد الليثى</t>
  </si>
  <si>
    <t>Mina Mahrous Mareed Massak</t>
  </si>
  <si>
    <t>مينا محروس مريد مساك</t>
  </si>
  <si>
    <t>Erin Maher Botros Abdullah</t>
  </si>
  <si>
    <t>ايرين ماهر بطرس عبدالله</t>
  </si>
  <si>
    <t>Mohamed Gamal Abd ElHamid Azab</t>
  </si>
  <si>
    <t>محمد جمال عبدالحميد عزب</t>
  </si>
  <si>
    <t>Elsayed Soliman Mohamed Soliman Ameer</t>
  </si>
  <si>
    <t>السيد سليمان محمد سليمان عامر</t>
  </si>
  <si>
    <t>Mariam Atef Kamel Hanen</t>
  </si>
  <si>
    <t>مريم عاطف كامل حنين</t>
  </si>
  <si>
    <t>Mohamed Hamdy Mohamed Mohamed ElMoaz</t>
  </si>
  <si>
    <t>محمد حمدى محمد محمد المعاز</t>
  </si>
  <si>
    <t>Rahma Magdy Elsayed ElRaao</t>
  </si>
  <si>
    <t>رحمه مجدى السيد الرعو</t>
  </si>
  <si>
    <t>Fatma Ahmed Mohamed ElAraby AboAhmed</t>
  </si>
  <si>
    <t>فاطمه احمد محمد العربى ابواحمد</t>
  </si>
  <si>
    <t>Mohamed Abo ElFotouh Heshmat Ahmed</t>
  </si>
  <si>
    <t>محمد أبو الفتوح حشمت احمد</t>
  </si>
  <si>
    <t>Madonna Nasry Seveen Magella</t>
  </si>
  <si>
    <t>مادونا نصرى سيفين مجلع</t>
  </si>
  <si>
    <t>Ahmed Hosny Saleh Mostafa</t>
  </si>
  <si>
    <t>احمد حسنى صالح مصطفى</t>
  </si>
  <si>
    <t>ElSayed Bassiony Mohamed ElSayed Kneber</t>
  </si>
  <si>
    <t>السيد بسيونى محمد السيد قنيبر محمد</t>
  </si>
  <si>
    <t>Mohamed Ahmed Mohamed Abo Hamam</t>
  </si>
  <si>
    <t>محمد احمد محمد أبو حمام</t>
  </si>
  <si>
    <t>Sherif Sabry Ahmed Nasra</t>
  </si>
  <si>
    <t>شريف صبرى احمد نصرة</t>
  </si>
  <si>
    <t>Yara Abd ElMoneim ElSayed Hassan</t>
  </si>
  <si>
    <t>يارا عبدالمنعم السيد حسن</t>
  </si>
  <si>
    <t>Mayada Ashraf Khairallah Selim</t>
  </si>
  <si>
    <t>مياده اشرف خيرالله سليم</t>
  </si>
  <si>
    <t>Amira Mahmoud Abdullah Abd ElAziz Abaid</t>
  </si>
  <si>
    <t>اميره محمود عبدالله عبدالعزيز عبيد</t>
  </si>
  <si>
    <t>Mohamed Ashour Saad Mohamed Watit</t>
  </si>
  <si>
    <t>محمد عاشور سعد محمد وتيت</t>
  </si>
  <si>
    <t>Yasmine Ahmed Arafa ElKhalawy</t>
  </si>
  <si>
    <t>ياسمين احمد عرفه الخلوي</t>
  </si>
  <si>
    <t>Wael ElSayed Mohamed Handal</t>
  </si>
  <si>
    <t>وائل السيد محمد حنضل</t>
  </si>
  <si>
    <t>Mario Sameh Kamel Labib</t>
  </si>
  <si>
    <t>ماريو سامح كامل لبيب</t>
  </si>
  <si>
    <t>Khaled Sayed Abd ElAty Radwan</t>
  </si>
  <si>
    <t>خالد سيد عبدالعاطى رضوان</t>
  </si>
  <si>
    <t>Ahmed Reda AbdelGhany AbdelKhalek Mohamed</t>
  </si>
  <si>
    <t>احمد رضا عبدالغنى عبدالخالق محمد</t>
  </si>
  <si>
    <t>Amr Hamada Ahmed Ibrahim Shehab</t>
  </si>
  <si>
    <t>عمرو حماده احمد إبراهيم شهاب</t>
  </si>
  <si>
    <t>Karim Mahmoud AbdelHakam Ahmed ElShayeb</t>
  </si>
  <si>
    <t>كريم محمود عبدالحكم احمد الشايب</t>
  </si>
  <si>
    <t>Senior Planning Specialist</t>
  </si>
  <si>
    <t>Sherif Ashraf Amin Abd ElGhany</t>
  </si>
  <si>
    <t>شريف اشرف امين عبدالغنى</t>
  </si>
  <si>
    <t>Gina George Atallah Waheb</t>
  </si>
  <si>
    <t>جينا جورج عطاالله وهيب</t>
  </si>
  <si>
    <t>Yousra Sayed Abd ElAleem Farghaly</t>
  </si>
  <si>
    <t>يسرا سيد عبدالعليم فرغلى</t>
  </si>
  <si>
    <t>Sohila Abd ElRaheem Saad ElAmory</t>
  </si>
  <si>
    <t>سهيله عبد الرحيم سعد العمورى</t>
  </si>
  <si>
    <t>Hamouda Walid Hamouda Awad Slama</t>
  </si>
  <si>
    <t>حموده وليد حموده عوض سلامه</t>
  </si>
  <si>
    <t>Mohamed Yasser Mohamed Abdou Selim</t>
  </si>
  <si>
    <t>محمد ياسر محمد عبده سليم</t>
  </si>
  <si>
    <t>Shahul Hameed</t>
  </si>
  <si>
    <t>Mohamed Mohamed Mohamed ElSharbasy</t>
  </si>
  <si>
    <t>محمد محمد محمد الشرباصى</t>
  </si>
  <si>
    <t>kerolos Nabil Sadek Massak</t>
  </si>
  <si>
    <t>كيرلس نبيل صديق مساك</t>
  </si>
  <si>
    <t>Mohamed Ahmed Mohamed Shdeed</t>
  </si>
  <si>
    <t>محمد احمد محمد شديد</t>
  </si>
  <si>
    <t>Omar Mahmoud Omar Ismail</t>
  </si>
  <si>
    <t>عمر محمود عمر إسماعيل</t>
  </si>
  <si>
    <t>MennatAllah Ali Sayed Mohamed Hassan</t>
  </si>
  <si>
    <t>منه الله على سيد محمد حسن</t>
  </si>
  <si>
    <t>Islam Mohamed Ahmed AbdelMontalb</t>
  </si>
  <si>
    <t>اسلام محمد احمد عبد المطلب</t>
  </si>
  <si>
    <t>Mohamed Gomaa Ahmed Bakeer</t>
  </si>
  <si>
    <t>محمد جمعه احمد بكير</t>
  </si>
  <si>
    <t>Nasreen ElSayed Moustafa AboHaris</t>
  </si>
  <si>
    <t>نسرين السيد مصطفى ابوحارس</t>
  </si>
  <si>
    <t>Karim Mohamed Sayed Ahmed Abd Rabbo</t>
  </si>
  <si>
    <t>كريم محمد سيد احمد عبدربه</t>
  </si>
  <si>
    <t>AlShimaa Mokhtar ElTayeb Mohamed Youssef</t>
  </si>
  <si>
    <t>الشيماء مختار الطيب محمد يوسف</t>
  </si>
  <si>
    <t>Mirna Emad Roshdy Ghattas</t>
  </si>
  <si>
    <t>ميرنا عماد رشدى غطاس</t>
  </si>
  <si>
    <t>Mohamed Ashraf Baioumy Tawfik</t>
  </si>
  <si>
    <t>محمد اشرف بيومى توفيق</t>
  </si>
  <si>
    <t>Evodia Atef Reyad Zaki</t>
  </si>
  <si>
    <t>افوديا عاطف رياض زكى</t>
  </si>
  <si>
    <t>Ahmed Ashraf Maghawry Abd ElGawad</t>
  </si>
  <si>
    <t>احمد اشرف المغاورى عبدالجواد</t>
  </si>
  <si>
    <t>Mariam Youssef Riad Ghaly</t>
  </si>
  <si>
    <t>مريم يوسف رياض غالى</t>
  </si>
  <si>
    <t>Emad Eldin Mahmoud Abd ElRahman Ibrahim</t>
  </si>
  <si>
    <t>عماد الدين محمود عبدالرحمن إبراهيم</t>
  </si>
  <si>
    <t>Senior Internal Auditor</t>
  </si>
  <si>
    <t>George Khamis Mohareb Deif Moawad</t>
  </si>
  <si>
    <t>جورج خميس محارب ضيف معوض</t>
  </si>
  <si>
    <t>Reham Emadeldin Abd ElAzim El Sayed AwadAllah</t>
  </si>
  <si>
    <t>ريهام عمادالدين عبدالعظيم السيد عوض الله</t>
  </si>
  <si>
    <t>Ahmed Maher Moawad Bassiouny</t>
  </si>
  <si>
    <t>احمد ماهر معوض بسيونى</t>
  </si>
  <si>
    <t>Doha Hossam ElDin Ahmed Ahmed ElHennawy</t>
  </si>
  <si>
    <t>ضحى حسام الدين احمد احمد الحناوى</t>
  </si>
  <si>
    <t>Sandra Nagy Nazer Mikhael</t>
  </si>
  <si>
    <t>ساندرا ناجى نظير ميخائيل</t>
  </si>
  <si>
    <t>Mohamed Hanafy Mohamed AbdelMaksoud</t>
  </si>
  <si>
    <t>محمد حنفى محمد عبدالمقصود</t>
  </si>
  <si>
    <t>Mostafa Hamada Saeed Mohamed</t>
  </si>
  <si>
    <t>مصطفى حماده سعيد محمد</t>
  </si>
  <si>
    <t>A/R Supervisor</t>
  </si>
  <si>
    <t>Amira Marzouk Mohamed Mohamed Ali Sobeh</t>
  </si>
  <si>
    <t>اميره مرزوق محمد محمد على صبيح</t>
  </si>
  <si>
    <t>Naglaa Mahmoud Hassan Youssef</t>
  </si>
  <si>
    <t>نجلاء محمود حسان يوسف</t>
  </si>
  <si>
    <t>Ayman Mahmoud Amin Ibrahim Mohamed</t>
  </si>
  <si>
    <t>ايمن محمود امين إبراهيم محمد</t>
  </si>
  <si>
    <t>Naglaa Ali Ali Alwan</t>
  </si>
  <si>
    <t>نجلاء على على علوان</t>
  </si>
  <si>
    <t>Abdullah Abdel Dayem Mohamed AbdelDayem</t>
  </si>
  <si>
    <t>عبدالله عبدالدايم محمد عبدالدايم</t>
  </si>
  <si>
    <t>Ahmed Mohamed Abdou Mohamed ElBakhsha</t>
  </si>
  <si>
    <t>احمد محمد عبده محمد البخشه</t>
  </si>
  <si>
    <t>Mina Naguib Fahmy Hanna</t>
  </si>
  <si>
    <t>مينا نجيب فهمى حنا</t>
  </si>
  <si>
    <t>Marya Aziz Awad AbdelShaheed Nakhleh</t>
  </si>
  <si>
    <t>ماريه عزيز عوض عبد الشهيد نخله</t>
  </si>
  <si>
    <t>Fatouh Hassan Fatouh Selim</t>
  </si>
  <si>
    <t>فتوح حسن فتوح سليم</t>
  </si>
  <si>
    <t>Ramy Anis Ramses Anis</t>
  </si>
  <si>
    <t>رامى انيس رمسيس انيس</t>
  </si>
  <si>
    <t>Fathy Mohamedy Mohamed Abdou Zaghawa</t>
  </si>
  <si>
    <t>فتحى محمدى محمد عبده زغاوه</t>
  </si>
  <si>
    <t>Ahmed Mohamed AbdelSadek Bayoumi</t>
  </si>
  <si>
    <t>احمد محمد عبدالصادق بيومى</t>
  </si>
  <si>
    <t>Islam Reda Abdel Salam Ibrahim</t>
  </si>
  <si>
    <t>اسلام رضا عبدالسلام إبراهيم</t>
  </si>
  <si>
    <t>Youstina Essam Fayez Abdel Malak</t>
  </si>
  <si>
    <t>يوستينا عصام فايز عبدالملاك</t>
  </si>
  <si>
    <t>Diaa Mohamed AbdelMoneim Mousa</t>
  </si>
  <si>
    <t>ضياء محمد عبدالمنعم موسى</t>
  </si>
  <si>
    <t>Radwa Mohamed Moustafa Braiqa</t>
  </si>
  <si>
    <t>رضوى محمد مصطفى بريقع</t>
  </si>
  <si>
    <t>Marina Nabil Habib Ayyad Takla</t>
  </si>
  <si>
    <t>مارينا نبيل حبيب عياد تكلا</t>
  </si>
  <si>
    <t>Yasmine Mostafa Mohamed Kamel Shekeban</t>
  </si>
  <si>
    <t>ياسمين مصطفى محمد كامل شكيبان</t>
  </si>
  <si>
    <t>Ahmed Mohamed Abdel Aziz Mohamed Tantawy</t>
  </si>
  <si>
    <t>احمد محمد عبدالعزيز محمد طنطاوي</t>
  </si>
  <si>
    <t>General Accountant</t>
  </si>
  <si>
    <t>Sabreen Mohamed Ismail Ali Abed</t>
  </si>
  <si>
    <t>صابرين محمد إسماعيل على عابد</t>
  </si>
  <si>
    <t>Wafa Shawkat Mohamed Shaker</t>
  </si>
  <si>
    <t>وفاء شوكت محمد شاكر</t>
  </si>
  <si>
    <t>Mohamed AbdelGaid Fathy AbdelGaid</t>
  </si>
  <si>
    <t>محمد عبدالجيد فتحى عبدالجيد</t>
  </si>
  <si>
    <t>Mohamed Fathy Bayoumi Salama</t>
  </si>
  <si>
    <t>محمد فتحى بيومى سلامه</t>
  </si>
  <si>
    <t>Rozan Tarek Gouda AbdelHafez Mohamed</t>
  </si>
  <si>
    <t>روزان طارق جوده عبدالحافظ محمد</t>
  </si>
  <si>
    <t>Mina Mamdouh Fouad Riad</t>
  </si>
  <si>
    <t>مينا ممدوح فؤاد رياض</t>
  </si>
  <si>
    <t>Mina Fawzy Adly Badros</t>
  </si>
  <si>
    <t>مينا فوزي عادلى بدروس</t>
  </si>
  <si>
    <t>Internal Audit Supervisor</t>
  </si>
  <si>
    <t>Pola George Lotfy Aziz Awad</t>
  </si>
  <si>
    <t>بولا جورج لطفى عزيز عوض</t>
  </si>
  <si>
    <t>Sayed Ibrahim Ali Mohamed Zayan</t>
  </si>
  <si>
    <t>سيد إبراهيم على محمد زيان</t>
  </si>
  <si>
    <t>Abanoub Emil Anwar Azer</t>
  </si>
  <si>
    <t>ابانوب اميل أنور عازر</t>
  </si>
  <si>
    <t>Nada Osama Bahgat Ahmed Omar</t>
  </si>
  <si>
    <t>ندى اسامه بهجت احمد عمر</t>
  </si>
  <si>
    <t>Mohamed Reda Mahmoud Gharib Mohamed</t>
  </si>
  <si>
    <t>محمد رضا محمود غريب محمد</t>
  </si>
  <si>
    <t>Barmoun Gouda Adly Gerges</t>
  </si>
  <si>
    <t>برمون جوده عدلى جرجس</t>
  </si>
  <si>
    <t>AbdelGhany Mohamed AbdelGhany</t>
  </si>
  <si>
    <t>عبد الغنى محمد عبد الغنى محمد</t>
  </si>
  <si>
    <t>Shimaa Abdo Ibrahim Ahmed</t>
  </si>
  <si>
    <t>شيماء عبده إبراهيم احمد</t>
  </si>
  <si>
    <t>Hadeer Gaber Mohamed Ahmed Mahmoud</t>
  </si>
  <si>
    <t>هدير جابر محمد احمد محمود</t>
  </si>
  <si>
    <t>Acting as DRA Section Head</t>
  </si>
  <si>
    <t>Ibrahim Mohamed Ibrahim Abdel Ghany</t>
  </si>
  <si>
    <t>إبراهيم محمد إبراهيم عبد النبى</t>
  </si>
  <si>
    <t>Eman Hamed Mohamed Hamed ElAzab</t>
  </si>
  <si>
    <t>ايمان حامد محمد حامد العزب</t>
  </si>
  <si>
    <t>Wessam Farag Hussein Mohamed ElSherbiny</t>
  </si>
  <si>
    <t>وسام فرج حسين محمد الشربينى</t>
  </si>
  <si>
    <t>Wael Ali Ibrahim Hassan</t>
  </si>
  <si>
    <t>وائل على إبراهيم حسن</t>
  </si>
  <si>
    <t>R&amp;D Manager</t>
  </si>
  <si>
    <t>Hussein Mohamed AbdelAziz Mohamed Ghoneim</t>
  </si>
  <si>
    <t>حسين محمد عبدالعزيز محمد غنيم</t>
  </si>
  <si>
    <t>ElSayed Hesham ElSayed Ismail Shabana</t>
  </si>
  <si>
    <t>السيد هشام السيد إسماعيل شبانه</t>
  </si>
  <si>
    <t>Samira Said Abo Zeid Hassan</t>
  </si>
  <si>
    <t>سميره سعيد ابوزيد حسن</t>
  </si>
  <si>
    <t>Commercial Senior Specialist</t>
  </si>
  <si>
    <t>Saadia AbdelAziz Mohamed Fikry AbdelAziz</t>
  </si>
  <si>
    <t>سعديه عبد العزيز محمد فكرى عبد العزيز</t>
  </si>
  <si>
    <t>Eman Sherif Abdel Ghaffar Helmy Mahmoud</t>
  </si>
  <si>
    <t>ايمان شريف عبدالغفار حلمى محمود</t>
  </si>
  <si>
    <t>Receptionist</t>
  </si>
  <si>
    <t>Tarek Mahmoud Ahmed Ahmed Abo Regila</t>
  </si>
  <si>
    <t>طارق محمود احمد احمد ابورجيله</t>
  </si>
  <si>
    <t>Ahmed Mohamed Ahmed AbdelKhalek Ahmed</t>
  </si>
  <si>
    <t>احمد محمد احمد عبد الخالق احمد</t>
  </si>
  <si>
    <t>Sherif Mesbah Mohamed Azab</t>
  </si>
  <si>
    <t>شريف مصباح محمد عزب</t>
  </si>
  <si>
    <t>Boilers Technician</t>
  </si>
  <si>
    <t>Salma Hamoud Mohamed Hamoud</t>
  </si>
  <si>
    <t>سلمى حمود محمد حمود</t>
  </si>
  <si>
    <t>Remonda Masry Louis Mansour</t>
  </si>
  <si>
    <t>ريموندا مصري لويز منصور</t>
  </si>
  <si>
    <t>Jonathan Emad Badee Massad</t>
  </si>
  <si>
    <t>جوناثان عماد بديع مسعد</t>
  </si>
  <si>
    <t>Mahmoud Ahmed AbdelMaged Mohamed AboKhalil</t>
  </si>
  <si>
    <t>محمود احمد عبدالمجيد محمد ابوخليل</t>
  </si>
  <si>
    <t>Amira Mohamed Ismail Salhiah</t>
  </si>
  <si>
    <t>اميره محمد إسماعيل صالحيه</t>
  </si>
  <si>
    <t>Dalia Saeed Kamel Halaka</t>
  </si>
  <si>
    <t>داليا سعيد كامل حلقه</t>
  </si>
  <si>
    <t>Mostafa Gamal Mahmoud Khalil</t>
  </si>
  <si>
    <t>مصطفى جمال محمود خليل</t>
  </si>
  <si>
    <t>Bishoy Onsy Mounir Nakhla</t>
  </si>
  <si>
    <t>بيشوى انسي منير نخله</t>
  </si>
  <si>
    <t>Mohamed ElSayed Mahmoud Mansour</t>
  </si>
  <si>
    <t>محمد السيد محمود منصور</t>
  </si>
  <si>
    <t>Mohamed Ali Hussein Mohamed ElShebeny</t>
  </si>
  <si>
    <t>محمد على حسين محمد الشبينى</t>
  </si>
  <si>
    <t>Marlin Adel Adly Shaker Gerges</t>
  </si>
  <si>
    <t>مارلين عادل عدلى شاكر جرجس</t>
  </si>
  <si>
    <t>Fatma Hassan AboZaid Hassan</t>
  </si>
  <si>
    <t>فاطمه حسن ابوزيد حسن</t>
  </si>
  <si>
    <t>Heba Mohamed Mousa Batran</t>
  </si>
  <si>
    <t>هبه محمد موسى بطران</t>
  </si>
  <si>
    <t>Office Girl</t>
  </si>
  <si>
    <t>Hossam Ahmed AbdelRahim Mohamed Badawy</t>
  </si>
  <si>
    <t>حسام احمد عبدالرحيم محمد بدوي</t>
  </si>
  <si>
    <t>Yasmine Abdullah Marey Ahmed Ghanem</t>
  </si>
  <si>
    <t>ياسمين عبدالله مرعى احمد غانم</t>
  </si>
  <si>
    <t>Mostafa Osama Abdel Wadood Abdel Aziz</t>
  </si>
  <si>
    <t>مصطفى اسامه عبدالودود عبدالعزيز</t>
  </si>
  <si>
    <t>Abanoub Ehab Abdel Shaheed Morcos</t>
  </si>
  <si>
    <t>ابانوب إيهاب عبدالشهيد مرقص</t>
  </si>
  <si>
    <t>Karim Mosaad Mahmoud Mohamed Elsayed</t>
  </si>
  <si>
    <t>كريم مسعد محمود محمد السيد</t>
  </si>
  <si>
    <t>Production Supervisor</t>
  </si>
  <si>
    <t>Heba hassan</t>
  </si>
  <si>
    <t>هبه حسن</t>
  </si>
  <si>
    <t>Mohamed Kamal Mohamed Ali</t>
  </si>
  <si>
    <t>محمد كمال محمد على</t>
  </si>
  <si>
    <t>Reham Mohamed Fathy Mohamed Rabie</t>
  </si>
  <si>
    <t>ريهام محمد فتحى محمد ربيع</t>
  </si>
  <si>
    <t>Samar Ashraf Samir Nada</t>
  </si>
  <si>
    <t>سمر اشرف سمير ندا</t>
  </si>
  <si>
    <t>Elsayed AbdelMageed Ibarhim Shousha</t>
  </si>
  <si>
    <t>السيد عبدالمجيد إبراهيم شوشه</t>
  </si>
  <si>
    <t>Waled Adel Mohamed Latif</t>
  </si>
  <si>
    <t>وليد عادل محمد لطيف</t>
  </si>
  <si>
    <t>Ahmed Atef Abdel Latif Ahmed El Musaly</t>
  </si>
  <si>
    <t>احمد عاطف عبداللطيف احمد المصلي</t>
  </si>
  <si>
    <t>Mostafa Fathy Mohamed Afifi Manisi</t>
  </si>
  <si>
    <t>مصطفى فتحى محمد عفيفى منيسي</t>
  </si>
  <si>
    <t>Sherif Ahmed Mahmoud Abdel Hady</t>
  </si>
  <si>
    <t>شريف احمد محمود عبدالهادى</t>
  </si>
  <si>
    <t>Maryana Adel Bakhoum Gerges</t>
  </si>
  <si>
    <t>مريانه عادل باخوم جرجس</t>
  </si>
  <si>
    <t>Mohamed Mohab Mohamed Elshamy</t>
  </si>
  <si>
    <t>محمد مهاب محمد الشامى</t>
  </si>
  <si>
    <t>Business Development Manager</t>
  </si>
  <si>
    <t>Business Development</t>
  </si>
  <si>
    <t>Emad ElDin Mohamed Ahmed Mohamed</t>
  </si>
  <si>
    <t>عماد الدين محمد احمد محمد</t>
  </si>
  <si>
    <t>Reem Mohsen Mohamed ElTabey</t>
  </si>
  <si>
    <t>ريم محسن محمد التابعى</t>
  </si>
  <si>
    <t>Ibrahim Magdy Ibrahim Abdel Hafeez</t>
  </si>
  <si>
    <t>إبراهيم مجدى إبراهيم عبدالحفيظ</t>
  </si>
  <si>
    <t>Nada Samir Abo ElYazid Mahdy</t>
  </si>
  <si>
    <t>ندى سمير ابواليزيد مهدى</t>
  </si>
  <si>
    <t>Ibrahim Mohamed Abd ElAziz Salem</t>
  </si>
  <si>
    <t>إبراهيم محمد عبدالعزيز سالم</t>
  </si>
  <si>
    <t>Salah Hany Ramdan Zaki</t>
  </si>
  <si>
    <t>صلاح هانى رمضان زكي</t>
  </si>
  <si>
    <t>Mohamed AbdelAal Mohamed ElSayed Assy</t>
  </si>
  <si>
    <t>محمد عبدالعال محمد السيد عاصى</t>
  </si>
  <si>
    <t>Ahmed Nabil Attia Hassan Sheikh</t>
  </si>
  <si>
    <t>احمد نبيل عطيه حسن الشيخ</t>
  </si>
  <si>
    <t>Plumber Technician</t>
  </si>
  <si>
    <t>Ahmed Said Mohamed ElSayed Ahmed</t>
  </si>
  <si>
    <t>احمد سعيد محمد السيد احمد</t>
  </si>
  <si>
    <t>Mohsen Talaat Khaled Mohamed ElSharkawy</t>
  </si>
  <si>
    <t>محسن طلعت خالد محمد الشرقاوي</t>
  </si>
  <si>
    <t>Hend Ibrahim Mohamed Ibrahim</t>
  </si>
  <si>
    <t>هند إبراهيم محمد إبراهيم</t>
  </si>
  <si>
    <t>Ola Mohamed Abdel Fattah Abdel Halim ElHefny</t>
  </si>
  <si>
    <t>علا محمد عبدالفتاح عبدالحليم الحفنى</t>
  </si>
  <si>
    <t>Kariman Amr Fouad Abdo</t>
  </si>
  <si>
    <t>كريمان عمرو فؤاد عبده</t>
  </si>
  <si>
    <t>Marilyn Sanad Nabih Ibrahim</t>
  </si>
  <si>
    <t>مارلين سند نبيه إبراهيم</t>
  </si>
  <si>
    <t>Islam Ahmed AbdelMageed AbdelAziz</t>
  </si>
  <si>
    <t>اسلام احمد عبدالماجد عبدالعزيز</t>
  </si>
  <si>
    <t>Hazem Youssef Abdel Latif Youssef ElWakeel</t>
  </si>
  <si>
    <t>حازم يوسف عبداللطيف يوسف الوكيل</t>
  </si>
  <si>
    <t>Aya Mohamed Abd ElFattah ElSayed</t>
  </si>
  <si>
    <t>ايه محمد عبد الفتاح السيد</t>
  </si>
  <si>
    <t>Associate Brand Manager</t>
  </si>
  <si>
    <t>Eman Hussein Abdel Karim Mohamed</t>
  </si>
  <si>
    <t>ايمان حسين عبدالكريم محمد</t>
  </si>
  <si>
    <t>Esraa ElSayed ElSaid Ahmed Aita</t>
  </si>
  <si>
    <t>اسراء السيد السعيد احمد عيطه</t>
  </si>
  <si>
    <t>Mohamed Abdel Badiea Salim Mohamed ElBaiomy</t>
  </si>
  <si>
    <t>محمد عبدالبديع سالم محمد البيومي</t>
  </si>
  <si>
    <t>Kyrollos Ayman Fahmy Mousa Youssef</t>
  </si>
  <si>
    <t>كيرلس ايمن فهمى موسى يوسف</t>
  </si>
  <si>
    <t>Nouran Ahmed Mohamed Ahmed Gomaa</t>
  </si>
  <si>
    <t>نوران احمد محمد احمد جمعه</t>
  </si>
  <si>
    <t>Mostafa Ahmed Ibrahim Ibrahim Sharaf ElDin</t>
  </si>
  <si>
    <t>مصطفى احمد إبراهيم إبراهيم شرف الدين</t>
  </si>
  <si>
    <t>Ahmed Mohamed Ibrahim Ibrahim Metwally</t>
  </si>
  <si>
    <t>احمد محمد إبراهيم إبراهيم متولي</t>
  </si>
  <si>
    <t>Mahmoud Saeed Kamel Ahmed Ismail</t>
  </si>
  <si>
    <t>محمود سعيد كامل احمد إسماعيل</t>
  </si>
  <si>
    <t>Mostafa Mahmoud Hussein Helal</t>
  </si>
  <si>
    <t>مصطفى محمود حسين هلال</t>
  </si>
  <si>
    <t>Mahmoud Ibrahim Ahmed Attia Ibrahim ElSebaey</t>
  </si>
  <si>
    <t>محمود إبراهيم احمد عطيه إبراهيم السباعى</t>
  </si>
  <si>
    <t>Abdel Fattah Ali Saber</t>
  </si>
  <si>
    <t>عبد الفتاح على صابر</t>
  </si>
  <si>
    <t>Special Needs - Scientific Office</t>
  </si>
  <si>
    <t>Mohamed Ahmed Ahmed Ibrahim</t>
  </si>
  <si>
    <t>محمد احمد احمد إبراهيم</t>
  </si>
  <si>
    <t>Ahmed Mohamed Ramadan Othman</t>
  </si>
  <si>
    <t>احمد محمد رمضان عثمان</t>
  </si>
  <si>
    <t>Zarea Hamed Nasr Al-Din</t>
  </si>
  <si>
    <t>زارع حامد نصر الدين</t>
  </si>
  <si>
    <t>Slam Ahmed Fathy Mohamed</t>
  </si>
  <si>
    <t>سلام احمد فتحى محمد</t>
  </si>
  <si>
    <t>Hanan Abdel Fattah Hussein</t>
  </si>
  <si>
    <t>حنان عبد الفتاح حسين</t>
  </si>
  <si>
    <t>Ahmed Abbas Ahmed Hassan</t>
  </si>
  <si>
    <t>احمد عباس احمد حسن</t>
  </si>
  <si>
    <t>Future Pro Formulation Deputy Manager</t>
  </si>
  <si>
    <t>Ayman Gamal Hafez Ibrahim</t>
  </si>
  <si>
    <t>ايمن جمال حافظ إبراهيم</t>
  </si>
  <si>
    <t>Abdullah Essam Farouk ElSayed Mutawa</t>
  </si>
  <si>
    <t>عبدالله عصام فاروق السيد مطاوع</t>
  </si>
  <si>
    <t>Ahmed AbdelMoneim Hassan AbdelHamid Attia</t>
  </si>
  <si>
    <t>احمد عبدالمنعم حسن عبدالحميد عطيه</t>
  </si>
  <si>
    <t>Islam Rizk ElSayed Afifi</t>
  </si>
  <si>
    <t>اسلام رزق السيد عفيفى</t>
  </si>
  <si>
    <t>Microbiology Analyst</t>
  </si>
  <si>
    <t>Shady Ramzy Fawzy Youssef</t>
  </si>
  <si>
    <t>شادى رمزى فوزى يوسف</t>
  </si>
  <si>
    <t>Shimaa Seadawy Mahmoud Seadawy Zayed</t>
  </si>
  <si>
    <t>شيماء سعداوى محمود سعداوى زايد</t>
  </si>
  <si>
    <t>Mohamed Ali Hassan Ali Khalil</t>
  </si>
  <si>
    <t>محمد على حسن على خليل</t>
  </si>
  <si>
    <t>Zinab Khaled ElSayed Abd ElSalam Salem</t>
  </si>
  <si>
    <t>زينب خالد السيد عبدالسلام سالم</t>
  </si>
  <si>
    <t>Mohamed Sayed Hassan Ali Matar</t>
  </si>
  <si>
    <t>محمد سيد حسن على مطر</t>
  </si>
  <si>
    <t>Senior Graphic Designer</t>
  </si>
  <si>
    <t>S.Office</t>
  </si>
  <si>
    <t>Mirna Ibrahim Fouad Nashed</t>
  </si>
  <si>
    <t>ميرنا إبراهيم فؤاد ناشد</t>
  </si>
  <si>
    <t>amira mousaa mohamed mousaa</t>
  </si>
  <si>
    <t>اميره موسي محمد موسى</t>
  </si>
  <si>
    <t>Taher Abdullah AbdelSalam Mohamad AboelKhier</t>
  </si>
  <si>
    <t>طاهر عبدالله عبدالسلام محمد ابوالخير</t>
  </si>
  <si>
    <t>Mohamed Hosny Mohamed Mubarak</t>
  </si>
  <si>
    <t>محمد حسنى محمد مبارك</t>
  </si>
  <si>
    <t>Ashraf Ibrahim Mahmoud Ahmed Mohamed Ibrahim</t>
  </si>
  <si>
    <t>اشرف إبراهيم محمود احمد محمد إبراهيم</t>
  </si>
  <si>
    <t>Youmna Hussein Ahmed Hussein</t>
  </si>
  <si>
    <t>يمنى حسين احمد حسين</t>
  </si>
  <si>
    <t>Mohamed Yasser Mohamed Hassan</t>
  </si>
  <si>
    <t>محمد ياسر محمد حسن</t>
  </si>
  <si>
    <t>Doaa Mostafa Abd ElKader Ahmed</t>
  </si>
  <si>
    <t>دعاء مصطفى عبدالقادر احمد</t>
  </si>
  <si>
    <t>Mostafa Khaled Hassan Abd ELMegied Hussein</t>
  </si>
  <si>
    <t>مصطفى خالد حسن عبدالمجيد حسين</t>
  </si>
  <si>
    <t>Noura Ossama AbdelMoneim AbdelRahman</t>
  </si>
  <si>
    <t>نورا اسامه عبدالمنعم عبدالرحمن</t>
  </si>
  <si>
    <t>Mohamed Ashraf Khalil ElTaibany</t>
  </si>
  <si>
    <t>محمد اشرف خليل الطيبانى</t>
  </si>
  <si>
    <t>kirolos Adel Fadel Mansour</t>
  </si>
  <si>
    <t>كيرلس عادل فاضل منصور</t>
  </si>
  <si>
    <t>Essam Mohamed Mohamed Hadad</t>
  </si>
  <si>
    <t>عصام محمد محمد حداد</t>
  </si>
  <si>
    <t>Wael Atef AbdelGhany Abdo</t>
  </si>
  <si>
    <t>وائل عاطف عبدالغنى عبده</t>
  </si>
  <si>
    <t>Ahmed Mohamed Mohamed Mouselhi Awad</t>
  </si>
  <si>
    <t>احمد محمد محمد مصيلحى عوض</t>
  </si>
  <si>
    <t>Nourhan Abd ElMoeen Abd ElRazek Moeen ElFahak</t>
  </si>
  <si>
    <t>نورهان عبدالمعين عبدالرازق معين الفهاق</t>
  </si>
  <si>
    <t>Ahmed Galal Mohamed Ameen Ayash</t>
  </si>
  <si>
    <t>احمد جلال محمد امين عياش</t>
  </si>
  <si>
    <t>Ahmed Shedeed Abd ElRahim Mohamed</t>
  </si>
  <si>
    <t>احمد شديد عبدالرحيم محمد</t>
  </si>
  <si>
    <t>Mohamed Hatem Mahmoud Mohamed</t>
  </si>
  <si>
    <t>محمد حاتم محمود محمد</t>
  </si>
  <si>
    <t>Hayam Sabry Badr Mohamed</t>
  </si>
  <si>
    <t>هيام صبرى بدر محمد</t>
  </si>
  <si>
    <t>Khaled Khalaf Daniel Gendy</t>
  </si>
  <si>
    <t>خالد خلف دانيال جندي</t>
  </si>
  <si>
    <t>Mahmoud Rabie Mostafa Shalaby Yahya</t>
  </si>
  <si>
    <t>محمود ربيع مصطفى شلبى يحيى</t>
  </si>
  <si>
    <t>MenatAllah Gamal Mohamed Hegazy</t>
  </si>
  <si>
    <t>منه الله جمال محمد حجازى</t>
  </si>
  <si>
    <t>Mohamed Saeed Ahmed Ezzat ElSaaty</t>
  </si>
  <si>
    <t>محمد سعيد احمد عزت الساعاتى</t>
  </si>
  <si>
    <t>Amira Galal Abd ElGhaffar Othman</t>
  </si>
  <si>
    <t>اميره جلال عبدالغفار عثمان</t>
  </si>
  <si>
    <t>Maryam Ragab AbdelHaseeb Mohamed</t>
  </si>
  <si>
    <t>مريم رجب عبدالحسيب محمد</t>
  </si>
  <si>
    <t>Ahmed Mohamed Helmy</t>
  </si>
  <si>
    <t>احمد محمد حلمي</t>
  </si>
  <si>
    <t>Magy Hesham Gaber Naseem</t>
  </si>
  <si>
    <t>ماجى هشام جابر نسيم</t>
  </si>
  <si>
    <t>Karim Hassan Habashy Mohamed Diab</t>
  </si>
  <si>
    <t>كريم حسن حبشى محمد دياب</t>
  </si>
  <si>
    <t>Mai Ahmed Magdy Mohamed Rashad</t>
  </si>
  <si>
    <t>مى احمد مجدى محمد رشاد عبدالهادى شريف</t>
  </si>
  <si>
    <t>Ayman Ibrahim Ahmed Hamza</t>
  </si>
  <si>
    <t>ايمن إبراهيم احمد حمزه</t>
  </si>
  <si>
    <t>Hassan Rabie Ragab Mohamad Hassan Bakhit</t>
  </si>
  <si>
    <t>حسن ربيع رجب محمد حسن بخيت</t>
  </si>
  <si>
    <t>Karim Taher Abdel Rahman Mohamed</t>
  </si>
  <si>
    <t>كريم طاهر عبدالرحمن محمد</t>
  </si>
  <si>
    <t>Ehaab Ali Attia</t>
  </si>
  <si>
    <t>ايهاب علي عطيه</t>
  </si>
  <si>
    <t>IT Technical Support</t>
  </si>
  <si>
    <t>Ahmed Abdel Naby Mohamed Abo ElHassan</t>
  </si>
  <si>
    <t>احمد عبدالنبى محمد ابوالحسن</t>
  </si>
  <si>
    <t>Rana Ashraf Soliman Abdel Moaty Zeitoun</t>
  </si>
  <si>
    <t>رنا اشرف سليمان عبدالمعطى زيتون</t>
  </si>
  <si>
    <t>QC Admin</t>
  </si>
  <si>
    <t>Mohamed Mansour Mohamed Hussein</t>
  </si>
  <si>
    <t>محمد منصور محمد حسين</t>
  </si>
  <si>
    <t>Mai Ashraf Nasr Eldeen Shehata</t>
  </si>
  <si>
    <t>مى اشرف نصرالدين شحاته</t>
  </si>
  <si>
    <t>AlShimaa Rabie Soliman Mohamed</t>
  </si>
  <si>
    <t>الشيماء ربيع سليمان محمد</t>
  </si>
  <si>
    <t>Khaled Gamal ElSayed Othman</t>
  </si>
  <si>
    <t>خالد جمال السيد عثمان</t>
  </si>
  <si>
    <t>Nour Eldeen Nagy Nour Eldeen Eid</t>
  </si>
  <si>
    <t>نورالدين ناجى نورالدين عيد</t>
  </si>
  <si>
    <t>Samah Abdel Moneim Hamed Abdel Salam</t>
  </si>
  <si>
    <t>سماح عبدالمنعم حامد عبدالسلام</t>
  </si>
  <si>
    <t>Ahmed Mostafa Mohamed Ibrahim Saleh</t>
  </si>
  <si>
    <t>احمد مصطفى محمد إبراهيم صالح</t>
  </si>
  <si>
    <t>Hams Ahmed Mohamed Ahmed Selim Ayoub</t>
  </si>
  <si>
    <t>همس احمد محمد احمد سليم أيوب</t>
  </si>
  <si>
    <t>Hossam Hassan Abdel Moneim Mohamed Ibrahim</t>
  </si>
  <si>
    <t>حسام حسن عبدالمنعم محمد إبراهيم</t>
  </si>
  <si>
    <t>HR Coordinator</t>
  </si>
  <si>
    <t>Beshoy Magdy Mouris Moawd</t>
  </si>
  <si>
    <t>بيشوى مجدى موريس معوض</t>
  </si>
  <si>
    <t>Rehab Osama Ali Mahmoud</t>
  </si>
  <si>
    <t>رحاب اسامه على محمود</t>
  </si>
  <si>
    <t>Samar Ahmed Mohamed Abo Zeid</t>
  </si>
  <si>
    <t>سمر احمد محمد ابوزيد</t>
  </si>
  <si>
    <t>Ahmed Tarek Zakaria Mohamed Labib ElRabbat</t>
  </si>
  <si>
    <t>احمد طارق زكريا محمد لبيب الرباط</t>
  </si>
  <si>
    <t>Krolos Naguib Ragheb Abdel Malak</t>
  </si>
  <si>
    <t>كيرلس نجيب راغب عبدالملاك</t>
  </si>
  <si>
    <t>Olivia Fayek Fekry Gerges Gerges</t>
  </si>
  <si>
    <t>اوليفيا فكرى جرجس جرجس</t>
  </si>
  <si>
    <t>Enas Abdel Aziz Mohamed Awad El Deeb</t>
  </si>
  <si>
    <t>ايناس عبدالعزيز محمد عواد الديب</t>
  </si>
  <si>
    <t>Ebtisam Kamal Ibrahim Adham</t>
  </si>
  <si>
    <t>ابتسام كمال إبراهيم ادهم</t>
  </si>
  <si>
    <t>Hala Salem Emam Mohamed Soliman</t>
  </si>
  <si>
    <t>هاله سالم امام محمد سليمان</t>
  </si>
  <si>
    <t>Amira ElSayed Ibrahim Khalil</t>
  </si>
  <si>
    <t>اميرة السيد إبراهيم خليل</t>
  </si>
  <si>
    <t>Wedad Ghanem ElSayed Ghanem</t>
  </si>
  <si>
    <t>وداد غانم السيد غانم</t>
  </si>
  <si>
    <t>Omnia Samir Fathy Hamed</t>
  </si>
  <si>
    <t>امنيه سمير فتحى حامد</t>
  </si>
  <si>
    <t>Ashraf Ismail ElSayed Aqel Abo ElHares</t>
  </si>
  <si>
    <t>اشرف إسماعيل السيد عقل أبوالحارث</t>
  </si>
  <si>
    <t>Mohamed Rashad ElSayed Khalil</t>
  </si>
  <si>
    <t>محمد رشاد السيد خليل</t>
  </si>
  <si>
    <t>Khairy Mabrok Khairy Ibrahim</t>
  </si>
  <si>
    <t>خيرى مبروك خيرى إبراهيم</t>
  </si>
  <si>
    <t>Camera Monitor</t>
  </si>
  <si>
    <t>Mohamed Ashraf Mohamed Ibrahim Abo Alnas</t>
  </si>
  <si>
    <t>محمد اشرف محمد إبراهيم ابوالناس</t>
  </si>
  <si>
    <t>Hoda Saeed Mohamed Ibrahim Salem</t>
  </si>
  <si>
    <t>هدى سعيد محمد إبراهيم سالم</t>
  </si>
  <si>
    <t>Asmaa Mahmoud Hussien Khalil</t>
  </si>
  <si>
    <t>أسماء محمود حسين خليل</t>
  </si>
  <si>
    <t>Safaa ElSayed Ismail Mohamed</t>
  </si>
  <si>
    <t>صفاء السيد إسماعيل محمد</t>
  </si>
  <si>
    <t>Ayat Ibrahim Mohamed Mohamed</t>
  </si>
  <si>
    <t>ايات إبراهيم محمد محمد</t>
  </si>
  <si>
    <t>Fatma Abdel Azim Salah Hussein Ali</t>
  </si>
  <si>
    <t>فاطمه عبدالعظيم صلاح حسين على</t>
  </si>
  <si>
    <t>Abd ElHameed Mohamed Abd ElHameed Shaaban Dardery</t>
  </si>
  <si>
    <t>عبدالحميد محمد عبدالحميد شعبان دردير</t>
  </si>
  <si>
    <t>Mostafa Shaaban Abd ElShafy Baioumy</t>
  </si>
  <si>
    <t>مصطفى شعبان عبدالشافى بيومى</t>
  </si>
  <si>
    <t>Sanaa Helmy Abdel kawy Hamida</t>
  </si>
  <si>
    <t>سناء حلمى عبدالقوى حميده</t>
  </si>
  <si>
    <t>Basel Mohamed Saeed Mohamed Seif ElDin</t>
  </si>
  <si>
    <t>باسل محمد سعيد محمد سيف الدين</t>
  </si>
  <si>
    <t>Mohamed Abd ElHares Ahmed Mohamed</t>
  </si>
  <si>
    <t>محمد عبدالحارث احمد محمد</t>
  </si>
  <si>
    <t>Ahmed Ali Mohamed Ali</t>
  </si>
  <si>
    <t>احمد على محمد على</t>
  </si>
  <si>
    <t>JDE Section Head</t>
  </si>
  <si>
    <t>Mohamed Nasser Awad Abdel Kader</t>
  </si>
  <si>
    <t>محمد ناصر عواد عبدالقادر</t>
  </si>
  <si>
    <t>Ibrahim Nashat Ibrahim Mohamed</t>
  </si>
  <si>
    <t>إبراهيم نشأت إبراهيم محمد</t>
  </si>
  <si>
    <t>Mohamed Yousry Mostafa Issa</t>
  </si>
  <si>
    <t>محمد يسرى مصطفى عيسى</t>
  </si>
  <si>
    <t>Learning &amp; Development Manager</t>
  </si>
  <si>
    <t>Shenouda Reda Adeab Sayed</t>
  </si>
  <si>
    <t>شنوده رضا اديب سيد</t>
  </si>
  <si>
    <t>Hashem Abdel Razek Hashem Mohamed</t>
  </si>
  <si>
    <t>هاشم عبدالرازق هاشم محمد</t>
  </si>
  <si>
    <t>Hazem Ahmed Ibrahim Younes</t>
  </si>
  <si>
    <t>حازم احمد إبراهيم يونس</t>
  </si>
  <si>
    <t>Mohamad Nashat Sobh ElAdl</t>
  </si>
  <si>
    <t>محمد نشأت صبح العدل</t>
  </si>
  <si>
    <t>Amr Mohamed Haredy Kabouta Whayshy</t>
  </si>
  <si>
    <t>عمرو محمد هريدي كبوته وحيشى</t>
  </si>
  <si>
    <t>Ashraf Mohamed Sadek Mohamed</t>
  </si>
  <si>
    <t>اشرف محمد صادق محمد</t>
  </si>
  <si>
    <t>Hend Abd ElHameed Gamal Mostafa</t>
  </si>
  <si>
    <t>هند عبدالحميد جمال مصطفى</t>
  </si>
  <si>
    <t>QA Validation</t>
  </si>
  <si>
    <t>Taghrid Ibrahim Shabaan Abd ElGawad</t>
  </si>
  <si>
    <t>تغريد إبراهيم شعبان عبدالجواد</t>
  </si>
  <si>
    <t>Christina Samir Napolion Anis</t>
  </si>
  <si>
    <t>كرستينا سمير نابليون انيس</t>
  </si>
  <si>
    <t>Feby Safwat Michael Saad</t>
  </si>
  <si>
    <t>فيبى صفوت ميشيل سعد</t>
  </si>
  <si>
    <t>Ahmed Mahmoud Mohamed Eid</t>
  </si>
  <si>
    <t>احمد محمود محمد عيد</t>
  </si>
  <si>
    <t>Saad Mohamed Rizk ElSayed ElZek</t>
  </si>
  <si>
    <t>سعد محمد رزق السيد الزق</t>
  </si>
  <si>
    <t>Karim Salah Mohamed kassem Shaheen</t>
  </si>
  <si>
    <t>كريم صلاح محمد قاسم شاهين</t>
  </si>
  <si>
    <t>ElHussein Mourad Hamed Mourad</t>
  </si>
  <si>
    <t>الحسين مراد حامد مراد</t>
  </si>
  <si>
    <t>Aya Moahmed Mostafa Hussien Youssef</t>
  </si>
  <si>
    <t>ايه محمد مصطفى حسين يوسف</t>
  </si>
  <si>
    <t>Yassmin Ibrahim Ibrahim Salah</t>
  </si>
  <si>
    <t>ياسمين إبراهيم إبراهيم صالح</t>
  </si>
  <si>
    <t>Mina Bahgat Boshra Shafek</t>
  </si>
  <si>
    <t>مينا بهجت بشرى شفيق</t>
  </si>
  <si>
    <t>Pola Yehia Abd ElShahid Boutros</t>
  </si>
  <si>
    <t>بولا يحى عبدالشهيد بطرس</t>
  </si>
  <si>
    <t>ElSayed Saad Ibrahim Ali</t>
  </si>
  <si>
    <t>السيد سعد إبراهيم على</t>
  </si>
  <si>
    <t>Mona Mohamed Abdel Rahim Mohamed</t>
  </si>
  <si>
    <t>منى محمد عبدالرحيم محمد</t>
  </si>
  <si>
    <t>مايكل راضى فهمى حنين</t>
  </si>
  <si>
    <t>Afnan Hassan Ali Hassan Abdullah Sweed</t>
  </si>
  <si>
    <t>افنان حسن على حسن عبدالله سويد</t>
  </si>
  <si>
    <t>Ramadan Khariry Mohamed Mohamed AboelSoud</t>
  </si>
  <si>
    <t>رمضان خيرى محمد محمد ابوالسعود</t>
  </si>
  <si>
    <t>Alaa Arafa Mohamed Ismail AbdelRazek</t>
  </si>
  <si>
    <t>الاء عرفه محمد إسماعيل عبدالرازق</t>
  </si>
  <si>
    <t>Validation Supervisor</t>
  </si>
  <si>
    <t>Amr Sayed AbdelRahman Basheer</t>
  </si>
  <si>
    <t>عمرو سيد عبدالرحمن بشير</t>
  </si>
  <si>
    <t>Network Administrator</t>
  </si>
  <si>
    <t>Mariam Essam Mohamed ElShahat</t>
  </si>
  <si>
    <t>مريم عصام محمد الشحات</t>
  </si>
  <si>
    <t>Mahmoud Shawky Sayed Hussein</t>
  </si>
  <si>
    <t>محمود شوقى سيد حسين</t>
  </si>
  <si>
    <t>Abanoub Samir Lotfy Rizk Berbary</t>
  </si>
  <si>
    <t>ابانوب سمير لطفى رزق بربري</t>
  </si>
  <si>
    <t>Mohamed Medhat Adly Abd ElRahman</t>
  </si>
  <si>
    <t>محمد مدحت عدلى عبدالرحيم</t>
  </si>
  <si>
    <t>Mahmoud Hosny Mahmoud Mohamed Ismail</t>
  </si>
  <si>
    <t>محمود حسنى محمود محمد إسماعيل</t>
  </si>
  <si>
    <t>Mahmoud Tarek Ali Mohamed Ali Eid</t>
  </si>
  <si>
    <t>محمود طارق على محمد على عيد</t>
  </si>
  <si>
    <t>Mahmoud Mohamed Hamed Ibrahim Abdullah</t>
  </si>
  <si>
    <t>محمود محمد حامد إبراهيم عبدالله</t>
  </si>
  <si>
    <t>Taha Ahmed Nemat Abd ElAziz Yacoub Ismail</t>
  </si>
  <si>
    <t>طه احمد نعمت عبدالعزيز يعقوب إسماعيل</t>
  </si>
  <si>
    <t>AbdelRahman AbdelSalam Mohamed Hamada</t>
  </si>
  <si>
    <t>عبدالرحمن عبدالسلام محمد حماده</t>
  </si>
  <si>
    <t>QC Sampler</t>
  </si>
  <si>
    <t>Ahmed Zkarya Ahmed Mousa elkoot</t>
  </si>
  <si>
    <t>احمد زكريا احمد موسي القط</t>
  </si>
  <si>
    <t>Eslam Saeed AbdelMonaem Taha</t>
  </si>
  <si>
    <t>اسلام سعيد عبدالمنعم طه</t>
  </si>
  <si>
    <t>Salama Mohamed Ibrahim Maghazy</t>
  </si>
  <si>
    <t>سلامه محمد إبراهيم مغازي</t>
  </si>
  <si>
    <t>Laila Mohamed Abdullah Abd ElKhalek</t>
  </si>
  <si>
    <t>ليلى محمد عبدالله عبدالخالق</t>
  </si>
  <si>
    <t>Hesham Galal Ahmed AbdelLatif</t>
  </si>
  <si>
    <t>هشام جلال احمد عبداللطيف</t>
  </si>
  <si>
    <t>ElSayed Arafa Gad Arafa Mohamed</t>
  </si>
  <si>
    <t>السيد عرفه جاد عرفه محمد</t>
  </si>
  <si>
    <t>Mohamed Ayman Mohamed Zekry AbdelDayem</t>
  </si>
  <si>
    <t>محمد ايمن محمد ذكري عبدالدايم</t>
  </si>
  <si>
    <t>Fady LotfAllah Gayed Bakhit</t>
  </si>
  <si>
    <t>فادي لطف الله جيد بخيت</t>
  </si>
  <si>
    <t>Mohamed Ahmed Mohamed Mostafa Badawy</t>
  </si>
  <si>
    <t>محمد احمد محمد مصطفي بدوي</t>
  </si>
  <si>
    <t>Berween Lotfy Fayez Matta</t>
  </si>
  <si>
    <t>بروين لطفى فايز متي</t>
  </si>
  <si>
    <t>Digital Marketing Manger</t>
  </si>
  <si>
    <t>Rawan Essam AbdelHady Mohamed</t>
  </si>
  <si>
    <t>روان عصام عبدالهادى محمد معبدى</t>
  </si>
  <si>
    <t>Mary Thabet Gad Mosaad</t>
  </si>
  <si>
    <t>ماري ثابت جاد مسعد</t>
  </si>
  <si>
    <t>Mina Emad Zakrya Gerges</t>
  </si>
  <si>
    <t>مينا عماد زكريا جرجس</t>
  </si>
  <si>
    <t>Heba Magdy Gaber Ali</t>
  </si>
  <si>
    <t>هبه مجدى جابر على</t>
  </si>
  <si>
    <t>Ahmed Mohamed AbdelGhaffar Elsayed Qadous</t>
  </si>
  <si>
    <t>احمد محمد عبدالغفار السيد قادوس</t>
  </si>
  <si>
    <t>Ahmed Mohamed Samir Ismail Mostafa</t>
  </si>
  <si>
    <t>احمد محمد سمير إسماعيل مصطفى</t>
  </si>
  <si>
    <t>FatmaElzahraa Ibrahim Mosalam Ahmed</t>
  </si>
  <si>
    <t>فاطمه الزهراء إبراهيم مسلم احمد</t>
  </si>
  <si>
    <t>Ahmed Mahmoud Ahmed Ali ElShafey</t>
  </si>
  <si>
    <t>احمد محمود احمد على الشافعى</t>
  </si>
  <si>
    <t>Rana Soliman Mohamed Habib</t>
  </si>
  <si>
    <t>رنا سليمان محمد حبيب</t>
  </si>
  <si>
    <t>Stability Analyst</t>
  </si>
  <si>
    <t>Asmaa Essam Hassan Ali</t>
  </si>
  <si>
    <t>أسماء عصام حسن على</t>
  </si>
  <si>
    <t>Wafaa AbdelRahman Mohamed AbdelMaksoud</t>
  </si>
  <si>
    <t>وفاء عبدالرحمن محمد عبدالمقصود</t>
  </si>
  <si>
    <t>Mona Azab Azab Ali Ghoneim</t>
  </si>
  <si>
    <t>منى عزب عزب على غنيم</t>
  </si>
  <si>
    <t>Mohamed Ahmed Mohamed Mahmoud</t>
  </si>
  <si>
    <t>محمد احمد محمد محمود</t>
  </si>
  <si>
    <t>Omar Sayed Mohamed Ali Badr</t>
  </si>
  <si>
    <t>عمر سيد محمد على بدر</t>
  </si>
  <si>
    <t>Haitham Hamada Noureldine Hamada AlQassas</t>
  </si>
  <si>
    <t>هيثم حماده نورالدين حماده القصاص</t>
  </si>
  <si>
    <t>Shaima Hesham Ahmed Ahmed ElAshry</t>
  </si>
  <si>
    <t>شيماء هشام احمد احمد العشرى</t>
  </si>
  <si>
    <t>Eslam Elsayed Mahfouz Amen</t>
  </si>
  <si>
    <t>اسلام السيد محفوظ امين</t>
  </si>
  <si>
    <t>A/P Accountant</t>
  </si>
  <si>
    <t>Haidy AlaaEldin Hassan Ali Elsioufy</t>
  </si>
  <si>
    <t>هايدى علاءالدين حسن على السيوفى</t>
  </si>
  <si>
    <t>Medical &amp; QPPV Supervisor</t>
  </si>
  <si>
    <t>Loay Ismail Hamed Fadda</t>
  </si>
  <si>
    <t>لؤي إسماعيل حامد فضه</t>
  </si>
  <si>
    <t>Ammar Kamal Ali Hegazy</t>
  </si>
  <si>
    <t>عمار كمال على حجازى</t>
  </si>
  <si>
    <t>Mohamed Gharib Alewa Mohamed Mansour</t>
  </si>
  <si>
    <t>محمد غريب عليوه محمد منصور</t>
  </si>
  <si>
    <t>Mikhael Moheb Naguib Tadros</t>
  </si>
  <si>
    <t>ميخائيل محب نجيب تادرس</t>
  </si>
  <si>
    <t>Mahmoud Saleh Mahmoud Saleh</t>
  </si>
  <si>
    <t>محمود صالح محمود صالح</t>
  </si>
  <si>
    <t>Abanoub Medhat Bishay Gameel</t>
  </si>
  <si>
    <t>ابانوب مدحت بشاى جميل</t>
  </si>
  <si>
    <t>Reham Yehia Gamal Sayed</t>
  </si>
  <si>
    <t>ريهام يحى جمال سيد</t>
  </si>
  <si>
    <t>Marina Ramzy Noshy Makla</t>
  </si>
  <si>
    <t>مارينا رمزى نصحى مجلع</t>
  </si>
  <si>
    <t>Hanan Sabry Abdella AbdelWahab ElAraby</t>
  </si>
  <si>
    <t>حنان صبرى عبداللاه عبد الوهاب العربى</t>
  </si>
  <si>
    <t>Eslam Mohamed ZainelAbidine Ibrahim Shehab</t>
  </si>
  <si>
    <t>اسلام محمد زين العابدين إبراهيم شهاب</t>
  </si>
  <si>
    <t>Ahmed Mohamed Mounir Mahdy</t>
  </si>
  <si>
    <t>احمد محمد منير مهدى القلش</t>
  </si>
  <si>
    <t>Rabab Ashraf SalahEldin AbdelGhany</t>
  </si>
  <si>
    <t>رباب اشرف صلاح الدين عبدالغنى</t>
  </si>
  <si>
    <t>Karim Mamdouh Mohamed Mohamed ElSaeed</t>
  </si>
  <si>
    <t>كريم ممدوح محمد محمد السعيد ابوعيش</t>
  </si>
  <si>
    <t>Yehia ElZanaty Ahmed ElSisy</t>
  </si>
  <si>
    <t>يحي الزناتى احمد السيسي</t>
  </si>
  <si>
    <t>Samaan Emad Halim Farag</t>
  </si>
  <si>
    <t>سمعان عماد حليم فرج</t>
  </si>
  <si>
    <t>Kerolos Samy Noshy Mareed</t>
  </si>
  <si>
    <t>كيرلس سامى نصحى مريد</t>
  </si>
  <si>
    <t>Aya Talaat Mohamed Eissa</t>
  </si>
  <si>
    <t>ايه طلعت محمد عيسى</t>
  </si>
  <si>
    <t>Ali Mohamed Ali Zalhaf</t>
  </si>
  <si>
    <t>على محمد على زلهف</t>
  </si>
  <si>
    <t>Ahmed Talaat AbuelQasim Sadik</t>
  </si>
  <si>
    <t>احمد طلعت ابوالقاسم صادق</t>
  </si>
  <si>
    <t>Operational Quality &amp; Compliance Officer</t>
  </si>
  <si>
    <t>Mansour Hussein Mansour Ahmed BadrEldin</t>
  </si>
  <si>
    <t>منصور حسين منصور احمد بدرالدين</t>
  </si>
  <si>
    <t>Hania AbdelHamid Gamal Mostafa</t>
  </si>
  <si>
    <t>هانيا عبدالحميد جمال مصطفى</t>
  </si>
  <si>
    <t>Mohamed Salem AbdelNaby Salem</t>
  </si>
  <si>
    <t>محمد سالم عبدالنبى سالم</t>
  </si>
  <si>
    <t>Mohamed Gamal Ismail Farghaly</t>
  </si>
  <si>
    <t>محمد جمال إسماعيل فرغلى</t>
  </si>
  <si>
    <t>Abdullah Mohamed Mohamed Ibrahim AbuElNasr</t>
  </si>
  <si>
    <t>عبدالله محمد محمد إبراهيم ابوالنصر</t>
  </si>
  <si>
    <t>Rana Mahmoud AbdelSamad Mohamed ElBanna</t>
  </si>
  <si>
    <t>رانا محمود عبدالصمد محمد البنا</t>
  </si>
  <si>
    <t>Hamsa Younis Gaber Younis</t>
  </si>
  <si>
    <t>همسه يونس جابر يونس</t>
  </si>
  <si>
    <t>Dina Saeed AbdelHamid Ismail AbdelHamid</t>
  </si>
  <si>
    <t>دينا سعيد عبدالحميد إسماعيل عبدالحميد</t>
  </si>
  <si>
    <t>Maha Ahmed Mohamed Zaki Ali</t>
  </si>
  <si>
    <t>مها احمد محمد ذكى على</t>
  </si>
  <si>
    <t>Asmaa Mohamed AbdelFattah Slama</t>
  </si>
  <si>
    <t>أسماء محمد عبدالفتاح سلامه</t>
  </si>
  <si>
    <t>Rokaya Ismail Mohamed Ismail Hamam</t>
  </si>
  <si>
    <t>رقيه إسماعيل محمد إسماعيل همام</t>
  </si>
  <si>
    <t>Rabab Salaheldin Ragab AbdelRahman</t>
  </si>
  <si>
    <t>رباب صلاح الدين رجب عبدالرحمن</t>
  </si>
  <si>
    <t>Kamel Ahmed Kamel Ahmed Metwaly</t>
  </si>
  <si>
    <t>كامل احمد كامل احمد متولى</t>
  </si>
  <si>
    <t>Omnia Nasr ElSayed Ahmed Taraman</t>
  </si>
  <si>
    <t>امنيه نصر السيد احمد طرمان</t>
  </si>
  <si>
    <t>Mona Mamdouh AboHamad Mahmoud</t>
  </si>
  <si>
    <t>منى ممدوح ابوحمد محمود</t>
  </si>
  <si>
    <t>Ossama Mohamed Ali Ahmed AboHeeba</t>
  </si>
  <si>
    <t>اسامه محمد على احمد ابوهيبه</t>
  </si>
  <si>
    <t>Zeyad Tamer AbdelHamid Emam</t>
  </si>
  <si>
    <t>زياد تامر عبد الحميد امام</t>
  </si>
  <si>
    <t>Mohamed Mahmoud AbdelWanis Abdullah</t>
  </si>
  <si>
    <t>محمد محمود عبدالونيس عبدالله</t>
  </si>
  <si>
    <t>Ahmed Mohamed Mostafa ElKhouly</t>
  </si>
  <si>
    <t>احمد محمد مصطفى الخولى</t>
  </si>
  <si>
    <t>Hussein Salah Mohamed Ibrahim</t>
  </si>
  <si>
    <t>حسين صلاح محمد إبراهيم</t>
  </si>
  <si>
    <t>Islam Hussien Roshdy Ahmed</t>
  </si>
  <si>
    <t>اسلام حسين رشدى احمد</t>
  </si>
  <si>
    <t>Mohamed AbdelFatah Ali AbdelWahab</t>
  </si>
  <si>
    <t>محمد عبدالفتاح على عبدالوهاب</t>
  </si>
  <si>
    <t>Mohamed Hesham Mohamed Lotfy ElAssar</t>
  </si>
  <si>
    <t>محمد هشام محمد لطفى العصار</t>
  </si>
  <si>
    <t>Mostafa Magdy AboulFotouh AbdelRahman Mesbah</t>
  </si>
  <si>
    <t>مصطفى مجدي أبو الفتوح عبدالرحمن مصباح</t>
  </si>
  <si>
    <t>Khaled ElSayed Hussien Khalel</t>
  </si>
  <si>
    <t>خالد السيد حسين خليل</t>
  </si>
  <si>
    <t>Rahma Mahrous Kamel Ali Amer</t>
  </si>
  <si>
    <t>رحمه محروس كامل على عامر</t>
  </si>
  <si>
    <t>Sara Hussieny Mansour AbdElAziz</t>
  </si>
  <si>
    <t>ساره حسينى منصور عبدالعزيز</t>
  </si>
  <si>
    <t>Rowida Reffat Mostafa Eltanawy</t>
  </si>
  <si>
    <t>رويدا رفعت مصطفى الطناوى</t>
  </si>
  <si>
    <t>Ahmed Awad Mohamed ElSayed</t>
  </si>
  <si>
    <t>احمد عوض محمد السيد</t>
  </si>
  <si>
    <t>Youssef Samir AbdElmonem Bashandy</t>
  </si>
  <si>
    <t>يوسف سمير عبدالمنعم بشندى</t>
  </si>
  <si>
    <t>Basant Ali Hussein Mohamed ElSayed</t>
  </si>
  <si>
    <t>بسنت على حسين محمد السيد</t>
  </si>
  <si>
    <t>Hany Nagah Ahmed Zidan</t>
  </si>
  <si>
    <t>هاني نجاح احمد زيدان</t>
  </si>
  <si>
    <t>Mohamed Ayman Mohamed ElSayed</t>
  </si>
  <si>
    <t>محمد ايمن محمد السيد</t>
  </si>
  <si>
    <t>Mohamed Nagy Mohamed Youssef Shalaby</t>
  </si>
  <si>
    <t>محمد ناجى محمد يوسف شلبى</t>
  </si>
  <si>
    <t>AbdElRahman Mohamed Ali Ahmed</t>
  </si>
  <si>
    <t>Montaser Ahmed Awad AbdelRahim</t>
  </si>
  <si>
    <t>منتصر احمد عوض عبدالرحيم</t>
  </si>
  <si>
    <t>Karim Mohamed Fawzy Sultan</t>
  </si>
  <si>
    <t>كريم محمد فوزى سلطان</t>
  </si>
  <si>
    <t>Hisham Mohamed Mohamed Khalifa</t>
  </si>
  <si>
    <t>هشام محمد محمد خليفه</t>
  </si>
  <si>
    <t>Hossam Mohamed AbdelHamid Ali ElAshKar</t>
  </si>
  <si>
    <t>حسام محمد عبدالحميد على الأشقر</t>
  </si>
  <si>
    <t>Ali Ahmed Mostafa Mohamed Tabl</t>
  </si>
  <si>
    <t>على احمد مصطفى محمد طبل</t>
  </si>
  <si>
    <t>Nourhan ElSayed Saleh Ali Ragab</t>
  </si>
  <si>
    <t>نورهان السيد صالح على رجب</t>
  </si>
  <si>
    <t>Mariam Hakim Ibrahim Hakim</t>
  </si>
  <si>
    <t>مريم حكيم إبراهيم حكيم</t>
  </si>
  <si>
    <t>Mohamed Youssef Mohamed Mansour</t>
  </si>
  <si>
    <t>محمد يوسف محمد منصور</t>
  </si>
  <si>
    <t>Hussein Hassan Hussein Mahmoud</t>
  </si>
  <si>
    <t>حسين حسن حسين محمود</t>
  </si>
  <si>
    <t>Bassant Gerges Fayek Loka</t>
  </si>
  <si>
    <t>بسنت جرجس فايق لوقا</t>
  </si>
  <si>
    <t>Noha Ali Ezzeldine Ali ElSayed</t>
  </si>
  <si>
    <t>نهى على عزالدين على السيد</t>
  </si>
  <si>
    <t>Abdullah ElSayed Shaaban Hussien</t>
  </si>
  <si>
    <t>عبدالله السيد شعبان حسين</t>
  </si>
  <si>
    <t>Salma ElSayed Mohamed Abdelsadek</t>
  </si>
  <si>
    <t>سلمى السيد محمد عبدالصادق</t>
  </si>
  <si>
    <t>Mahmoud Hassan Mohamed Hafez Hagag</t>
  </si>
  <si>
    <t>محمود حسن محمد حافظ حجاج</t>
  </si>
  <si>
    <t>Ahmed Sobhy Ahmed Mohamed Rabie</t>
  </si>
  <si>
    <t>احمد صبحى احمد محمد ربيع</t>
  </si>
  <si>
    <t>Ahmed Mohamed AbdelHadi Mahmoud Elramsisy</t>
  </si>
  <si>
    <t>احمد محمد عبدالهادى محمود الرمسيسى</t>
  </si>
  <si>
    <t>Maha Ahmed Saeed Mohamed</t>
  </si>
  <si>
    <t>مها احمد سعيد محمد</t>
  </si>
  <si>
    <t>Amr Osama Mahmoud ElBaz</t>
  </si>
  <si>
    <t>عمرو اسامه محمود الباز</t>
  </si>
  <si>
    <t>Ahmed Abdullah Mohamed Abdullah Attia</t>
  </si>
  <si>
    <t>احمد عبدالله محمد عبدالله عطيه</t>
  </si>
  <si>
    <t>Mohamed Ahmed Lotfy Mohamed</t>
  </si>
  <si>
    <t>محمد احمد لطفى محمد</t>
  </si>
  <si>
    <t>Ahmed Hassan AbdelHamid AbdelNabi</t>
  </si>
  <si>
    <t>احمد حسن عبدالحميد عبدالنبي</t>
  </si>
  <si>
    <t>Walaa AbdelRahman Mahmoud Elfaky</t>
  </si>
  <si>
    <t>ولاء عبدالرحمن محمود الفقى</t>
  </si>
  <si>
    <t>Mohamed Hamdy Abood Khalifa</t>
  </si>
  <si>
    <t>محمد حمدى عبود خليفه</t>
  </si>
  <si>
    <t>Heba Araby Mostafa Ali</t>
  </si>
  <si>
    <t>هبه عربى مصطفى على</t>
  </si>
  <si>
    <t>AbdelRahman Mohamed Ahmed AbdelAziz Ibrahim</t>
  </si>
  <si>
    <t>عبدالرحمن محمد احمد عبدالعزيز إبراهيم</t>
  </si>
  <si>
    <t>Youssef Hamdy AbdelRahman Mohamed Sayed Ahmed</t>
  </si>
  <si>
    <t>يوسف حمدى عبدالرحمن محمد سيد احمد</t>
  </si>
  <si>
    <t>Osama Mohamed Mahrous Eltabakh</t>
  </si>
  <si>
    <t>اسامه محمد محروس الطباخ</t>
  </si>
  <si>
    <t>Nermin Hatem Mahmoud Sultan</t>
  </si>
  <si>
    <t>نرمين حاتم محمود سلطان</t>
  </si>
  <si>
    <t>Samy Gerges Zaky Benyamin</t>
  </si>
  <si>
    <t>سامى جرجس زكى بنيامين</t>
  </si>
  <si>
    <t>AbuBakr Ali Hussein Khalil</t>
  </si>
  <si>
    <t>ابوبكر على حسين خليل</t>
  </si>
  <si>
    <t>Mamdouh Mohamed Mamdouh Mohamed Eissa</t>
  </si>
  <si>
    <t>ممدوح محمد ممدوح محمد عيسي</t>
  </si>
  <si>
    <t>Omar AbdelAziz Esmail Bassuoni AbdelAziz</t>
  </si>
  <si>
    <t>عمر عبدالعزيز إسماعيل بسيونى عبدالعزيز</t>
  </si>
  <si>
    <t>Reham Samir Sadek Farag</t>
  </si>
  <si>
    <t>ريهام سمير صادق فرج</t>
  </si>
  <si>
    <t>Osama Mohamed Mohamed Mosaad Akl Hussien</t>
  </si>
  <si>
    <t>اسامه محمد محمد مسعد عقل حسين</t>
  </si>
  <si>
    <t>Ahmed ElSayed Mohamed Mansy</t>
  </si>
  <si>
    <t>احمد السيد محمد منسي</t>
  </si>
  <si>
    <t>Karim Ibrahim Mohamed Morssy Saadeldin</t>
  </si>
  <si>
    <t>كريم إبراهيم محمد موسي سعدالدين</t>
  </si>
  <si>
    <t>Mostafa Mahmoud Sayed Ahmed</t>
  </si>
  <si>
    <t>مصطفى محمود سيد احمد</t>
  </si>
  <si>
    <t>Mostafa Ashraf Mostafa Aliwa</t>
  </si>
  <si>
    <t>مصطفى اشرف مصطفى عليوه</t>
  </si>
  <si>
    <t>Ahmed Othman Mahmoud Mohamed Othman</t>
  </si>
  <si>
    <t>احمد عثمان محمود محمد عثمان</t>
  </si>
  <si>
    <t>Shrouk Sabry AbdelSattar ElMoghazy Badawy</t>
  </si>
  <si>
    <t>شروق صبرى عبدالستار المغازى بدوى</t>
  </si>
  <si>
    <t>Gehad Mohamed AbdelHalim Ramadan</t>
  </si>
  <si>
    <t>جهاد محمد عبدالحليم رمضان</t>
  </si>
  <si>
    <t>Yasser Osama Zaki Mohamed Youssef Hagag</t>
  </si>
  <si>
    <t>ياسر اسامه زكى محمد يوسف حجاج</t>
  </si>
  <si>
    <t>Hend Hesham Ali Maher Hasaballah</t>
  </si>
  <si>
    <t>هند هشام على ماهر حسب الله</t>
  </si>
  <si>
    <t>Khaled Magdy Mohamed Ibrahim ElHussan</t>
  </si>
  <si>
    <t>خالد مجدي محمد إبراهيم الحصان</t>
  </si>
  <si>
    <t>Hossam Ehab Ali Gad Ali ElHalwany</t>
  </si>
  <si>
    <t>حسام إيهاب على جاد على الحلوانى</t>
  </si>
  <si>
    <t>Ahmed ElHusseiny ElEmam Ahmed Ismail</t>
  </si>
  <si>
    <t>احمد الحسينى الامام احمد إسماعيل</t>
  </si>
  <si>
    <t>Rawan Ismail Shehto Abdo Arafa</t>
  </si>
  <si>
    <t>روان إسماعيل شحتو عبده عرفه</t>
  </si>
  <si>
    <t>Mohamed Gamal AbdelNasser Hamed Mohamed</t>
  </si>
  <si>
    <t>محمد جمال عبدالناصر حامد محمد</t>
  </si>
  <si>
    <t>Asmaa Morsy Mohamed AbdelMohsen</t>
  </si>
  <si>
    <t>أسماء مرسي محمد عبدالمحسن</t>
  </si>
  <si>
    <t>Hesham Gouda Shokry Mohamed</t>
  </si>
  <si>
    <t>هشام جوده شكرى محمد</t>
  </si>
  <si>
    <t>Ammar Ahmed Mohamed Abd ElSamiea</t>
  </si>
  <si>
    <t>عمار احمد محمد عبدالسميع</t>
  </si>
  <si>
    <t>Mohamed Medhat Salah Abd ElHamid</t>
  </si>
  <si>
    <t>محمد مدحت صلاح عبدالحميد</t>
  </si>
  <si>
    <t>Mina Helal Georgy Louis</t>
  </si>
  <si>
    <t>مينا هلال جورجي لوس</t>
  </si>
  <si>
    <t>Mohamed Osama AbdelMaksoud Youssef Salem</t>
  </si>
  <si>
    <t>محمد اسامه عبدالمقصود يوسف سالم</t>
  </si>
  <si>
    <t>Yasmine Hagag Ibrahim Youssef</t>
  </si>
  <si>
    <t>ياسمين حجاج إبراهيم يوسف</t>
  </si>
  <si>
    <t>Nourhan AbdelMoneim ElSayed Hussein Ibrahim Alaba</t>
  </si>
  <si>
    <t>نورهان عبدالمنعم السيد حسين إبراهيم علبه</t>
  </si>
  <si>
    <t>Asmaa Saber AbdelBaky Rahim</t>
  </si>
  <si>
    <t>أسماء صابر عبدالباقى رحيم</t>
  </si>
  <si>
    <t>Margreit Youssef Bekhit Makar</t>
  </si>
  <si>
    <t>مارجريت يوسف بخيت مقار</t>
  </si>
  <si>
    <t>Mahmoud Saad Mohamed Mohamed</t>
  </si>
  <si>
    <t>محمود سعد محمد محمد</t>
  </si>
  <si>
    <t>Mariam Sherif Hassan ElAbd ElMesiry</t>
  </si>
  <si>
    <t>مريم شريف حسن العبد المسيرى</t>
  </si>
  <si>
    <t>Sara Ashraf Garhy Mohamed</t>
  </si>
  <si>
    <t>ساره اشرف جرحى محمد</t>
  </si>
  <si>
    <t>Zinab Ali Mohamed ELReggal</t>
  </si>
  <si>
    <t>زينب على محمد الرجال</t>
  </si>
  <si>
    <t>Ahmed Shaban ElSayed Ahmed</t>
  </si>
  <si>
    <t>احمد شعبان السيد احمد</t>
  </si>
  <si>
    <t>Rawan Gamal Mohamed HossamEldine ElAshwal</t>
  </si>
  <si>
    <t>روان جمال محمد حسام الدين الاشول</t>
  </si>
  <si>
    <t>Ahmed Sobhy Hussien Mohamed</t>
  </si>
  <si>
    <t>احمد صبحى حسين محمد</t>
  </si>
  <si>
    <t>Sayed SeragEldin Sayed AbdelRahman</t>
  </si>
  <si>
    <t>سيد سراج الدين سيد عبدالرحمن</t>
  </si>
  <si>
    <t>Mona Sherif Hassan AboHeba</t>
  </si>
  <si>
    <t>منى شريف حسن ابوهبه</t>
  </si>
  <si>
    <t>Yara Fawzy Mohamed ElAttar</t>
  </si>
  <si>
    <t>يارا فوزى محمد العطار</t>
  </si>
  <si>
    <t>Mahmoud Ziedan AbdelRahman Mohamed</t>
  </si>
  <si>
    <t>محمود زيدان عبدالرحمن محمد</t>
  </si>
  <si>
    <t>Cafeteria Worker</t>
  </si>
  <si>
    <t>Ali Mahmoud Mohamed Aboutalb</t>
  </si>
  <si>
    <t>على محمود محمد ابوطالب</t>
  </si>
  <si>
    <t>Mostafa Ahmed ElSayed Hassan ElShafey</t>
  </si>
  <si>
    <t>مصطفى احمد السيد حسن الشافعى</t>
  </si>
  <si>
    <t>Omima Hassan Ibrahim Mohamed</t>
  </si>
  <si>
    <t>اميمه حسن إبراهيم محمد</t>
  </si>
  <si>
    <t>AbdelRahman Wahib Ahmed Ali</t>
  </si>
  <si>
    <t>عبدالرحمن وهيب احمد على</t>
  </si>
  <si>
    <t>Rehab Hossny Abdullah Abdullah</t>
  </si>
  <si>
    <t>ريحاب حسنى عبدالله عبدالله</t>
  </si>
  <si>
    <t>Mina Amir Ibrahim Gareh</t>
  </si>
  <si>
    <t>مينا امير إبراهيم جارح</t>
  </si>
  <si>
    <t>Catherine Milad Fahim Khalil</t>
  </si>
  <si>
    <t>كاترين ميلاد فهيم خليل</t>
  </si>
  <si>
    <t>Eman Ibrahim ElHasanin ElBarbary</t>
  </si>
  <si>
    <t>ايمان إبراهيم الحسانين البربرى</t>
  </si>
  <si>
    <t>Peter Salah Wefky Wasef Khalil</t>
  </si>
  <si>
    <t>بيتر صلاح وفقى واصف خليل</t>
  </si>
  <si>
    <t>Amany Maher Bassuony Khamis Abdo</t>
  </si>
  <si>
    <t>أماني ماهر بسوني خميس عبده</t>
  </si>
  <si>
    <t>Mohamed Soud Saad Zaghlool Ibrahim</t>
  </si>
  <si>
    <t>محمد سعود سعد زعلول إبراهيم</t>
  </si>
  <si>
    <t>Ahmed Mohamed Naguib Ibrahim Ahmed</t>
  </si>
  <si>
    <t>احمد محمد نجيب إبراهيم احمد</t>
  </si>
  <si>
    <t>Abdullah ElDesouky AbdelAleem Hussein Sherif</t>
  </si>
  <si>
    <t>عبدالله الدسوقى عبدالعليم حسين شريف</t>
  </si>
  <si>
    <t>Karim Mohamed Atef ElSerafy</t>
  </si>
  <si>
    <t>كريم محمد عاطف الصيرفى</t>
  </si>
  <si>
    <t>Mohamed Gomaa Eissa Saleh</t>
  </si>
  <si>
    <t>محمد جمعه عيسي صالح</t>
  </si>
  <si>
    <t>Nada Nabil Mohamed AbdelAal Shaalan</t>
  </si>
  <si>
    <t>ندى نبيل محمد عبدالعال شعلان</t>
  </si>
  <si>
    <t>Faten Emad Farid Felbs AwadAllah</t>
  </si>
  <si>
    <t>فاتن عماد فريد فلبس عوض الله</t>
  </si>
  <si>
    <t>Fatma Yehia Zakaria AbdelBaky Salema</t>
  </si>
  <si>
    <t>فاطمه يحى زكريا عبدالباقى سالمه</t>
  </si>
  <si>
    <t>Khaled Naser Sayed Mohamed</t>
  </si>
  <si>
    <t>خالد ناصر سيد محمد</t>
  </si>
  <si>
    <t>Packaging Materials Sampler</t>
  </si>
  <si>
    <t>Krolos Emad Naseef Kamel</t>
  </si>
  <si>
    <t>كرلس عماد نصيف كامل</t>
  </si>
  <si>
    <t>Marina Nasser Zaky Nakheela</t>
  </si>
  <si>
    <t>مارينا ناصر زكى نخيله</t>
  </si>
  <si>
    <t>Engy Ashraf Boshra Gobran</t>
  </si>
  <si>
    <t>انجي اشرف بشرى جبران</t>
  </si>
  <si>
    <t>Neveen Magdy Saleh Mohamed Hassan</t>
  </si>
  <si>
    <t>نيفين مجدي صالح محمد حسن</t>
  </si>
  <si>
    <t>Ahmed Hassan ElSayed Hassan Abdullah</t>
  </si>
  <si>
    <t>احمد حسن السيد حسن عبدالله</t>
  </si>
  <si>
    <t>AbdelKader Saber Ahmed Mansour</t>
  </si>
  <si>
    <t>عبدالقادر صابر احمد منصور</t>
  </si>
  <si>
    <t>Omnia Ahmed Thabet Ahmed</t>
  </si>
  <si>
    <t>امنيه احمد ثابت احمد</t>
  </si>
  <si>
    <t>Oginy Ayman Fawzy Wahib</t>
  </si>
  <si>
    <t>اوجينى ايمن فوزى وهيب</t>
  </si>
  <si>
    <t>Heba Mohamed Ismail Mohamed Mohamed</t>
  </si>
  <si>
    <t>هبه محمد إسماعيل محمد محمد</t>
  </si>
  <si>
    <t>Saif Ali Mohamed Sabra</t>
  </si>
  <si>
    <t>سيف على محمد صبره</t>
  </si>
  <si>
    <t>Hossam AbdelRahman Emam Mahmoud</t>
  </si>
  <si>
    <t>حسام عبدالرحمن امام محمود</t>
  </si>
  <si>
    <t>Deputy Procurement Manager</t>
  </si>
  <si>
    <t>Mahmoud Mohamed Amin Mohamed</t>
  </si>
  <si>
    <t>محمود محمد امين محمد</t>
  </si>
  <si>
    <t>Ahmed Mansour Mousa Mousa</t>
  </si>
  <si>
    <t>احمد منصور موسى موسى</t>
  </si>
  <si>
    <t>Akram Hussien Ali Sabra</t>
  </si>
  <si>
    <t>اكرم حسين على صبره</t>
  </si>
  <si>
    <t>Hend ElSayed Bassiouny ElSayed Gabr</t>
  </si>
  <si>
    <t>هند السيد بسيونى السيد جبر</t>
  </si>
  <si>
    <t>Radwa Monir Ali Ibrahim</t>
  </si>
  <si>
    <t>رضوي منير على إبراهيم</t>
  </si>
  <si>
    <t>Mohamed Gamal Ali Ahmed Hassan Shawaf</t>
  </si>
  <si>
    <t>محمد جمال على احمد حسن شواف</t>
  </si>
  <si>
    <t>Ahmed Youssef Ahmed Mostafa Salim</t>
  </si>
  <si>
    <t>احمد يوسف احمد مصطفى سليم</t>
  </si>
  <si>
    <t>Aya Ramdan Saber ElSayed</t>
  </si>
  <si>
    <t>ايه رمضان صابر السيد</t>
  </si>
  <si>
    <t>Yasmeen Mohamed Moubark Ali Salem</t>
  </si>
  <si>
    <t>ياسمين محمد مبارك على سالم</t>
  </si>
  <si>
    <t>Manar Mohsen Poules Boutros</t>
  </si>
  <si>
    <t>منار محسن بولس بطرس</t>
  </si>
  <si>
    <t>Kirolos Fahmy Rizk Michael</t>
  </si>
  <si>
    <t>كيرلس فهمي رزق ميخائيل</t>
  </si>
  <si>
    <t>Marina George Wagih Shawky</t>
  </si>
  <si>
    <t>مارينا جورج وجيه شوقي</t>
  </si>
  <si>
    <t>Karim Ahmed Hussein AbdelGawad</t>
  </si>
  <si>
    <t>كريم احمد حسين عبدالجواد</t>
  </si>
  <si>
    <t>Narden Emad William Tadros</t>
  </si>
  <si>
    <t>ناردين عماد وليم تادرس</t>
  </si>
  <si>
    <t>Mohamed Ahmed Saeed Ibrahim</t>
  </si>
  <si>
    <t>محمد احمد سعيد إبراهيم</t>
  </si>
  <si>
    <t>Ramy Ibrahim Mahmoud Hafez</t>
  </si>
  <si>
    <t>رامى إبراهيم محمود حافظ</t>
  </si>
  <si>
    <t>Mostafa Mohamed Saeed Othman</t>
  </si>
  <si>
    <t>مصطفى محمد سعيد عثمان</t>
  </si>
  <si>
    <t>Mayar Mohsen Ahmed Ahmed ElFayoumi</t>
  </si>
  <si>
    <t>ميار محسن احمد احمد الفيومي</t>
  </si>
  <si>
    <t>Mariana Momtaz Mounir Gad ElKarim</t>
  </si>
  <si>
    <t>مريانا ممتاز منير جاد الكريم</t>
  </si>
  <si>
    <t>Enas Hesham Ahmed ElSayed AbdelRahim</t>
  </si>
  <si>
    <t>ايناس هشام احمد السيد عبدالرحيم</t>
  </si>
  <si>
    <t>Hadeer Saeed AbdelGhany AbdelMaksoud Ahmed Allam</t>
  </si>
  <si>
    <t>هدير سعيد عبدالغنى عبدالمقصود احمد علام</t>
  </si>
  <si>
    <t>Mohamed AbdelRahim Mohamed Hussein</t>
  </si>
  <si>
    <t>محمد عبدالرحيم محمد حسين</t>
  </si>
  <si>
    <t>Reem Faisal BadrElDin Ali Mohamed</t>
  </si>
  <si>
    <t>ريم فيصل بدرالدين على محمد</t>
  </si>
  <si>
    <t>Morkos Samy Nashed Mikhiel</t>
  </si>
  <si>
    <t>مرقس سامى ناشد ميخائيل</t>
  </si>
  <si>
    <t>Mayar Mahmoud Mahmoud Hamed</t>
  </si>
  <si>
    <t>ميار محمود محمود حامد</t>
  </si>
  <si>
    <t>Ahmed AbdelHakam ElNagar AbdelSamie</t>
  </si>
  <si>
    <t>احمد عبدالحكم النجار عبدالسميع</t>
  </si>
  <si>
    <t>Ayat AbdelRahman Ghaleb Mohamed Mansour</t>
  </si>
  <si>
    <t>ايات عبدالرحمن غالب محمد منصور</t>
  </si>
  <si>
    <t>Ahmed AbdelMoneim Youssef Hashem</t>
  </si>
  <si>
    <t>احمد عبدالمنعم يوسف هاشم</t>
  </si>
  <si>
    <t>Michael Magdy Asaad Salib</t>
  </si>
  <si>
    <t>مايكل مجدى اسعد صليب</t>
  </si>
  <si>
    <t>Naira Mohsen Sayed AbdelSalam</t>
  </si>
  <si>
    <t>نيره محسن سيد عبدالسلام</t>
  </si>
  <si>
    <t>Mostafa Samy Mostafa AboYazid</t>
  </si>
  <si>
    <t>مصطفى سامى مصطفى ابواليزيد</t>
  </si>
  <si>
    <t>Peter Gamal Nashed Botros</t>
  </si>
  <si>
    <t>بيتر جمال ناشد بطرس</t>
  </si>
  <si>
    <t>Ahmed EmadElDin Gamal AbdelGhaffar</t>
  </si>
  <si>
    <t>احمد عمادالدين جمال عبدالغفار</t>
  </si>
  <si>
    <t>Mohamed Ali Taha ElSayed</t>
  </si>
  <si>
    <t>محمد على طه السيد</t>
  </si>
  <si>
    <t>Gardener Assistant</t>
  </si>
  <si>
    <t>Antonios Thabet Shehata Awad</t>
  </si>
  <si>
    <t>انطونيوس ثابت شحاته عوض</t>
  </si>
  <si>
    <t>AbdelMaksoud Saeed Mohamed Soliman</t>
  </si>
  <si>
    <t>عبدالمقصود سعيد محمد سليمان</t>
  </si>
  <si>
    <t>Mohamed Tharwat AbdelBaky Ahmed</t>
  </si>
  <si>
    <t>محمد ثروت عبدالباقى احمد</t>
  </si>
  <si>
    <t>Mohamed Rabie Mohamed AbdGhany</t>
  </si>
  <si>
    <t>محمد ربيع محمد عبدالغنى</t>
  </si>
  <si>
    <t>Omar Ali Ezzat Ahmed AbdelFattah ElKholy</t>
  </si>
  <si>
    <t>عمر على عزت احمد عبدالفتاح الخولى</t>
  </si>
  <si>
    <t>Abeer Ahmed Hassan ElSeredy</t>
  </si>
  <si>
    <t>عبير احمد حسن الصريدى</t>
  </si>
  <si>
    <t>Beshoy Farag Ghobrial Farag</t>
  </si>
  <si>
    <t>بيشوى فرج غبريال فرج</t>
  </si>
  <si>
    <t>Melad Naguib Zaky AboElSaad</t>
  </si>
  <si>
    <t>ميلاد نجيب ذكى ابوالسعد</t>
  </si>
  <si>
    <t>Ramy Samy Anis Aziz</t>
  </si>
  <si>
    <t>رامى سامى انيس عزيز</t>
  </si>
  <si>
    <t>Hesham Abdullah Mostafa Mostafa</t>
  </si>
  <si>
    <t>هشام عبدالله مصطفى مصطفى</t>
  </si>
  <si>
    <t>Shereen Hosny Mohamed Farag Ayaad</t>
  </si>
  <si>
    <t>شيرين حسنى محمد فرج عياد</t>
  </si>
  <si>
    <t>Toka Ehab AbdelSalam AbdelMoamen Montaser</t>
  </si>
  <si>
    <t>تقى إيهاب عبدالسلام عبدالمؤمن منتصر</t>
  </si>
  <si>
    <t>Sara Hossam AbdelAziz AbdelAziz Hashesh</t>
  </si>
  <si>
    <t>سارة حسام عبدالعزيز عبدالعزيز حشيش</t>
  </si>
  <si>
    <t>Yahia Mohamed AboElfadl Mawod</t>
  </si>
  <si>
    <t>يحى محمد ابوالفضل معوض</t>
  </si>
  <si>
    <t>Yasmin Yasser Mohamed Tawfeek Mohamed</t>
  </si>
  <si>
    <t>ياسمين ياسر محمد توفيق محمد</t>
  </si>
  <si>
    <t>Marina Adel Helmy Escaros</t>
  </si>
  <si>
    <t>مارينا عادل حلمى اسكاروس</t>
  </si>
  <si>
    <t>Hamdy Hassan Abdullah Hassan Tales</t>
  </si>
  <si>
    <t>حمدى حسن عبدالله حسن طليس</t>
  </si>
  <si>
    <t>Sabreen Sabry AbdelHameed Ali</t>
  </si>
  <si>
    <t>صابرين صبرى عبدالحميد على</t>
  </si>
  <si>
    <t>Hossam Hassan AbdelMageed Ahmed</t>
  </si>
  <si>
    <t>حسام حسن عبدالمجيد احمد</t>
  </si>
  <si>
    <t>Doha Osama Ahmed Hasaneen</t>
  </si>
  <si>
    <t>ضحى أسامة أحمد حسنين</t>
  </si>
  <si>
    <t>Sherif Soliman Soliman Elsayed ElAzaby</t>
  </si>
  <si>
    <t>شريف سليمان سليمان السيد العزبي</t>
  </si>
  <si>
    <t>Haytham Rabie Youssef AbdelHay Salah</t>
  </si>
  <si>
    <t>هيثم ربيع يوسف عبدالحى صالح</t>
  </si>
  <si>
    <t>Mostafa Yasser Shafek Hassona Hassan</t>
  </si>
  <si>
    <t>مصطفى ياسر شفيق حسونه حسن</t>
  </si>
  <si>
    <t>kerolos Tarek Latef Mikhail Mansour</t>
  </si>
  <si>
    <t>كيرلس طارق لطيف ميخائيل منصور</t>
  </si>
  <si>
    <t>Asmaa Adel AbdelKareem Ali</t>
  </si>
  <si>
    <t>أسماء عادل عبدالكريم على</t>
  </si>
  <si>
    <t>Mohamed Mansour AbdelAty AbdelAzim AlTaify</t>
  </si>
  <si>
    <t>محمد منصور عبدالعاطى عبدالعظيم الطايفى</t>
  </si>
  <si>
    <t>Rafy Morad Akhnoukh Bqatar</t>
  </si>
  <si>
    <t>رافي مراد اخنوخ بقطر</t>
  </si>
  <si>
    <t>Mohamed Abdelghany Abdellatiff Abdelghany</t>
  </si>
  <si>
    <t>محمد عبدالغني عبداللطيف عبدالغني</t>
  </si>
  <si>
    <t>QA Systems Supervisor</t>
  </si>
  <si>
    <t>qa-systems@future-eg.com</t>
  </si>
  <si>
    <t>Omar Tharwat Azab ElSayed Ahmed ElNaggar</t>
  </si>
  <si>
    <t>عمر ثروت عزب السيد أحمد النجار</t>
  </si>
  <si>
    <t>Packaging Material Analyst</t>
  </si>
  <si>
    <t>Amr Mohamed Saeed Hassan Saeed</t>
  </si>
  <si>
    <t>عمرو محمد سعيد حسن سعيد</t>
  </si>
  <si>
    <t>Ahmed Mossad Othman Mohamed Ahmed</t>
  </si>
  <si>
    <t>أحمد مسعد عثمان محمد أحمد</t>
  </si>
  <si>
    <t>Mohamed Ahmed AbdelMonem Ahmed</t>
  </si>
  <si>
    <t>محمد أحمد عبدالمنعم أحمد محجوب</t>
  </si>
  <si>
    <t>Worker</t>
  </si>
  <si>
    <t>Islam Ismail Ahmed Mohamed</t>
  </si>
  <si>
    <t>اسلام إسماعيل احمد محمد</t>
  </si>
  <si>
    <t>Mina Raafat ElAmir Saeed</t>
  </si>
  <si>
    <t>مينا رافت الأمير سعيد</t>
  </si>
  <si>
    <t>Ashraf Galal AbdelSadek Soliman</t>
  </si>
  <si>
    <t>أشرف جلال عبدالصادق سليمان عبدالعال</t>
  </si>
  <si>
    <t>Ahmed Bassiouny Hussein Mahmoud Hasan</t>
  </si>
  <si>
    <t>أحمد بسيوني حسين محمود حسن</t>
  </si>
  <si>
    <t>Mohamed samir Saber AbdelSalam</t>
  </si>
  <si>
    <t>محمد سمير صابر عبدالسلام</t>
  </si>
  <si>
    <t>Mohamed Mosaad Mostafa ElDebawy</t>
  </si>
  <si>
    <t>محمد مسعد مصطفي الديباوي</t>
  </si>
  <si>
    <t>Eslam AbdelFattah Mohamed Bdiwy</t>
  </si>
  <si>
    <t>اسلام عبدالفتاح محمد بديوي</t>
  </si>
  <si>
    <t>Walaa Soliman Ali Mahmoud</t>
  </si>
  <si>
    <t>ولاء سليمان علي محمود</t>
  </si>
  <si>
    <t>Ahmed Tarek Ghonaimy Mohamed Sherif</t>
  </si>
  <si>
    <t>أحمد طارق غنيمي محمد شريف</t>
  </si>
  <si>
    <t>Nardin Sameh Makram Shenouda</t>
  </si>
  <si>
    <t>ناردين سامح مكرم شنوده</t>
  </si>
  <si>
    <t>AyatAllah Khairy Emam Eissa</t>
  </si>
  <si>
    <t>ايه الله خيري امام عيسي</t>
  </si>
  <si>
    <t>Mostafa Ashry Mohamed Salah</t>
  </si>
  <si>
    <t>مصطفي عشري محمد صالح</t>
  </si>
  <si>
    <t>Nader Mohamed Fouad Mohamed Attia</t>
  </si>
  <si>
    <t>نادر محمد فؤاد محمد عطية</t>
  </si>
  <si>
    <t>Ahmed Abdelghany Mahmoud Abdelghany</t>
  </si>
  <si>
    <t>أحمد عبدالغنى محمود عبدالغنى</t>
  </si>
  <si>
    <t>Mina Maged Mofeed Shenouda</t>
  </si>
  <si>
    <t>مينا ماجد مفيد شنوده</t>
  </si>
  <si>
    <t>Amr Ahmed Sayed AbdelKerim</t>
  </si>
  <si>
    <t>عمرو أحمد سيد عبدالكريم</t>
  </si>
  <si>
    <t>Romario Rashad Nagy Shaker</t>
  </si>
  <si>
    <t>روماريو رشاد ناجى شاكر</t>
  </si>
  <si>
    <t>Hesham Refaat Mohamed Taha</t>
  </si>
  <si>
    <t>هشام رفعت محمد طه</t>
  </si>
  <si>
    <t>Mohamed Mahmoud Mohamed ElMetwally Khayal</t>
  </si>
  <si>
    <t>محمد محمود محمد المتولى خيال</t>
  </si>
  <si>
    <t>Sahar Farid Roshdy Ghareeb</t>
  </si>
  <si>
    <t>سهر فريد رشدى غريب</t>
  </si>
  <si>
    <t>Katreen Mamdouh Milad AbdelMessih</t>
  </si>
  <si>
    <t>كاترين ممدوح ميلاد عبدالمسيح</t>
  </si>
  <si>
    <t>George Wadeaa Riad Sadek</t>
  </si>
  <si>
    <t>Renata zaher Anwar Megly</t>
  </si>
  <si>
    <t>ريناتا زاهر أنور مجلى</t>
  </si>
  <si>
    <t>Key Account Manager</t>
  </si>
  <si>
    <t>Mohsen Hosney ShamsElDeen Ahmed</t>
  </si>
  <si>
    <t>محسن حسني شمس الدين أحمد</t>
  </si>
  <si>
    <t>Mahmoud Samir Khater Ghayaty</t>
  </si>
  <si>
    <t>محمود سمير خاطر غياتي</t>
  </si>
  <si>
    <t>Sarah Mahmoud Tawfik Soliman</t>
  </si>
  <si>
    <t>سارة محمود توفيق سليمان</t>
  </si>
  <si>
    <t>Christine Maher Ramzy Asaad</t>
  </si>
  <si>
    <t>كريستين ماهر رمزي أسعد</t>
  </si>
  <si>
    <t>Samy Abdullah Mohamed Ramadan</t>
  </si>
  <si>
    <t>سامي عبدالله محمد رمضان</t>
  </si>
  <si>
    <t>Mahmoud Mohmed Gamal El-Din Abdel Hamid Mohamed</t>
  </si>
  <si>
    <t>محمود محمد جمال الدين عبدالحميد محمد</t>
  </si>
  <si>
    <t>Esraa Ahmed Mohamed Ali Mohamed</t>
  </si>
  <si>
    <t>اسراء أحمد محمد علي محمد</t>
  </si>
  <si>
    <t>Mirna Ayman Fawzy Shawky</t>
  </si>
  <si>
    <t>ميرنا ايمن فوزي شوقي</t>
  </si>
  <si>
    <t>ElHassan Yehia Saad ElGeishy</t>
  </si>
  <si>
    <t>الحسن يحيا سعد الجيشي</t>
  </si>
  <si>
    <t>MennatAllah Mamdouh Mohamed Dawood</t>
  </si>
  <si>
    <t>منة الله ممدوح محمد داود</t>
  </si>
  <si>
    <t>Mohamed Wagih Abd ElBary Ibrahim ElHwarany</t>
  </si>
  <si>
    <t>محمد وجيه عبدالباري إبراهيم الحوراني</t>
  </si>
  <si>
    <t>Amal Magdy Abdellatif Mohamed AbdelHameid</t>
  </si>
  <si>
    <t>امال مجدي عبداللطيف محمد عبدالحميد</t>
  </si>
  <si>
    <t>Rehab Mohamed Mohamed Hussien Metwaly</t>
  </si>
  <si>
    <t>رحاب محمد محمد حسين متولي</t>
  </si>
  <si>
    <t>Doaa Fawzy Hassan Mohamed Salama</t>
  </si>
  <si>
    <t>دعاء فوزي حسن محمد سلامة</t>
  </si>
  <si>
    <t>Ahmed Refat Mahmoud Hassan</t>
  </si>
  <si>
    <t>أحمد رفعت محمود حسن</t>
  </si>
  <si>
    <t>Mahmoud Gamal Mohamed Ibrahim Besar</t>
  </si>
  <si>
    <t>محمود جمال محمد إبراهيم بيصار</t>
  </si>
  <si>
    <t>AbdelRahman AbdelHameed Ali Hamisa</t>
  </si>
  <si>
    <t>عبدالرحمن عبدالحميد علي هميسه</t>
  </si>
  <si>
    <t>Yassmin Ashraf Mostafa AbdelAziz</t>
  </si>
  <si>
    <t>ياسمين أشرف مصطفى عبد العزيز</t>
  </si>
  <si>
    <t>Eslam AbdelNaser Ibrahim Ismail Nour ElDien</t>
  </si>
  <si>
    <t>إسلام عبدالناصر إبراهيم إسماعيل نورالدين</t>
  </si>
  <si>
    <t>A'laa AbdelRahim Hashem Mohamed</t>
  </si>
  <si>
    <t>آلاء عبدالرحيم هاشم محمد</t>
  </si>
  <si>
    <t>Aya Ibrahim Shoukry AbdelRahman</t>
  </si>
  <si>
    <t>أية إبراهيم شكري عبدالرحمن</t>
  </si>
  <si>
    <t>Abanoub Gamal Wasef Ibrahim</t>
  </si>
  <si>
    <t>أبانوب جمال واصف إبراهيم</t>
  </si>
  <si>
    <t>Ibrahim Zakaria Mahmoud Abd ElBaky Salman</t>
  </si>
  <si>
    <t>إبراهيم ذكريا محمود عبدالباقي سالمان</t>
  </si>
  <si>
    <t>Ashrakat AbdelHafez Helmy Shaheen</t>
  </si>
  <si>
    <t>أشرقت عبدالحافظ حلمي شاهين</t>
  </si>
  <si>
    <t>Mina Mourad Youssef Rezk Youssef</t>
  </si>
  <si>
    <t>مينا مراد يوسف رزق يوسف</t>
  </si>
  <si>
    <t>Olivia Samuel Nasr Beikheet</t>
  </si>
  <si>
    <t>اوليفيا صموئيل نصر بخيت</t>
  </si>
  <si>
    <t>Eslam Ramadan Abd elMoaty Ibrahim</t>
  </si>
  <si>
    <t>إسلام رمضان عبدالمعطي إبراهيم</t>
  </si>
  <si>
    <t>Eslam Magdy Abdelwahed Ali</t>
  </si>
  <si>
    <t>اسلام مجدى عبد الواحد على</t>
  </si>
  <si>
    <t>Hossam Ahmed Saeed Metwaly Salama</t>
  </si>
  <si>
    <t>حسام أحمد سعيد متولي سلامة</t>
  </si>
  <si>
    <t>Hanaa Ramadan AbdelSalam Aid Farw</t>
  </si>
  <si>
    <t>هناء رمضان عبد السلام عيد فرو</t>
  </si>
  <si>
    <t>Ahmed Mohamed Saeed AbdelFatah</t>
  </si>
  <si>
    <t>أحمد محمد سعيد عبدالفتاح</t>
  </si>
  <si>
    <t>Dalia Hany Mohamed Abdelgelel</t>
  </si>
  <si>
    <t>داليا هاني محمد عبدالجليل</t>
  </si>
  <si>
    <t>Mostafa Mahmoud ElHendy Mohamed Abdo ElNagar</t>
  </si>
  <si>
    <t>مصطفى محمود الهندي محمد عبده النجار</t>
  </si>
  <si>
    <t>Mostafa Ahmed Magdy Mohamed Rashad Abdelhady</t>
  </si>
  <si>
    <t>مصطفى أحمد مجدي محمد رشاد عبدالهادي</t>
  </si>
  <si>
    <t>Haidy Malak Mourics Shaker</t>
  </si>
  <si>
    <t>هايدي ملاك موريس شاكر</t>
  </si>
  <si>
    <t>Ahmed Gamal Ragab Ahmed ElNagar</t>
  </si>
  <si>
    <t>أحمد جمال رجب أحمد النجار</t>
  </si>
  <si>
    <t>Mahmoud AbdelGhany AbdRabbo Mohamed Ali</t>
  </si>
  <si>
    <t>محمود عبدالغني عبدربه محمد علي</t>
  </si>
  <si>
    <t>Freelance JDE &amp; CNC Consultant</t>
  </si>
  <si>
    <t>Moa'men Mohamed Yosry AbdElSalam MohamedAl-Suyuti</t>
  </si>
  <si>
    <t>مؤمن محمد يسري عبدالسلام محمد السيوطي</t>
  </si>
  <si>
    <t>Freelance JDE Developer</t>
  </si>
  <si>
    <t>Mohamed Mahmoud Mansour Abd ElMgeed ElSetohy</t>
  </si>
  <si>
    <t>محمد محمود منصور عبدالمجيد السطوحي</t>
  </si>
  <si>
    <t>Walaa Fathy Mohamed Lasheen</t>
  </si>
  <si>
    <t>ولاء فتحي محمد لاشين</t>
  </si>
  <si>
    <t>Ramy Mahmoud Hassan Mohamed</t>
  </si>
  <si>
    <t>رامي محمود حسن محمد</t>
  </si>
  <si>
    <t>Aya Mohamed Abdo Shaban</t>
  </si>
  <si>
    <t>آية محمد عبده شعبان</t>
  </si>
  <si>
    <t>Sameh Ayad Sobhy Abd ElMalek Azer</t>
  </si>
  <si>
    <t>سامح عياد صبحي عبدالملك عازر</t>
  </si>
  <si>
    <t>Mohamed Abdelrahman Shaheen Ramadan</t>
  </si>
  <si>
    <t>محمد عبدالرحمن شاهين رمضان</t>
  </si>
  <si>
    <t>Hanin Yassin Mostafa Tabas</t>
  </si>
  <si>
    <t>حنين ياسين مصطفى طباس</t>
  </si>
  <si>
    <t>solid2@future-eg.com</t>
  </si>
  <si>
    <t>Islam Mohamed Moussa Fraghaly</t>
  </si>
  <si>
    <t>اسلام محمد موسى فرغلى</t>
  </si>
  <si>
    <t>Mostafa Hamada Dessouky Ahmed Ibrahim</t>
  </si>
  <si>
    <t>مصطفى حماده دسوقى احمد ابراهيم</t>
  </si>
  <si>
    <t>Esraa Magdy ElSaeed Badawy</t>
  </si>
  <si>
    <t>إسراء مجدي السعيد بدوي</t>
  </si>
  <si>
    <t>Magi Girgis Fahiem Girgis</t>
  </si>
  <si>
    <t>ماجي جرجس فهيم جرجس</t>
  </si>
  <si>
    <t>Mohamed Mahmoud Ismail Ahmed Ali</t>
  </si>
  <si>
    <t>محمد محمود اسماعيل احمد على</t>
  </si>
  <si>
    <t>QA Head</t>
  </si>
  <si>
    <t>Doha Mohamed AbdelSalam ElBadry</t>
  </si>
  <si>
    <t>ضحى محمد عبدالسلام البدرى</t>
  </si>
  <si>
    <t>Mohamed Gamal Mohamed Mohsen ElSharkawy</t>
  </si>
  <si>
    <t>محمد جمال محمد محسن الشرقاوى</t>
  </si>
  <si>
    <t>Verina Halim Fakhry Halem Ayoub</t>
  </si>
  <si>
    <t>فيرينا حليم فخري حليم أيوب</t>
  </si>
  <si>
    <t>Ahmed Ibrahim Ahmed AboSree</t>
  </si>
  <si>
    <t>أحمد إبراهيم أحمد أبوسريع</t>
  </si>
  <si>
    <t>Safa ElSayed ElSayed Aly Abd ElWahab</t>
  </si>
  <si>
    <t>صفا السيد السيد علي عبدالوهاب</t>
  </si>
  <si>
    <t>Marketing OTC</t>
  </si>
  <si>
    <t>Ali Abd ElMonaem Ahmed Ali</t>
  </si>
  <si>
    <t>علي عبدالمنعم أحمد علي</t>
  </si>
  <si>
    <t>Mohamed Selim Mohamed Khalifa</t>
  </si>
  <si>
    <t>محمد سليم محمد خليفه</t>
  </si>
  <si>
    <t>Art Work Designer</t>
  </si>
  <si>
    <t>Renad Awni Mohamed Ghaith</t>
  </si>
  <si>
    <t>رناد عونى محمد غيث</t>
  </si>
  <si>
    <t>Farida Hassan Mostafa ElSayed</t>
  </si>
  <si>
    <t>فريدة حسن مصطفى السيد</t>
  </si>
  <si>
    <t>Amr Mohamed Mahmoud Samy Ahmed Ali</t>
  </si>
  <si>
    <t>عمرو محمد محمود سامي احمد علي</t>
  </si>
  <si>
    <t>Ahmed Mohamed Abd ElRazek Ahmed ElBana</t>
  </si>
  <si>
    <t>احمد محمد عبدالرازق احمد البنا</t>
  </si>
  <si>
    <t>Sara Taha Yasien Ahmed Hassan</t>
  </si>
  <si>
    <t>ساره طه يسن احمد حسن</t>
  </si>
  <si>
    <t>Mazen Essam Hassan Megahed Afifi</t>
  </si>
  <si>
    <t>مازن عصام حسن مجاهد عفيفى</t>
  </si>
  <si>
    <t>Rawan Abdallah Atef Abdallah Othman</t>
  </si>
  <si>
    <t>روان عبدالله عاطف عبدالله عثمان</t>
  </si>
  <si>
    <t>Hossam Morsy Mohamed Morsy</t>
  </si>
  <si>
    <t>حسام مرسى محمد مرسى</t>
  </si>
  <si>
    <t>Islam Emad Hamdy AbdelKerim</t>
  </si>
  <si>
    <t>اسلام عماد حمدى عبدالكريم</t>
  </si>
  <si>
    <t>Randa Hamdy Mohamed Goma Hasan</t>
  </si>
  <si>
    <t>راندا حمدي محمد جمعة حسن</t>
  </si>
  <si>
    <t>Ahmed Abd ElRahman Ibrahim ElKholy</t>
  </si>
  <si>
    <t>احمد عبدالرحمن إبراهيم الخولي</t>
  </si>
  <si>
    <t>Group Product Manager</t>
  </si>
  <si>
    <t>Montaser Abdeen Ali Ahmed</t>
  </si>
  <si>
    <t>منتصر عابدين علي احمد</t>
  </si>
  <si>
    <t>Abdelkader Hesham Abdelkader Hamdy</t>
  </si>
  <si>
    <t>عبدالقادر هشام عبدالقادر حمدي</t>
  </si>
  <si>
    <t>Ahmed Samy Ahmed Mahmoud Radwan</t>
  </si>
  <si>
    <t>احمد سامي احمد محمود رضوان</t>
  </si>
  <si>
    <t>Ehab Nagah GadAllah ElSayed</t>
  </si>
  <si>
    <t>إيهاب نجاح جادالله السيد</t>
  </si>
  <si>
    <t>Customer Engagement Lead</t>
  </si>
  <si>
    <t>Ahmed Mohamed Salama Mohamed ElKhalely</t>
  </si>
  <si>
    <t>أحمد محمد سلامة محمد الخليلي</t>
  </si>
  <si>
    <t>A/R Accountant</t>
  </si>
  <si>
    <t>Mahmoud Hanafy Mahmoud AbdelFatah</t>
  </si>
  <si>
    <t>محمود حنفي محمود عبدالفتاح</t>
  </si>
  <si>
    <t>Samir Thanaa Ali Almy Saleh</t>
  </si>
  <si>
    <t>سمير ثناء علي علمي صالح</t>
  </si>
  <si>
    <t>Mariam Mostafa Mahmoud AbdelRahman</t>
  </si>
  <si>
    <t>مريم مصطفى محمود عبدالرحمن</t>
  </si>
  <si>
    <t>Sara Hassan AbdEllatif Mohamed Kshiek</t>
  </si>
  <si>
    <t>ساره حسن عبداللطيف محمد كشيك</t>
  </si>
  <si>
    <t>Regulatory Affairs Supervisor</t>
  </si>
  <si>
    <t>Khaled Mohamed AbdElfattah ElSayed ElAshwah</t>
  </si>
  <si>
    <t>خالد محمد عبدالفتاح السيد الأشوح</t>
  </si>
  <si>
    <t>Adham AbdelFattah AbdelHaliem AbdelFattah</t>
  </si>
  <si>
    <t>أدهم عبدالفتاح عبدالحليم عبدالفتاح</t>
  </si>
  <si>
    <t>Ahmed Magdy Ali Ibrahim</t>
  </si>
  <si>
    <t>أحمد مجدي علي إبراهيم</t>
  </si>
  <si>
    <t>Ahmed Sabry Mohamed Ali Hussien</t>
  </si>
  <si>
    <t>أحمد صبري محمد علي حسين</t>
  </si>
  <si>
    <t>Mahmoud Magdy Mohamed AbdelRahiem</t>
  </si>
  <si>
    <t>محمود مجدي محمد عبد الرحيم</t>
  </si>
  <si>
    <t>Paula Magdy George AbdElSayed</t>
  </si>
  <si>
    <t>بولا مجدي جورجي عبدالسيد</t>
  </si>
  <si>
    <t>Eslam Salah Ahmed Mohamed Awad</t>
  </si>
  <si>
    <t>إسلام صلاح أحمد محمد عوض</t>
  </si>
  <si>
    <t>Ahmed Mohamed AbdelGalil Amin ElMestekawy</t>
  </si>
  <si>
    <t>أحمد محمد عبدالجليل أمين المستكاوي</t>
  </si>
  <si>
    <t>Marina Ashraf Aziz Fahmy</t>
  </si>
  <si>
    <t>مارينا أشرف عزيز فهمي</t>
  </si>
  <si>
    <t>Andrew Ehab Adwar Youssef</t>
  </si>
  <si>
    <t>أندرو إيهاب ادوار يوسف</t>
  </si>
  <si>
    <t>Merna Gerges Todray Mousa</t>
  </si>
  <si>
    <t>ميرنا جرجس تودري موسى</t>
  </si>
  <si>
    <t>Emad Sabry Ramadan AbdElSadek</t>
  </si>
  <si>
    <t>عماد صبري رمضان عبدالصادق</t>
  </si>
  <si>
    <t>Adham Hamed Ismaiel Hamed</t>
  </si>
  <si>
    <t>أدهم حامد إسماعيل حامد</t>
  </si>
  <si>
    <t>Ragab Mahmoud Mohamed Mohamed Salama</t>
  </si>
  <si>
    <t>رجب محمود محمد محمد سلامة</t>
  </si>
  <si>
    <t>MennatAllah Mohamed Fouad AbdElKawy</t>
  </si>
  <si>
    <t>منة الله محمد فؤاد عبدالقوي</t>
  </si>
  <si>
    <t>Nesma Ahmed Awaad Ahmed Youssef</t>
  </si>
  <si>
    <t>نسمة احمد عوض احمد يوسف</t>
  </si>
  <si>
    <t>Ashraf Gamil AbdElFatah GadElRab</t>
  </si>
  <si>
    <t>أشرف جميل عبدالفتاح جاد الرب</t>
  </si>
  <si>
    <t>Ahmed Hassan Ahmed AbdElRahman</t>
  </si>
  <si>
    <t>أحمد حسن أحمد عبدالرحمن</t>
  </si>
  <si>
    <t>Reda Ahmed Youssef Abu Al-Ala Masoud</t>
  </si>
  <si>
    <t>رضا أحمد يوسف أبوالعلا مسعود</t>
  </si>
  <si>
    <t>Mohamed Abdullah Mahmoud AlMaadawy</t>
  </si>
  <si>
    <t>محمد عبدالله محمود المعداوي</t>
  </si>
  <si>
    <t>Sahar Sherif AbdElBadea Awad ElSharkawy</t>
  </si>
  <si>
    <t>سحر شريف عبدالبديع عوض الشرقاوي</t>
  </si>
  <si>
    <t>Donia Osama Sayed Bakry Sayed</t>
  </si>
  <si>
    <t>دنيا أسامة سيد بكري سيد</t>
  </si>
  <si>
    <t>Sara Nabil Salama Youssef</t>
  </si>
  <si>
    <t>ساره نبيل سلامه يوسف</t>
  </si>
  <si>
    <t>Mohamed Hassan AbdElSalam Ibrahim Salam</t>
  </si>
  <si>
    <t>محمد حسن عبد السلام ابراهيم سلام</t>
  </si>
  <si>
    <t>Mohamady Kamal Mohamady AbdElHameed</t>
  </si>
  <si>
    <t>محمدى كمال محمدى عبد الحميد</t>
  </si>
  <si>
    <t>Sandy Saeed Ibrahim Bolas</t>
  </si>
  <si>
    <t>ساندي سعيد ابراهيم بولس</t>
  </si>
  <si>
    <t>Nada Adel Mostafa Ibrahim</t>
  </si>
  <si>
    <t>ندى عادل مصطفى إبراهيم</t>
  </si>
  <si>
    <t>Merna Nabil Adly Benyamin</t>
  </si>
  <si>
    <t>ميرنا نبيل عدلي بنيامين</t>
  </si>
  <si>
    <t>Kerolos Nassef GadElRab Abady</t>
  </si>
  <si>
    <t>كيرلس ناصف جادالرب عبادى</t>
  </si>
  <si>
    <t>Samar Ahmed Sadek Radwan</t>
  </si>
  <si>
    <t>سمر أحمد صادق رضوان</t>
  </si>
  <si>
    <t>Mohamed Salah AbdelHameed Sayed Ahmed</t>
  </si>
  <si>
    <t>محمد صلاح عبدالحميد سيد أحمد</t>
  </si>
  <si>
    <t>Amr Mostafa Mohamed Mohamed Hashim</t>
  </si>
  <si>
    <t>عمرو مصطفى محمد محمد هاشم</t>
  </si>
  <si>
    <t>Laila Adel ElSayed Mohamed Abdullah</t>
  </si>
  <si>
    <t>ليلى عادل السيد محمد عبد الله</t>
  </si>
  <si>
    <t>Ekram Karam Hana Khalila</t>
  </si>
  <si>
    <t>إكرام كرم حنا خليله</t>
  </si>
  <si>
    <t>Mohamed Samir Mohamed AbdelSalam Youssef</t>
  </si>
  <si>
    <t>محمد سمير محمد عبدالسلام يوسف</t>
  </si>
  <si>
    <t>Ebram Elkess Makar Shawky Elkams Yonan</t>
  </si>
  <si>
    <t>ابرام القس مقار شوقي القمص يونان</t>
  </si>
  <si>
    <t>Ahmed Mohamed Nasr ElBoshy</t>
  </si>
  <si>
    <t>أحمد محمد نصر البوشي</t>
  </si>
  <si>
    <t>Sara Mohamed Abdelfattah ElGazar</t>
  </si>
  <si>
    <t>ساره محمد عبدالفتاح الجزار</t>
  </si>
  <si>
    <t>Bassant Mohamed Mahrous Metwally</t>
  </si>
  <si>
    <t>بسنت محمد محروس متولي</t>
  </si>
  <si>
    <t>MennatAllah Ehab Ali Embark</t>
  </si>
  <si>
    <t>منة الله إيهاب علي امبارك</t>
  </si>
  <si>
    <t>Ibrahim Ahmed Mohamed Zaki Amien Elewa</t>
  </si>
  <si>
    <t>إبراهيم احمد محمد زكي امين عليوة</t>
  </si>
  <si>
    <t>Rana Khaled Fahmy ElSayed</t>
  </si>
  <si>
    <t>رنا خالد فهمي السيد</t>
  </si>
  <si>
    <t>Scientific Office Coordinator</t>
  </si>
  <si>
    <t>Peter Rafaat Zakaria Boulos</t>
  </si>
  <si>
    <t>بيتر رأفت زكريا بولس</t>
  </si>
  <si>
    <t>Haytham AbdElFatah Ahmed Ismail</t>
  </si>
  <si>
    <t>هيثم عبدالفتاح أحمد إسماعيل</t>
  </si>
  <si>
    <t>Mona Ibrahim Mohamed Ali Ahmed</t>
  </si>
  <si>
    <t>منى إبراهيم محمد علي احمد</t>
  </si>
  <si>
    <t>Saif Mohamed Mohamed Gad ElAsaal</t>
  </si>
  <si>
    <t>سيف محمد محمد جاد العسال</t>
  </si>
  <si>
    <t>Marina Ashraf Saleeb Hana</t>
  </si>
  <si>
    <t>مارينا أشرف صليب حنا</t>
  </si>
  <si>
    <t>ElShahaat AbdElMaksoud Ahmed Mohamed Rabah</t>
  </si>
  <si>
    <t>الشحات عبدالمقصود أحمد محمد رباح</t>
  </si>
  <si>
    <t>Nada Yousry Ragab AbdElMageed Khaleel</t>
  </si>
  <si>
    <t>ندى يسري رجب عبدالمجيد خليل</t>
  </si>
  <si>
    <t>Nagat Mostafa Mohamed Manssi Shalan</t>
  </si>
  <si>
    <t>نجاة مصطفى محمد منسي شعلان</t>
  </si>
  <si>
    <t>Esraa Galal Ibrahim ElSayed Mohamed</t>
  </si>
  <si>
    <t>اسراء جلال إبراهيم السيد محمد</t>
  </si>
  <si>
    <t>Shorouk Mohamed Mohamed Ahmed</t>
  </si>
  <si>
    <t>شروق محمد محمد أحمد</t>
  </si>
  <si>
    <t>Noura Sayed Ahmed Mohamed Sayed Ahmed Brakaat</t>
  </si>
  <si>
    <t>نورا سيد أحمد محمد سيد أحمد بركات</t>
  </si>
  <si>
    <t>Mina Fakhry Lamei Thabet</t>
  </si>
  <si>
    <t>مينا فخري لمعي ثابت</t>
  </si>
  <si>
    <t>Maha Ali Awad ElSonbaty</t>
  </si>
  <si>
    <t>مها علي عوض السنباطي</t>
  </si>
  <si>
    <t>AlZahraa Mohamed Awad AbdElBaky Khedr</t>
  </si>
  <si>
    <t>الزهراء محمد عوض عبد الباقي خضر</t>
  </si>
  <si>
    <t>Sara Mohamed AbdElHamied AbdElAziz</t>
  </si>
  <si>
    <t>سارة محمد عبدالحميد عبدالعزيز</t>
  </si>
  <si>
    <t>Sherif Ashraf Mohamed Ibrahim</t>
  </si>
  <si>
    <t>شريف أشرف محمد إبراهيم</t>
  </si>
  <si>
    <t>Mohamed Samy Mohamed Abdullah Degady</t>
  </si>
  <si>
    <t>محمد سامي محمد عبدالله دغيدي</t>
  </si>
  <si>
    <t>Remon Farouk Abd ElMasseh Wahba</t>
  </si>
  <si>
    <t>ريمون فاروق عبدالمسيح وهبه</t>
  </si>
  <si>
    <t>Samar Helmy Saad Abo ElAeneen</t>
  </si>
  <si>
    <t>سمر حلمي سعد أبوالعينين</t>
  </si>
  <si>
    <t>QA Compliance Coordinator</t>
  </si>
  <si>
    <t>Mahmoud Hamdy Abd ElSatar Abd ElBaset</t>
  </si>
  <si>
    <t>محمود حمدي عبدالستار عبدالباسط</t>
  </si>
  <si>
    <t>Mohamed Sherif Abd ElMaqsoud Mahmoud</t>
  </si>
  <si>
    <t>محمد شريف عبد المقصود محمود</t>
  </si>
  <si>
    <t>Eman Ibrahim ElSayed ElSayed Bedewy</t>
  </si>
  <si>
    <t>ايمان ابراهيم السيد السيد بديوي</t>
  </si>
  <si>
    <t>Beshoy Adel Nader Gad</t>
  </si>
  <si>
    <t>بيشوي عادل نادر جاد</t>
  </si>
  <si>
    <t>Mohamed Ahmed Mahmoud Abd ElMageed</t>
  </si>
  <si>
    <t>محمد أحمد محمود عبدالمجيد</t>
  </si>
  <si>
    <t>Hassan Tarek Hamza Raslan</t>
  </si>
  <si>
    <t>حسن طارق حمزة رسلان</t>
  </si>
  <si>
    <t>Fatma Sobhy Awaad Awaad</t>
  </si>
  <si>
    <t>فاطمة صبحي عواد عواد</t>
  </si>
  <si>
    <t>Nehal Mohamed ElSaeed Ismail Hamad</t>
  </si>
  <si>
    <t>نهال محمد السعيد إسماعيل حماد</t>
  </si>
  <si>
    <t>Hamada ElBasha Mourad Ali Saeed</t>
  </si>
  <si>
    <t>حمادة الباشا مراد علي سعيد</t>
  </si>
  <si>
    <t>Mahmoud Mohamed ElBahnasawy ElSayed Salem</t>
  </si>
  <si>
    <t>محمود محمد البهنساوي السيد سالم</t>
  </si>
  <si>
    <t>Ramy Noshy Youssef Mekhael</t>
  </si>
  <si>
    <t>رامي نصحي يوسف ميخائيل</t>
  </si>
  <si>
    <t>Waleed Samir Kamel Abd ElHafez</t>
  </si>
  <si>
    <t>وليد سمير كامل عبدالحافظ</t>
  </si>
  <si>
    <t>Abd ElRahman Ibrahim Abdullah Goniem</t>
  </si>
  <si>
    <t>عبدالرحمن إبراهيم عبدالله غنيم</t>
  </si>
  <si>
    <t>Shrouk Sabry ElSayed Badr ElDeen</t>
  </si>
  <si>
    <t>شروق صبري السيد بدرالدين</t>
  </si>
  <si>
    <t>Nardeen Medhat Weliam Gerges</t>
  </si>
  <si>
    <t>ناردين مدحت وليم جرجس</t>
  </si>
  <si>
    <t>Sarah Ismail Mohamed Hussien</t>
  </si>
  <si>
    <t>سارة إسماعيل محمد حسين</t>
  </si>
  <si>
    <t>Seif Hossam Eldein Hussien Ibrahim</t>
  </si>
  <si>
    <t>سيف حسام الدين حسين إبراهيم</t>
  </si>
  <si>
    <t>Ahmed Mohamed Abd ElMoniem abd ElRehim</t>
  </si>
  <si>
    <t>احمد محمد عبدالمنعم عبدالرحيم</t>
  </si>
  <si>
    <t>Mazen Mohamed ElSayed Mohamed Mohamed AbdelHady</t>
  </si>
  <si>
    <t>مازن محمد السيد محمد محمد عبدالهادي</t>
  </si>
  <si>
    <t>Karim Gamal AbdElMonsef Ali Soliman</t>
  </si>
  <si>
    <t>كريم جمال عبدالمنصف علي سليمان</t>
  </si>
  <si>
    <t>Abdullah Salah Ibrahim Shehata</t>
  </si>
  <si>
    <t>عبدالله صلاح إبراهيم شحاته</t>
  </si>
  <si>
    <t>Rehab Magdy Abd ElMaqsoud Mohamed Abo Mousa</t>
  </si>
  <si>
    <t>رحاب مجدي عبدالمقصود محمد أبوموسى</t>
  </si>
  <si>
    <t>Moa'amen Mohamed AbdElMotaleb Ahmed</t>
  </si>
  <si>
    <t>مؤمن محمد عبدالمطلب احمد</t>
  </si>
  <si>
    <t>Shady Ramadan Mohamed Ahmed Ragab</t>
  </si>
  <si>
    <t>شادي رمضان محمد أحمد رجب</t>
  </si>
  <si>
    <t>Nevien Maher Soliman Attia</t>
  </si>
  <si>
    <t>نيفين ماهر سليمان عطيه</t>
  </si>
  <si>
    <t>Rana Nagy Ezzat ElFatairy</t>
  </si>
  <si>
    <t>رانا ناجي عزت الفطايري</t>
  </si>
  <si>
    <t>Nada Yasser Abd ElHady Noamaan ElNamoury</t>
  </si>
  <si>
    <t>ندى ياسر عبدالهادي نعمان النموري</t>
  </si>
  <si>
    <t>Howida Lattif Samy Abdel Masih</t>
  </si>
  <si>
    <t>هويدا لطيف سامي عبدالمسيح</t>
  </si>
  <si>
    <t>Marina Naeem Nageeb Kamel Salama</t>
  </si>
  <si>
    <t>مارينا نعيم نجيب كامل سلامة</t>
  </si>
  <si>
    <t>Tamer ElSayed AbdElAziz Khalil</t>
  </si>
  <si>
    <t>تامر السيد عبدالعزيز خليل</t>
  </si>
  <si>
    <t>Mariam Ayed Ayad Ishak</t>
  </si>
  <si>
    <t>مريم عايد عياد اسحق</t>
  </si>
  <si>
    <t>Ahmed AbdElGhafar Mohamed Ibrahim</t>
  </si>
  <si>
    <t>احمد عبدالغفار محمد إبراهيم</t>
  </si>
  <si>
    <t>Ahmed Yahia Reyad AbdElwahed</t>
  </si>
  <si>
    <t>احمد يحى رياض عبدالواحد</t>
  </si>
  <si>
    <t>Ahmed EzzElArab Gaber Ibrahim</t>
  </si>
  <si>
    <t>احمد عزالعرب جابر إبراهيم</t>
  </si>
  <si>
    <t>Al'aa Samir ElSayed Mohamed Tantawy</t>
  </si>
  <si>
    <t>آلاء سمير السيد محمد طنطاوي</t>
  </si>
  <si>
    <t>Mohamed Ali Mohamed Ali Shehata</t>
  </si>
  <si>
    <t>محمد علي محمد علي شحاته</t>
  </si>
  <si>
    <t>Maha Mohamed Ibrahim Ahmed</t>
  </si>
  <si>
    <t>مها محمد إبراهيم احمد</t>
  </si>
  <si>
    <t>Dina EmadEldin Mohamed Mahmoud</t>
  </si>
  <si>
    <t>دينا عمادالدين محمد محمود</t>
  </si>
  <si>
    <t>Merna Hany Nabil Abdo</t>
  </si>
  <si>
    <t>ميرنا هاني نبيل عبده</t>
  </si>
  <si>
    <t>Maryam Nageh Fareha Ayoub</t>
  </si>
  <si>
    <t>مريم ناجح فريحه أيوب</t>
  </si>
  <si>
    <t>Hamdy Mohamed Hassan Qetqat</t>
  </si>
  <si>
    <t>حمدي محمد حسن قطقاط</t>
  </si>
  <si>
    <t>Rana Mohamed Abdelwahab Mohamed Gandoor</t>
  </si>
  <si>
    <t>رنا محمد عبدالوهاب محمد غندور</t>
  </si>
  <si>
    <t>George Fayek Ghaly Ibrahim</t>
  </si>
  <si>
    <t>جورج فايق غالي إبراهيم</t>
  </si>
  <si>
    <t>Mohammed Abdullah Ragab AbdelHalim</t>
  </si>
  <si>
    <t>محمد عبد الله رجب عبد الحليم</t>
  </si>
  <si>
    <t>Sherif Aziz Michel Rizk Lofa</t>
  </si>
  <si>
    <t>شريف عزيز ميشيل رزق لوفا</t>
  </si>
  <si>
    <t>Hossam Khaled Farid Mahmoud</t>
  </si>
  <si>
    <t>حسام خالد فريد محمود</t>
  </si>
  <si>
    <t>Walid Salah Abdel Nabi Ahmed Mohamed Al-Abbasi</t>
  </si>
  <si>
    <t>وليد صلاح عبدالنبي احمد محمد العباسي</t>
  </si>
  <si>
    <t>Amr Alaa ElSayed Ramadan</t>
  </si>
  <si>
    <t>عمرو علاء السيد رمضان</t>
  </si>
  <si>
    <t>Mohamed Mohamed Ahmed Mostafa ElHaty</t>
  </si>
  <si>
    <t>محمد محمد أحمد مصطفى الحاطي</t>
  </si>
  <si>
    <t>Marwa Hamdy Abdelaziz Mohamed Mujahid</t>
  </si>
  <si>
    <t>مروة حمدي عبدالعزيز محمد مجاهد</t>
  </si>
  <si>
    <t>Anan Taha Abdelaziz Ali</t>
  </si>
  <si>
    <t>عنان طه عبدالعزيز علي</t>
  </si>
  <si>
    <t>Scientific Office Admin</t>
  </si>
  <si>
    <t>Ahmed Fathy Anwar Abdelfattah</t>
  </si>
  <si>
    <t>أحمد فتحي أنور عبدالفتاح</t>
  </si>
  <si>
    <t>Future Group Engineering Head</t>
  </si>
  <si>
    <t>Mahmoud Ibrahim Salama Mohamed Atia</t>
  </si>
  <si>
    <t>محمود ابراهيم سلامة محمد عطية</t>
  </si>
  <si>
    <t>Salma Ibrahim Hassan Osman Hassan</t>
  </si>
  <si>
    <t>سلمى ابراهيم حسن عثمان حسن</t>
  </si>
  <si>
    <t>Feby Wagih Naseem Hakeem</t>
  </si>
  <si>
    <t>فيبي وجيه نسيم حكيم</t>
  </si>
  <si>
    <t>Madona Ashraf Farag Zaki Farag</t>
  </si>
  <si>
    <t>مادونا أشرف فرج زكي فرج</t>
  </si>
  <si>
    <t>Ahmed Abdelkhalek Abdelfatah Abdelkhalek</t>
  </si>
  <si>
    <t>أحمد عبدالخالق عبدالفتاح عبدالخالق</t>
  </si>
  <si>
    <t>Youssef ElSebaey ElShahat Elattar</t>
  </si>
  <si>
    <t>يوسف السباعي الشحات العطار</t>
  </si>
  <si>
    <t>Eman AbdelAliem Hamza Shehabeldeen</t>
  </si>
  <si>
    <t>ايمان عبدالعليم حمزه شهاب الدين</t>
  </si>
  <si>
    <t>Mohamed AbelMoaty Ali AbdelMoaty</t>
  </si>
  <si>
    <t>محمد عبدالمعطي علي عبدالمعطي</t>
  </si>
  <si>
    <t>PV &amp; Medical Affairs Section Head</t>
  </si>
  <si>
    <t>Sara Samir Habashy Shehata Morsy</t>
  </si>
  <si>
    <t>سارة سمير حبشي شحاته مرسي</t>
  </si>
  <si>
    <t>Ahmed Yasser Saeed Mohamed Morsy Khalil</t>
  </si>
  <si>
    <t>أحمد ياسر سعيد محمد مرسي خليل</t>
  </si>
  <si>
    <t>Mohamed Ibrahim Saad Mahfouz</t>
  </si>
  <si>
    <t>محمد إبراهيم سعد محفوظ</t>
  </si>
  <si>
    <t>Mostafa Saleh Mahmoud Mohamed Khas</t>
  </si>
  <si>
    <t>مصطفى صالح محمود محمد خاص</t>
  </si>
  <si>
    <t>Dispensing Specialist</t>
  </si>
  <si>
    <t>Mohamed Farouk Ibrahim Rehan</t>
  </si>
  <si>
    <t>محمد فاروق ابراهيم ريحان</t>
  </si>
  <si>
    <t>JDE Support</t>
  </si>
  <si>
    <t>Sahar ElSayed Mosaad Abdelaal Abdelaal</t>
  </si>
  <si>
    <t>سحر السيد مسعد عبدالعال عبدالعال</t>
  </si>
  <si>
    <t>Mohamed Saad Ibrahim Meliha</t>
  </si>
  <si>
    <t>محمد سعد ابراهيم مليحه</t>
  </si>
  <si>
    <t>Hanan Amin ElSayed Mohamed</t>
  </si>
  <si>
    <t>حنان أمين السيد محمد</t>
  </si>
  <si>
    <t>Mohamed Alaa Kamal Mahmoud</t>
  </si>
  <si>
    <t>محمد علاء كمال محمود</t>
  </si>
  <si>
    <t>Hassan Ahmed Mohamed Mohamed Hassan Fayed</t>
  </si>
  <si>
    <t>حسن أحمد محمد محمد حسن فايد</t>
  </si>
  <si>
    <t>Amr Amr Shawky Abdelhafiz Mahmoud Gafar</t>
  </si>
  <si>
    <t>عمرو شوقي عبدالحفيظ محمود جعفر</t>
  </si>
  <si>
    <t>Mai Gamal Ali Sayed Mostafa</t>
  </si>
  <si>
    <t>مي جمال علي سيد مصطفى</t>
  </si>
  <si>
    <t>Ahmed Said Mahmoud ElAdawy Mohamed</t>
  </si>
  <si>
    <t>أحمد سعيد محمود العدوي محمد</t>
  </si>
  <si>
    <t>Mina Kameel Wadea Gerges</t>
  </si>
  <si>
    <t>مينا كميل وديع جرجس</t>
  </si>
  <si>
    <t>Abdelrahman Tharwat Abdelhameed Abdelhaleem Omar</t>
  </si>
  <si>
    <t>عبدالرحمن ثروت عبدالحميدعبدالحليم عمر</t>
  </si>
  <si>
    <t>Fatma Elsayed Aboelela Mohamed Elsayed</t>
  </si>
  <si>
    <t>فاطمة السيد ابو العلا محمد السيد</t>
  </si>
  <si>
    <t>Hassan Osama Hassan Ali ElSharkawy</t>
  </si>
  <si>
    <t>حسن أسامة حسن علي الشرقاوي</t>
  </si>
  <si>
    <t>Senior Cost Accountant</t>
  </si>
  <si>
    <t>Amr Hussien Khalaf Mohamed</t>
  </si>
  <si>
    <t>عمرو حسين خلف محمد</t>
  </si>
  <si>
    <t>Omar Mokhtar Abdellah Mousa</t>
  </si>
  <si>
    <t>عمر مختار عبداللاه موسى</t>
  </si>
  <si>
    <t>Ahmed Mohamed Soliman Mohamed ElNagar</t>
  </si>
  <si>
    <t>أحمد محمد سليمان محمد النجار</t>
  </si>
  <si>
    <t>Engy Ishak Fikry Salib Yakoub</t>
  </si>
  <si>
    <t>انجي اسحق فكري صليب يعقوب</t>
  </si>
  <si>
    <t>Ahmed Gomaa Mahmoud Abdelaziz AboZied</t>
  </si>
  <si>
    <t>احمد جمعة محمود عبدالعزيز ابوزيد</t>
  </si>
  <si>
    <t>Mahmoud Samir Abdeen Sakr</t>
  </si>
  <si>
    <t>محمود سمير عابدين صقر</t>
  </si>
  <si>
    <t>Ahmed Abdelwahab Ahmed Mahmoud</t>
  </si>
  <si>
    <t>أحمد عبدالوهاب أحمد محمود</t>
  </si>
  <si>
    <t>Treasury Supervisor</t>
  </si>
  <si>
    <t>Ahmed Abdelhalim Abdelhalim Hussien</t>
  </si>
  <si>
    <t>أحمد عبدالحليم عبدالحليم حسين</t>
  </si>
  <si>
    <t>Omar Fouad Mohamed Hassan ElDawaash</t>
  </si>
  <si>
    <t>عمر فؤاد محمد حسن الدواش</t>
  </si>
  <si>
    <t>Ahmed Yahia Mohamed Abdelhady Mashaly</t>
  </si>
  <si>
    <t>أحمد يحيى محمد عبدالهادي مشالي</t>
  </si>
  <si>
    <t>Methodology Deputy Manager</t>
  </si>
  <si>
    <t>Noura Fawzy Selim Mohamed Selim</t>
  </si>
  <si>
    <t>نورا فوزي سليم محمد سليم</t>
  </si>
  <si>
    <t>CRM Specialist</t>
  </si>
  <si>
    <t>Ahmed Fouad AbdRabou Ali</t>
  </si>
  <si>
    <t>أحمد فؤاد عبدربه علي</t>
  </si>
  <si>
    <t>Ahmed Ali Hussien Ahmed ElSayed</t>
  </si>
  <si>
    <t>أحمد علي حسين أحمد السيد</t>
  </si>
  <si>
    <t>General Works Technician</t>
  </si>
  <si>
    <t>Abdullah Osama ElSayed Abdelaziz</t>
  </si>
  <si>
    <t>عبدالله اسامة السيد عبدالعزيز</t>
  </si>
  <si>
    <t>Eslam Salama Ragab Gomaa Saeed</t>
  </si>
  <si>
    <t>اسلام سلامة رجب جمعه سعيد</t>
  </si>
  <si>
    <t>Mai Mohammad Gaber Elkoa</t>
  </si>
  <si>
    <t>مي محمد جابر الكوع</t>
  </si>
  <si>
    <t>Marwa Ahmed Hassan Mohamad Ali</t>
  </si>
  <si>
    <t>مروة احمد حسن محمد علي</t>
  </si>
  <si>
    <t>Tawfeek Reda Tawfeek Ballba</t>
  </si>
  <si>
    <t>توفيق رضا توفيق بلبع</t>
  </si>
  <si>
    <t>Ahmed Adry ElHussainy Ismail Negm</t>
  </si>
  <si>
    <t>احمد ادري الحسيني اسماعيل نجم</t>
  </si>
  <si>
    <t>Walid ElSayed Fawzy Fayed</t>
  </si>
  <si>
    <t>وليد السيد فوزي فايد</t>
  </si>
  <si>
    <t>A'laa Ahmed Salem Mostafa</t>
  </si>
  <si>
    <t>آلاء احمد سالم مصطفى</t>
  </si>
  <si>
    <t>Ahmed Samir Ahmed Hassanein Abdel Gawad</t>
  </si>
  <si>
    <t>احمد سمير احمد حسانين عبدالجواد</t>
  </si>
  <si>
    <t>Maher Abdullah Ahmed Elhussieny</t>
  </si>
  <si>
    <t>ماهر عبدالله احمد الحسيني</t>
  </si>
  <si>
    <t>Mohamed Mamdouh Abdelghany Mohamed Morsy</t>
  </si>
  <si>
    <t>محمد ممدوح عبدالغني محمد مرسي</t>
  </si>
  <si>
    <t>Ramy Ahmed Mesbah Sharabia</t>
  </si>
  <si>
    <t>رامي احمد مصباح شرابية</t>
  </si>
  <si>
    <t>Wafaa ElSadek ElShahaat ElSadek Sherif</t>
  </si>
  <si>
    <t>وفاء الصادق الشحات الصادق شريف</t>
  </si>
  <si>
    <t>Paula Wahby Helmy Ibrahim</t>
  </si>
  <si>
    <t>بولا وهبي حلمي ابراهيم</t>
  </si>
  <si>
    <t>Zainab Hany Ibrahim ElSayed Gad</t>
  </si>
  <si>
    <t>زينب هاني ابراهيم السيد جاد</t>
  </si>
  <si>
    <t>Abdelrahman Mohamed Ibrahim Mohamed ElShahaat</t>
  </si>
  <si>
    <t>عبدالرحمن محمد ابراهيم محمد الشحات</t>
  </si>
  <si>
    <t>Shehab Ahmed Badawy Abdelfattah Rostom</t>
  </si>
  <si>
    <t>شهاب احمد بدوي عبدالفتاح رستم</t>
  </si>
  <si>
    <t>Mahmoud Saeed Mohamed Mohamed Mahfouz</t>
  </si>
  <si>
    <t>محمود سعيد محمد محمد محفوظ</t>
  </si>
  <si>
    <t>Wael Ali Farag Kassem</t>
  </si>
  <si>
    <t>وائل علي فراج قاسم</t>
  </si>
  <si>
    <t>Marco Milad Fahmy Halim</t>
  </si>
  <si>
    <t>ماركو ميلاد فهمي حليم</t>
  </si>
  <si>
    <t>Salma ElSayed Mesbah ElSayed Mohamed</t>
  </si>
  <si>
    <t>سلمى السيد مصباح السيد محمد</t>
  </si>
  <si>
    <t>Mostafa Mahmoud Nagaty Aboelmaaty</t>
  </si>
  <si>
    <t>مصطفى محمود نجاتي أبوالمعاطي</t>
  </si>
  <si>
    <t>Ola Abdelhameed Abdullah ZikrAllah</t>
  </si>
  <si>
    <t>علا عبدالحميد عبدالله ذكرالله</t>
  </si>
  <si>
    <t>Talent Acquisition</t>
  </si>
  <si>
    <t>اختبار</t>
  </si>
  <si>
    <t>امتحان</t>
  </si>
  <si>
    <t>99@yahoo.com</t>
  </si>
  <si>
    <t>Donia Atef Mohamed Ibrahim</t>
  </si>
  <si>
    <t>دنيا عاطف محمد ابراهيم</t>
  </si>
  <si>
    <t>Casual Labor</t>
  </si>
  <si>
    <t>Mohamed Saber Sedky Mostafa</t>
  </si>
  <si>
    <t>محمد صابر صدقى مصطفى</t>
  </si>
  <si>
    <t>Maryam Raafat Al-Sayed Salem</t>
  </si>
  <si>
    <t>مريم رافت السيد سالم</t>
  </si>
  <si>
    <t>Ahmed Desouky Mohamed El-Qally</t>
  </si>
  <si>
    <t>احمد دسوقى محمد القللى</t>
  </si>
  <si>
    <t>Farha Ahmed Saleh Abdel Tawab</t>
  </si>
  <si>
    <t>فرحه احمد صالح عبد التواب</t>
  </si>
  <si>
    <t>Jihan Muwafi Abdel Moneim</t>
  </si>
  <si>
    <t>جيهان موافى عبد المنعم</t>
  </si>
  <si>
    <t>Manal Salameh Fathy El Sawy</t>
  </si>
  <si>
    <t>منال سلامه فتحى الصاوى</t>
  </si>
  <si>
    <t>Reem Ahmed Juma Awad Ahmed</t>
  </si>
  <si>
    <t>ريم احمد جمعه عوض احمد</t>
  </si>
  <si>
    <t>Ahmed Mustafa Mustafa Muhammad</t>
  </si>
  <si>
    <t>احمد مصطفى مصطفى محمد</t>
  </si>
  <si>
    <t>Ahmed Said Abdel Moneim Mohamed</t>
  </si>
  <si>
    <t>احمد سعيد عبد المنعم محمد</t>
  </si>
  <si>
    <t>Muhammad Ali Taha Al-Sayed</t>
  </si>
  <si>
    <t>محمد علي طه السيد</t>
  </si>
  <si>
    <t>Shaima Ahmed Desouki Abu Zeid</t>
  </si>
  <si>
    <t>شيماء احمد دسوقى ابوزيد</t>
  </si>
  <si>
    <t>Suhaila Saad Ahmed Abdel Jalil</t>
  </si>
  <si>
    <t>سهيله سعد احمد عبد الجليل</t>
  </si>
  <si>
    <t>Mohamed Ahmed Abdel Moneim</t>
  </si>
  <si>
    <t>محمد احمد عبد المنعم</t>
  </si>
  <si>
    <t>Mariam Amer Ismail</t>
  </si>
  <si>
    <t>مريم عامر اسماعيل</t>
  </si>
  <si>
    <t>Mahmoud Saeed Kamel Ahmed</t>
  </si>
  <si>
    <t>محمود سعيد كامل احمد</t>
  </si>
  <si>
    <t>Amani Alaa Mohamed Ahmed</t>
  </si>
  <si>
    <t>اماني علاء محمد احمد</t>
  </si>
  <si>
    <t>Aya Abdel Rahim Ali Muhammad</t>
  </si>
  <si>
    <t>ايه عبد الرحيم على محمد</t>
  </si>
  <si>
    <t>Abdel Rahman Ahmed Mohamed Ahmed</t>
  </si>
  <si>
    <t>عبد الرحمن احمد محمد احمد</t>
  </si>
  <si>
    <t>Ahmed Emad El Din Gamal</t>
  </si>
  <si>
    <t>احمد عماد الدين جمال</t>
  </si>
  <si>
    <t>Ali Sharif Ali Muhammad</t>
  </si>
  <si>
    <t>على شريف على محمد</t>
  </si>
  <si>
    <t>faith in muhammad ali</t>
  </si>
  <si>
    <t>ايمان على محمد على</t>
  </si>
  <si>
    <t>Nader Mohamed Fouad Mohamed</t>
  </si>
  <si>
    <t>نادر محمد فؤاد محمد</t>
  </si>
  <si>
    <t>Nahla Abdel Nasser Ahmed Salem</t>
  </si>
  <si>
    <t>نهله عبد الناصر احمد سالم</t>
  </si>
  <si>
    <t>Mahmoud El-Sayed Fathi Mohamed</t>
  </si>
  <si>
    <t>محمود السيد فتحى محمد</t>
  </si>
  <si>
    <t>Mai Muhammad Kamal Abdel-Wahhab Moussa</t>
  </si>
  <si>
    <t>مى محمد كمال عبد الوهاب موسى</t>
  </si>
  <si>
    <t>Hoda Ayman Hassan Ahmed</t>
  </si>
  <si>
    <t>هدى ايمن حسن احمد</t>
  </si>
  <si>
    <t>Eman Ahmed Abdel Aziz Abdel Halim</t>
  </si>
  <si>
    <t>ايمان احمد عبدالعزيز عبد الحليم</t>
  </si>
  <si>
    <t>Ali Yahya Zakaria Fouad Ibrahim</t>
  </si>
  <si>
    <t>عليه يحى زكريا فؤاد ابراهيم</t>
  </si>
  <si>
    <t>Suhaila Amin Ahmed Al-Amin</t>
  </si>
  <si>
    <t>سهيلة امين احمد الأمين</t>
  </si>
  <si>
    <t>Marwa Mahmoud Ibrahim Hassan</t>
  </si>
  <si>
    <t>مروة محمود ابراهيم حسن</t>
  </si>
  <si>
    <t>Desouky Adel Desouky Mohamed</t>
  </si>
  <si>
    <t>دسوقى عادل دسوقى محمد</t>
  </si>
  <si>
    <t>Ahmed Gamal Imam Abdel Aziz</t>
  </si>
  <si>
    <t>احمد جمال امام عبد العزيز</t>
  </si>
  <si>
    <t>Mohamed Gamal Zaki El-Kosry Sousse</t>
  </si>
  <si>
    <t>محمد جمال ذكي القصرى سوسه</t>
  </si>
  <si>
    <t>Abd al-Maqsud Saeed Muhammad Suleiman</t>
  </si>
  <si>
    <t>عبد المقصود سعيد محمد سليمان</t>
  </si>
  <si>
    <t>Hadeer Bahgat Lotfy Mohamed Hussein</t>
  </si>
  <si>
    <t>هدير بهجت لطفى محمد حسين</t>
  </si>
  <si>
    <t>Aya Saeed Rifai Rifai ElMasry</t>
  </si>
  <si>
    <t>ايه سعيد رفاعى رفاعى مصرى</t>
  </si>
  <si>
    <t>Christina Nadi Zachary Shalabi</t>
  </si>
  <si>
    <t>كرستينا نادي زخاري شلبي</t>
  </si>
  <si>
    <t>Shrouq Fouad Mostafa Abdel Hamid Salem</t>
  </si>
  <si>
    <t>شروق فؤاد مصطفى عبد الحميد سالم</t>
  </si>
  <si>
    <t>Mostafa Ahmed Salem Gad Salameh</t>
  </si>
  <si>
    <t>مصطفى احمد سالم جاد سلامه</t>
  </si>
  <si>
    <t>Taher Yahya Muhammad Ismail Hamouda</t>
  </si>
  <si>
    <t>طاهر يحيى محمد اسماعيل حموده</t>
  </si>
  <si>
    <t>Mostafa Nabil Abdel Fattah Abdel Dayem</t>
  </si>
  <si>
    <t>مصطفى نبيل عبد الفتاح عبد الدايم</t>
  </si>
  <si>
    <t>Mahmoud Jamal Mahmoud Jalal Shaalan</t>
  </si>
  <si>
    <t>محمود جمال محمود جلال شعلان</t>
  </si>
  <si>
    <t>Rawan Muhammad Ahmad Muhammad al-Banna</t>
  </si>
  <si>
    <t>روان محمد احمد محمد البنا</t>
  </si>
  <si>
    <t>Hajar Maher Ibrahim Omari</t>
  </si>
  <si>
    <t>هاجر ماهر ابراهيم عمري</t>
  </si>
  <si>
    <t>Raised By Name</t>
  </si>
  <si>
    <t>R5531415F</t>
  </si>
  <si>
    <t>Failured</t>
  </si>
  <si>
    <t>No. of day</t>
  </si>
  <si>
    <t>R5548001WO</t>
  </si>
  <si>
    <t>R5543500</t>
  </si>
  <si>
    <t>R554100QRN</t>
  </si>
  <si>
    <t>R554100RLS</t>
  </si>
  <si>
    <t>R55040003</t>
  </si>
  <si>
    <t>R5542001H</t>
  </si>
  <si>
    <t>R5543H006</t>
  </si>
  <si>
    <t>R553002N</t>
  </si>
  <si>
    <t>R5543500/FPIXX002</t>
  </si>
  <si>
    <t>R583002BOM</t>
  </si>
  <si>
    <t>R5843500</t>
  </si>
  <si>
    <t>R5509001</t>
  </si>
  <si>
    <t>R5509009</t>
  </si>
  <si>
    <t>R553111P</t>
  </si>
  <si>
    <t>R58410001</t>
  </si>
  <si>
    <t>R58410002</t>
  </si>
  <si>
    <t>R56UPHA</t>
  </si>
  <si>
    <t>R03B4201B</t>
  </si>
  <si>
    <t>R584108L</t>
  </si>
  <si>
    <t>R584108LR</t>
  </si>
  <si>
    <t>R584108LQ</t>
  </si>
  <si>
    <t>R584108LRQ</t>
  </si>
  <si>
    <t>R584108RL</t>
  </si>
  <si>
    <t>R584108RLR</t>
  </si>
  <si>
    <t>R584108RE</t>
  </si>
  <si>
    <t>R584108RER</t>
  </si>
  <si>
    <t>R584108LUS</t>
  </si>
  <si>
    <t>R580911S</t>
  </si>
  <si>
    <t>Created Login and CreateAccount pages for users</t>
  </si>
  <si>
    <t>Created Employees,Positions,Company,Product,Department screens</t>
  </si>
  <si>
    <t>HRinitialData</t>
  </si>
  <si>
    <t>Added tables to provide history, the ability to delete and edit</t>
  </si>
  <si>
    <t>Studyigng zenhr system to know more about its implementation</t>
  </si>
  <si>
    <t>studying more about the zenhr system and implementation and screens</t>
  </si>
  <si>
    <t>making a part of the employee screens and creating employee</t>
  </si>
  <si>
    <t>Finshing the employee screens with creations and assets</t>
  </si>
  <si>
    <t>web</t>
  </si>
  <si>
    <t>making part of documents and applying for vacations</t>
  </si>
  <si>
    <t>Backend system for task based system for finishers</t>
  </si>
  <si>
    <t>TasksBasedSystem</t>
  </si>
  <si>
    <t>some of the frontend for the task based system</t>
  </si>
  <si>
    <t>enhancing frontend, allowing platform for different users and roles, integration with access</t>
  </si>
  <si>
    <t>using scheduler and allowing tables to be nullable for admins and working with mods, comments backend</t>
  </si>
  <si>
    <t>intergration with employees excel and helping in the making of comments section</t>
  </si>
  <si>
    <t>sending email, enabling disabling users, half notifications, comments with mentions</t>
  </si>
  <si>
    <t>notifications, email sending completion, dropdownlists, signalr for notifications</t>
  </si>
  <si>
    <t>subrequest approval table and actions based on previous state, max size handling, fixing emails</t>
  </si>
  <si>
    <t>subrequest approval frontend and its differnet situations and soft deletion of everything</t>
  </si>
  <si>
    <t xml:space="preserve">notifications and email sending and being late notices, </t>
  </si>
  <si>
    <t>Fixing the edit request and subrequest buttons not working, setting up application to work in the remote server, uploading emails from excel</t>
  </si>
  <si>
    <t>testing and debugging code, fixing not showing elements, approval request notification and project summary, half publishing</t>
  </si>
  <si>
    <t>trying to publish and fix publish issue, uploading employee button</t>
  </si>
  <si>
    <t>finishing publish and trying to solve publish issues, design improvements</t>
  </si>
  <si>
    <t>Fixing the put and delete not working due to cors, fixing the scheduler, finalizing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</si>
</sst>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9" fontId="0" fillId="0" borderId="0" xfId="0" applyNumberFormat="1"/>
    <xf numFmtId="0" fontId="0" fillId="0" borderId="2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1" fillId="2" borderId="6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 applyProtection="1">
      <alignment horizontal="left" vertical="center" wrapText="1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left" vertical="center" readingOrder="1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164" fontId="0" fillId="0" borderId="2" xfId="0" applyNumberForma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8" borderId="0" xfId="0" applyFill="1" applyAlignment="1">
      <alignment horizontal="center" vertical="center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4" fontId="1" fillId="2" borderId="2" xfId="0" applyNumberFormat="1" applyFont="1" applyFill="1" applyBorder="1" applyAlignment="1" applyProtection="1">
      <alignment horizontal="left" vertical="center"/>
      <protection locked="0"/>
    </xf>
    <xf numFmtId="14" fontId="0" fillId="0" borderId="2" xfId="0" applyNumberFormat="1" applyBorder="1" applyAlignment="1" applyProtection="1">
      <alignment horizontal="left" vertical="center"/>
      <protection locked="0"/>
    </xf>
    <xf numFmtId="14" fontId="0" fillId="0" borderId="8" xfId="0" applyNumberForma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D7203"/>
      <color rgb="FFFF9900"/>
      <color rgb="FF33CC33"/>
      <color rgb="FF9966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D36898-4CB0-443E-A098-F49321BA8E10}" name="Table2" displayName="Table2" ref="A1:I2030" totalsRowShown="0" headerRowDxfId="21" dataDxfId="20">
  <autoFilter ref="A1:I2030" xr:uid="{E6D36898-4CB0-443E-A098-F49321BA8E10}">
    <filterColumn colId="4">
      <filters>
        <filter val="R&amp;D"/>
      </filters>
    </filterColumn>
    <filterColumn colId="6">
      <filters>
        <filter val="داخل الخدمة"/>
      </filters>
    </filterColumn>
  </autoFilter>
  <tableColumns count="9">
    <tableColumn id="1" xr3:uid="{77E67B81-EF98-4FEF-80DC-D5942480D33A}" name="Code" dataDxfId="19"/>
    <tableColumn id="2" xr3:uid="{E21BEE0E-63D5-4F53-9285-8AEAE8715735}" name="Name En" dataDxfId="18"/>
    <tableColumn id="3" xr3:uid="{73830EC4-6C93-4BD5-8F89-A2329EF7318A}" name="Name Ar" dataDxfId="17"/>
    <tableColumn id="4" xr3:uid="{26B999A6-0350-4412-AD42-95A8030E4C4A}" name="Position" dataDxfId="16"/>
    <tableColumn id="5" xr3:uid="{A9B28720-B4E2-409E-9014-EAB6DA4EA53D}" name="Department" dataDxfId="15"/>
    <tableColumn id="6" xr3:uid="{B09C6400-F030-43FB-8E89-9DAB5C02C2AB}" name="Resignation" dataDxfId="14"/>
    <tableColumn id="7" xr3:uid="{A0F5510A-9AC4-463B-8E8B-ED396D6E93D2}" name="Resignation Name" dataDxfId="13"/>
    <tableColumn id="8" xr3:uid="{C3C8953A-58BD-4120-AED3-D298FCD43C9E}" name="Email Address" dataDxfId="12"/>
    <tableColumn id="9" xr3:uid="{5FED2290-EC7E-48D8-9433-F1793DCC46BB}" name="Type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5714"/>
  <sheetViews>
    <sheetView tabSelected="1" zoomScale="80" zoomScaleNormal="80" workbookViewId="0">
      <pane ySplit="1" topLeftCell="A5" activePane="bottomLeft" state="frozen"/>
      <selection pane="bottomLeft" activeCell="C25" sqref="C25"/>
    </sheetView>
  </sheetViews>
  <sheetFormatPr defaultColWidth="64.44140625" defaultRowHeight="14.4" x14ac:dyDescent="0.3"/>
  <cols>
    <col min="1" max="1" width="13.33203125" style="19" customWidth="1"/>
    <col min="2" max="2" width="11.109375" style="19" hidden="1" customWidth="1"/>
    <col min="3" max="3" width="16.88671875" style="19" bestFit="1" customWidth="1"/>
    <col min="4" max="4" width="127.33203125" style="19" customWidth="1"/>
    <col min="5" max="5" width="7.109375" style="19" hidden="1" customWidth="1"/>
    <col min="6" max="6" width="17.88671875" style="19" customWidth="1"/>
    <col min="7" max="7" width="23.88671875" style="19" bestFit="1" customWidth="1"/>
    <col min="8" max="8" width="21.6640625" style="19" hidden="1" customWidth="1"/>
    <col min="9" max="9" width="16.109375" style="19" bestFit="1" customWidth="1"/>
    <col min="10" max="10" width="20.109375" style="26" bestFit="1" customWidth="1"/>
    <col min="11" max="11" width="45.109375" style="21" bestFit="1" customWidth="1"/>
    <col min="12" max="12" width="21.33203125" style="14" bestFit="1" customWidth="1"/>
    <col min="13" max="13" width="14.6640625" style="19" hidden="1" customWidth="1"/>
    <col min="14" max="14" width="16.33203125" style="46" customWidth="1"/>
    <col min="15" max="15" width="16.44140625" style="46" customWidth="1"/>
    <col min="16" max="16" width="15.44140625" style="19" customWidth="1"/>
    <col min="17" max="17" width="14.88671875" style="19" customWidth="1"/>
    <col min="18" max="18" width="17.6640625" style="19" customWidth="1"/>
    <col min="19" max="16384" width="64.44140625" style="25"/>
  </cols>
  <sheetData>
    <row r="1" spans="1:18" x14ac:dyDescent="0.3">
      <c r="A1" s="22" t="s">
        <v>31</v>
      </c>
      <c r="B1" s="22" t="s">
        <v>32</v>
      </c>
      <c r="C1" s="22" t="s">
        <v>24</v>
      </c>
      <c r="D1" s="22" t="s">
        <v>0</v>
      </c>
      <c r="E1" s="22" t="s">
        <v>23</v>
      </c>
      <c r="F1" s="22" t="s">
        <v>18</v>
      </c>
      <c r="G1" s="22" t="s">
        <v>53</v>
      </c>
      <c r="H1" s="22" t="s">
        <v>17</v>
      </c>
      <c r="I1" s="24" t="s">
        <v>5</v>
      </c>
      <c r="J1" s="39" t="s">
        <v>71</v>
      </c>
      <c r="K1" s="40" t="s">
        <v>4560</v>
      </c>
      <c r="L1" s="20" t="s">
        <v>19</v>
      </c>
      <c r="M1" s="22" t="s">
        <v>11</v>
      </c>
      <c r="N1" s="45" t="s">
        <v>1</v>
      </c>
      <c r="O1" s="45" t="s">
        <v>2</v>
      </c>
      <c r="P1" s="23" t="s">
        <v>4563</v>
      </c>
      <c r="Q1" s="22" t="s">
        <v>3</v>
      </c>
      <c r="R1" s="22" t="s">
        <v>4</v>
      </c>
    </row>
    <row r="2" spans="1:18" x14ac:dyDescent="0.3">
      <c r="A2" s="19">
        <f t="shared" ref="A2:A65" si="0">IF(C2&lt;&gt;"",ROW(A1),"")</f>
        <v>1</v>
      </c>
      <c r="C2" s="19" t="s">
        <v>27</v>
      </c>
      <c r="D2" s="19" t="s">
        <v>4592</v>
      </c>
      <c r="F2" s="19" t="s">
        <v>37</v>
      </c>
      <c r="G2" s="19" t="s">
        <v>4594</v>
      </c>
      <c r="I2" s="19" t="s">
        <v>8</v>
      </c>
      <c r="J2" s="26">
        <v>9</v>
      </c>
      <c r="K2" s="21" t="str">
        <f>IF(J2&lt;&gt;"",VLOOKUP(J2,HeadCount!A:I,2,0),"")</f>
        <v>Nassereldin Mohamed Salaheldin Nasreldin</v>
      </c>
      <c r="L2" s="21" t="str">
        <f>IF(J2&lt;&gt;"",VLOOKUP(J2,HeadCount!A:I,5,0),"")</f>
        <v>IT</v>
      </c>
      <c r="N2" s="46">
        <v>45860</v>
      </c>
      <c r="O2" s="46">
        <v>45860</v>
      </c>
      <c r="P2" s="19">
        <f t="shared" ref="P2:P9" si="1">IF(N2="","",(O2-N2)+1)</f>
        <v>1</v>
      </c>
      <c r="Q2" s="19" t="s">
        <v>16</v>
      </c>
    </row>
    <row r="3" spans="1:18" x14ac:dyDescent="0.3">
      <c r="A3" s="19">
        <f t="shared" si="0"/>
        <v>2</v>
      </c>
      <c r="C3" s="19" t="s">
        <v>27</v>
      </c>
      <c r="D3" s="19" t="s">
        <v>4593</v>
      </c>
      <c r="F3" s="19" t="s">
        <v>37</v>
      </c>
      <c r="G3" s="19" t="s">
        <v>4594</v>
      </c>
      <c r="I3" s="19" t="s">
        <v>8</v>
      </c>
      <c r="J3" s="26">
        <v>9</v>
      </c>
      <c r="K3" s="21" t="str">
        <f>IF(J3&lt;&gt;"",VLOOKUP(J3,HeadCount!A:I,2,0),"")</f>
        <v>Nassereldin Mohamed Salaheldin Nasreldin</v>
      </c>
      <c r="L3" s="21" t="str">
        <f>IF(J3&lt;&gt;"",VLOOKUP(J3,HeadCount!A:I,5,0),"")</f>
        <v>IT</v>
      </c>
      <c r="N3" s="46">
        <v>45860</v>
      </c>
      <c r="O3" s="46">
        <v>45860</v>
      </c>
      <c r="P3" s="19">
        <f t="shared" si="1"/>
        <v>1</v>
      </c>
      <c r="Q3" s="19" t="s">
        <v>16</v>
      </c>
    </row>
    <row r="4" spans="1:18" x14ac:dyDescent="0.3">
      <c r="A4" s="19">
        <f t="shared" si="0"/>
        <v>3</v>
      </c>
      <c r="C4" s="19" t="s">
        <v>27</v>
      </c>
      <c r="D4" s="19" t="s">
        <v>4595</v>
      </c>
      <c r="F4" s="19" t="s">
        <v>37</v>
      </c>
      <c r="G4" s="19" t="s">
        <v>4594</v>
      </c>
      <c r="I4" s="19" t="s">
        <v>8</v>
      </c>
      <c r="J4" s="26">
        <v>9</v>
      </c>
      <c r="K4" s="21" t="str">
        <f>IF(J4&lt;&gt;"",VLOOKUP(J4,HeadCount!A:I,2,0),"")</f>
        <v>Nassereldin Mohamed Salaheldin Nasreldin</v>
      </c>
      <c r="L4" s="21" t="str">
        <f>IF(J4&lt;&gt;"",VLOOKUP(J4,HeadCount!A:I,5,0),"")</f>
        <v>IT</v>
      </c>
      <c r="N4" s="46">
        <v>45861</v>
      </c>
      <c r="O4" s="46">
        <v>45861</v>
      </c>
      <c r="P4" s="19">
        <f t="shared" si="1"/>
        <v>1</v>
      </c>
      <c r="Q4" s="19" t="s">
        <v>16</v>
      </c>
    </row>
    <row r="5" spans="1:18" x14ac:dyDescent="0.3">
      <c r="A5" s="19">
        <f t="shared" si="0"/>
        <v>4</v>
      </c>
      <c r="C5" s="19" t="s">
        <v>25</v>
      </c>
      <c r="D5" s="19" t="s">
        <v>4596</v>
      </c>
      <c r="F5" s="19" t="s">
        <v>37</v>
      </c>
      <c r="G5" s="19" t="s">
        <v>4594</v>
      </c>
      <c r="I5" s="19" t="s">
        <v>8</v>
      </c>
      <c r="J5" s="26">
        <v>9</v>
      </c>
      <c r="K5" s="21" t="str">
        <f>IF(J5&lt;&gt;"",VLOOKUP(J5,HeadCount!A:I,2,0),"")</f>
        <v>Nassereldin Mohamed Salaheldin Nasreldin</v>
      </c>
      <c r="L5" s="21" t="str">
        <f>IF(J5&lt;&gt;"",VLOOKUP(J5,HeadCount!A:I,5,0),"")</f>
        <v>IT</v>
      </c>
      <c r="N5" s="46">
        <v>45865</v>
      </c>
      <c r="O5" s="46">
        <v>45865</v>
      </c>
      <c r="P5" s="19">
        <f t="shared" si="1"/>
        <v>1</v>
      </c>
      <c r="Q5" s="19" t="s">
        <v>14</v>
      </c>
    </row>
    <row r="6" spans="1:18" x14ac:dyDescent="0.3">
      <c r="A6" s="19">
        <f t="shared" si="0"/>
        <v>5</v>
      </c>
      <c r="C6" s="19" t="s">
        <v>25</v>
      </c>
      <c r="D6" s="19" t="s">
        <v>4597</v>
      </c>
      <c r="F6" s="19" t="s">
        <v>37</v>
      </c>
      <c r="G6" s="19" t="s">
        <v>4594</v>
      </c>
      <c r="I6" s="19" t="s">
        <v>8</v>
      </c>
      <c r="J6" s="26">
        <v>9</v>
      </c>
      <c r="K6" s="21" t="str">
        <f>IF(J6&lt;&gt;"",VLOOKUP(J6,HeadCount!A:I,2,0),"")</f>
        <v>Nassereldin Mohamed Salaheldin Nasreldin</v>
      </c>
      <c r="L6" s="21" t="str">
        <f>IF(J6&lt;&gt;"",VLOOKUP(J6,HeadCount!A:I,5,0),"")</f>
        <v>IT</v>
      </c>
      <c r="N6" s="46">
        <v>45866</v>
      </c>
      <c r="O6" s="46">
        <v>45866</v>
      </c>
      <c r="P6" s="19">
        <f t="shared" si="1"/>
        <v>1</v>
      </c>
      <c r="Q6" s="19" t="s">
        <v>16</v>
      </c>
    </row>
    <row r="7" spans="1:18" x14ac:dyDescent="0.3">
      <c r="A7" s="19">
        <f t="shared" si="0"/>
        <v>6</v>
      </c>
      <c r="C7" s="19" t="s">
        <v>27</v>
      </c>
      <c r="D7" s="19" t="s">
        <v>4598</v>
      </c>
      <c r="F7" s="19" t="s">
        <v>37</v>
      </c>
      <c r="G7" s="19" t="s">
        <v>4594</v>
      </c>
      <c r="I7" s="19" t="s">
        <v>8</v>
      </c>
      <c r="J7" s="26">
        <v>9</v>
      </c>
      <c r="K7" s="21" t="str">
        <f>IF(J7&lt;&gt;"",VLOOKUP(J7,HeadCount!A:I,2,0),"")</f>
        <v>Nassereldin Mohamed Salaheldin Nasreldin</v>
      </c>
      <c r="L7" s="21" t="str">
        <f>IF(J7&lt;&gt;"",VLOOKUP(J7,HeadCount!A:I,5,0),"")</f>
        <v>IT</v>
      </c>
      <c r="N7" s="46">
        <v>45867</v>
      </c>
      <c r="O7" s="46">
        <v>45867</v>
      </c>
      <c r="P7" s="19">
        <f t="shared" si="1"/>
        <v>1</v>
      </c>
      <c r="Q7" s="19" t="s">
        <v>14</v>
      </c>
    </row>
    <row r="8" spans="1:18" x14ac:dyDescent="0.3">
      <c r="A8" s="19">
        <f t="shared" si="0"/>
        <v>7</v>
      </c>
      <c r="C8" s="19" t="s">
        <v>27</v>
      </c>
      <c r="D8" s="19" t="s">
        <v>4599</v>
      </c>
      <c r="F8" s="19" t="s">
        <v>4600</v>
      </c>
      <c r="G8" s="19" t="s">
        <v>4594</v>
      </c>
      <c r="I8" s="19" t="s">
        <v>8</v>
      </c>
      <c r="J8" s="26">
        <v>9</v>
      </c>
      <c r="K8" s="21" t="str">
        <f>IF(J8&lt;&gt;"",VLOOKUP(J8,HeadCount!A:I,2,0),"")</f>
        <v>Nassereldin Mohamed Salaheldin Nasreldin</v>
      </c>
      <c r="L8" s="21" t="str">
        <f>IF(J8&lt;&gt;"",VLOOKUP(J8,HeadCount!A:I,5,0),"")</f>
        <v>IT</v>
      </c>
      <c r="N8" s="46">
        <v>45868</v>
      </c>
      <c r="O8" s="46">
        <v>45868</v>
      </c>
      <c r="P8" s="19">
        <f t="shared" si="1"/>
        <v>1</v>
      </c>
      <c r="Q8" s="19" t="s">
        <v>16</v>
      </c>
    </row>
    <row r="9" spans="1:18" x14ac:dyDescent="0.3">
      <c r="A9" s="19">
        <f t="shared" si="0"/>
        <v>8</v>
      </c>
      <c r="C9" s="19" t="s">
        <v>27</v>
      </c>
      <c r="D9" s="19" t="s">
        <v>4601</v>
      </c>
      <c r="F9" s="19" t="s">
        <v>4600</v>
      </c>
      <c r="G9" s="19" t="s">
        <v>4594</v>
      </c>
      <c r="I9" s="19" t="s">
        <v>8</v>
      </c>
      <c r="J9" s="26">
        <v>9</v>
      </c>
      <c r="K9" s="21" t="str">
        <f>IF(J9&lt;&gt;"",VLOOKUP(J9,HeadCount!A:I,2,0),"")</f>
        <v>Nassereldin Mohamed Salaheldin Nasreldin</v>
      </c>
      <c r="L9" s="21" t="str">
        <f>IF(J9&lt;&gt;"",VLOOKUP(J9,HeadCount!A:I,5,0),"")</f>
        <v>IT</v>
      </c>
      <c r="N9" s="46">
        <v>45869</v>
      </c>
      <c r="O9" s="46">
        <v>45869</v>
      </c>
      <c r="P9" s="19">
        <f t="shared" si="1"/>
        <v>1</v>
      </c>
      <c r="Q9" s="19" t="s">
        <v>14</v>
      </c>
    </row>
    <row r="10" spans="1:18" x14ac:dyDescent="0.3">
      <c r="A10" s="19">
        <f t="shared" si="0"/>
        <v>9</v>
      </c>
      <c r="C10" s="19" t="s">
        <v>27</v>
      </c>
      <c r="D10" s="19" t="s">
        <v>4602</v>
      </c>
      <c r="F10" s="19" t="s">
        <v>37</v>
      </c>
      <c r="G10" s="19" t="s">
        <v>4603</v>
      </c>
      <c r="I10" s="19" t="s">
        <v>8</v>
      </c>
      <c r="J10" s="26">
        <v>245</v>
      </c>
      <c r="K10" s="21" t="str">
        <f>IF(J10&lt;&gt;"",VLOOKUP(J10,HeadCount!A:I,2,0),"")</f>
        <v>Mohmed Khairy Elgendy Mohamed AboAmmer</v>
      </c>
      <c r="L10" s="21" t="str">
        <f>IF(J10&lt;&gt;"",VLOOKUP(J10,HeadCount!A:I,5,0),"")</f>
        <v>R&amp;D</v>
      </c>
      <c r="N10" s="46">
        <v>45872</v>
      </c>
      <c r="O10" s="46">
        <v>45873</v>
      </c>
      <c r="P10" s="19">
        <f t="shared" ref="P10:P66" si="2">IF(N10="","",(O10-N10)+1)</f>
        <v>2</v>
      </c>
      <c r="Q10" s="19" t="s">
        <v>16</v>
      </c>
    </row>
    <row r="11" spans="1:18" x14ac:dyDescent="0.3">
      <c r="A11" s="19">
        <f t="shared" si="0"/>
        <v>10</v>
      </c>
      <c r="C11" s="19" t="s">
        <v>27</v>
      </c>
      <c r="D11" s="19" t="s">
        <v>4604</v>
      </c>
      <c r="F11" s="19" t="s">
        <v>4600</v>
      </c>
      <c r="G11" s="19" t="s">
        <v>4603</v>
      </c>
      <c r="I11" s="19" t="s">
        <v>8</v>
      </c>
      <c r="J11" s="26">
        <v>245</v>
      </c>
      <c r="K11" s="21" t="str">
        <f>IF(J11&lt;&gt;"",VLOOKUP(J11,HeadCount!A:I,2,0),"")</f>
        <v>Mohmed Khairy Elgendy Mohamed AboAmmer</v>
      </c>
      <c r="L11" s="21" t="str">
        <f>IF(J11&lt;&gt;"",VLOOKUP(J11,HeadCount!A:I,5,0),"")</f>
        <v>R&amp;D</v>
      </c>
      <c r="N11" s="46">
        <v>45873</v>
      </c>
      <c r="O11" s="46">
        <v>45874</v>
      </c>
      <c r="P11" s="19">
        <f t="shared" si="2"/>
        <v>2</v>
      </c>
      <c r="Q11" s="19" t="s">
        <v>16</v>
      </c>
    </row>
    <row r="12" spans="1:18" x14ac:dyDescent="0.3">
      <c r="A12" s="19">
        <f t="shared" si="0"/>
        <v>11</v>
      </c>
      <c r="C12" s="19" t="s">
        <v>27</v>
      </c>
      <c r="D12" s="19" t="s">
        <v>4605</v>
      </c>
      <c r="F12" s="19" t="s">
        <v>4600</v>
      </c>
      <c r="G12" s="19" t="s">
        <v>4603</v>
      </c>
      <c r="I12" s="19" t="s">
        <v>8</v>
      </c>
      <c r="J12" s="26">
        <v>245</v>
      </c>
      <c r="K12" s="21" t="str">
        <f>IF(J12&lt;&gt;"",VLOOKUP(J12,HeadCount!A:I,2,0),"")</f>
        <v>Mohmed Khairy Elgendy Mohamed AboAmmer</v>
      </c>
      <c r="L12" s="21" t="str">
        <f>IF(J12&lt;&gt;"",VLOOKUP(J12,HeadCount!A:I,5,0),"")</f>
        <v>R&amp;D</v>
      </c>
      <c r="N12" s="46">
        <v>45874</v>
      </c>
      <c r="O12" s="46">
        <v>45874</v>
      </c>
      <c r="P12" s="19">
        <f t="shared" si="2"/>
        <v>1</v>
      </c>
      <c r="Q12" s="19" t="s">
        <v>16</v>
      </c>
    </row>
    <row r="13" spans="1:18" x14ac:dyDescent="0.3">
      <c r="A13" s="19">
        <f t="shared" si="0"/>
        <v>12</v>
      </c>
      <c r="C13" s="19" t="s">
        <v>27</v>
      </c>
      <c r="D13" s="19" t="s">
        <v>4606</v>
      </c>
      <c r="F13" s="19" t="s">
        <v>37</v>
      </c>
      <c r="G13" s="19" t="s">
        <v>4603</v>
      </c>
      <c r="I13" s="19" t="s">
        <v>8</v>
      </c>
      <c r="J13" s="26">
        <v>245</v>
      </c>
      <c r="K13" s="21" t="str">
        <f>IF(J13&lt;&gt;"",VLOOKUP(J13,HeadCount!A:I,2,0),"")</f>
        <v>Mohmed Khairy Elgendy Mohamed AboAmmer</v>
      </c>
      <c r="L13" s="21" t="str">
        <f>IF(J13&lt;&gt;"",VLOOKUP(J13,HeadCount!A:I,5,0),"")</f>
        <v>R&amp;D</v>
      </c>
      <c r="N13" s="46">
        <v>45875</v>
      </c>
      <c r="O13" s="46">
        <v>45875</v>
      </c>
      <c r="P13" s="19">
        <f t="shared" si="2"/>
        <v>1</v>
      </c>
      <c r="Q13" s="19" t="s">
        <v>16</v>
      </c>
    </row>
    <row r="14" spans="1:18" x14ac:dyDescent="0.3">
      <c r="A14" s="19">
        <f t="shared" si="0"/>
        <v>13</v>
      </c>
      <c r="C14" s="19" t="s">
        <v>27</v>
      </c>
      <c r="D14" s="19" t="s">
        <v>4607</v>
      </c>
      <c r="F14" s="19" t="s">
        <v>4600</v>
      </c>
      <c r="G14" s="19" t="s">
        <v>4603</v>
      </c>
      <c r="I14" s="19" t="s">
        <v>8</v>
      </c>
      <c r="J14" s="26">
        <v>245</v>
      </c>
      <c r="K14" s="21" t="str">
        <f>IF(J14&lt;&gt;"",VLOOKUP(J14,HeadCount!A:I,2,0),"")</f>
        <v>Mohmed Khairy Elgendy Mohamed AboAmmer</v>
      </c>
      <c r="L14" s="21" t="str">
        <f>IF(J14&lt;&gt;"",VLOOKUP(J14,HeadCount!A:I,5,0),"")</f>
        <v>R&amp;D</v>
      </c>
      <c r="N14" s="46">
        <v>45876</v>
      </c>
      <c r="O14" s="46">
        <v>45876</v>
      </c>
      <c r="P14" s="19">
        <f t="shared" si="2"/>
        <v>1</v>
      </c>
      <c r="Q14" s="19" t="s">
        <v>16</v>
      </c>
    </row>
    <row r="15" spans="1:18" x14ac:dyDescent="0.3">
      <c r="A15" s="19">
        <f t="shared" si="0"/>
        <v>14</v>
      </c>
      <c r="C15" s="19" t="s">
        <v>27</v>
      </c>
      <c r="D15" s="19" t="s">
        <v>4608</v>
      </c>
      <c r="F15" s="19" t="s">
        <v>4600</v>
      </c>
      <c r="G15" s="19" t="s">
        <v>4603</v>
      </c>
      <c r="I15" s="19" t="s">
        <v>8</v>
      </c>
      <c r="J15" s="26">
        <v>245</v>
      </c>
      <c r="K15" s="21" t="str">
        <f>IF(J15&lt;&gt;"",VLOOKUP(J15,HeadCount!A:I,2,0),"")</f>
        <v>Mohmed Khairy Elgendy Mohamed AboAmmer</v>
      </c>
      <c r="L15" s="21" t="str">
        <f>IF(J15&lt;&gt;"",VLOOKUP(J15,HeadCount!A:I,5,0),"")</f>
        <v>R&amp;D</v>
      </c>
      <c r="N15" s="46">
        <v>45879</v>
      </c>
      <c r="O15" s="46">
        <v>45879</v>
      </c>
      <c r="P15" s="19">
        <f t="shared" si="2"/>
        <v>1</v>
      </c>
      <c r="Q15" s="19" t="s">
        <v>16</v>
      </c>
    </row>
    <row r="16" spans="1:18" x14ac:dyDescent="0.3">
      <c r="A16" s="19">
        <f t="shared" si="0"/>
        <v>15</v>
      </c>
      <c r="C16" s="19" t="s">
        <v>27</v>
      </c>
      <c r="D16" s="19" t="s">
        <v>4609</v>
      </c>
      <c r="F16" s="19" t="s">
        <v>4600</v>
      </c>
      <c r="G16" s="19" t="s">
        <v>4603</v>
      </c>
      <c r="I16" s="19" t="s">
        <v>8</v>
      </c>
      <c r="J16" s="26">
        <v>245</v>
      </c>
      <c r="K16" s="21" t="str">
        <f>IF(J16&lt;&gt;"",VLOOKUP(J16,HeadCount!A:I,2,0),"")</f>
        <v>Mohmed Khairy Elgendy Mohamed AboAmmer</v>
      </c>
      <c r="L16" s="21" t="str">
        <f>IF(J16&lt;&gt;"",VLOOKUP(J16,HeadCount!A:I,5,0),"")</f>
        <v>R&amp;D</v>
      </c>
      <c r="N16" s="46">
        <v>45880</v>
      </c>
      <c r="O16" s="46">
        <v>45880</v>
      </c>
      <c r="P16" s="19">
        <f t="shared" si="2"/>
        <v>1</v>
      </c>
      <c r="Q16" s="19" t="s">
        <v>16</v>
      </c>
    </row>
    <row r="17" spans="1:17" x14ac:dyDescent="0.3">
      <c r="A17" s="19">
        <f t="shared" si="0"/>
        <v>16</v>
      </c>
      <c r="C17" s="19" t="s">
        <v>27</v>
      </c>
      <c r="D17" s="19" t="s">
        <v>4610</v>
      </c>
      <c r="F17" s="19" t="s">
        <v>37</v>
      </c>
      <c r="G17" s="19" t="s">
        <v>4603</v>
      </c>
      <c r="I17" s="19" t="s">
        <v>8</v>
      </c>
      <c r="J17" s="26">
        <v>245</v>
      </c>
      <c r="K17" s="21" t="str">
        <f>IF(J17&lt;&gt;"",VLOOKUP(J17,HeadCount!A:I,2,0),"")</f>
        <v>Mohmed Khairy Elgendy Mohamed AboAmmer</v>
      </c>
      <c r="L17" s="21" t="str">
        <f>IF(J17&lt;&gt;"",VLOOKUP(J17,HeadCount!A:I,5,0),"")</f>
        <v>R&amp;D</v>
      </c>
      <c r="N17" s="46">
        <v>45881</v>
      </c>
      <c r="O17" s="46">
        <v>45881</v>
      </c>
      <c r="P17" s="19">
        <f t="shared" si="2"/>
        <v>1</v>
      </c>
      <c r="Q17" s="19" t="s">
        <v>16</v>
      </c>
    </row>
    <row r="18" spans="1:17" x14ac:dyDescent="0.3">
      <c r="A18" s="19">
        <f t="shared" si="0"/>
        <v>17</v>
      </c>
      <c r="C18" s="19" t="s">
        <v>27</v>
      </c>
      <c r="D18" s="19" t="s">
        <v>4611</v>
      </c>
      <c r="F18" s="19" t="s">
        <v>4600</v>
      </c>
      <c r="G18" s="19" t="s">
        <v>4603</v>
      </c>
      <c r="I18" s="19" t="s">
        <v>8</v>
      </c>
      <c r="J18" s="26">
        <v>245</v>
      </c>
      <c r="K18" s="21" t="str">
        <f>IF(J18&lt;&gt;"",VLOOKUP(J18,HeadCount!A:I,2,0),"")</f>
        <v>Mohmed Khairy Elgendy Mohamed AboAmmer</v>
      </c>
      <c r="L18" s="21" t="str">
        <f>L20</f>
        <v>R&amp;D</v>
      </c>
      <c r="N18" s="46">
        <v>45882</v>
      </c>
      <c r="O18" s="46">
        <v>45882</v>
      </c>
      <c r="P18" s="19">
        <f t="shared" si="2"/>
        <v>1</v>
      </c>
      <c r="Q18" s="19" t="s">
        <v>16</v>
      </c>
    </row>
    <row r="19" spans="1:17" x14ac:dyDescent="0.3">
      <c r="A19" s="19">
        <f>IF(C19&lt;&gt;"",ROW(A18),"")</f>
        <v>18</v>
      </c>
      <c r="C19" s="19" t="s">
        <v>27</v>
      </c>
      <c r="D19" s="19" t="s">
        <v>4612</v>
      </c>
      <c r="F19" s="19" t="s">
        <v>4600</v>
      </c>
      <c r="G19" s="19" t="s">
        <v>4603</v>
      </c>
      <c r="I19" s="19" t="s">
        <v>8</v>
      </c>
      <c r="J19" s="26">
        <v>245</v>
      </c>
      <c r="K19" s="21" t="str">
        <f>IF(J19&lt;&gt;"",VLOOKUP(J19,HeadCount!A:I,2,0),"")</f>
        <v>Mohmed Khairy Elgendy Mohamed AboAmmer</v>
      </c>
      <c r="L19" s="14" t="str">
        <f>IF(J19&lt;&gt;"",VLOOKUP(J19,HeadCount!A:I,5,0),"")</f>
        <v>R&amp;D</v>
      </c>
      <c r="N19" s="46">
        <v>45883</v>
      </c>
      <c r="O19" s="46">
        <v>45883</v>
      </c>
      <c r="P19" s="19">
        <f t="shared" si="2"/>
        <v>1</v>
      </c>
      <c r="Q19" s="19" t="s">
        <v>16</v>
      </c>
    </row>
    <row r="20" spans="1:17" x14ac:dyDescent="0.3">
      <c r="A20" s="19">
        <f>IF(C20&lt;&gt;"",ROW(A19),"")</f>
        <v>19</v>
      </c>
      <c r="C20" s="19" t="s">
        <v>27</v>
      </c>
      <c r="D20" s="19" t="s">
        <v>4613</v>
      </c>
      <c r="F20" s="19" t="s">
        <v>4600</v>
      </c>
      <c r="G20" s="19" t="s">
        <v>4603</v>
      </c>
      <c r="I20" s="19" t="s">
        <v>8</v>
      </c>
      <c r="J20" s="26">
        <v>245</v>
      </c>
      <c r="K20" s="21" t="str">
        <f>IF(J20&lt;&gt;"",VLOOKUP(J20,HeadCount!A:I,2,0),"")</f>
        <v>Mohmed Khairy Elgendy Mohamed AboAmmer</v>
      </c>
      <c r="L20" s="21" t="str">
        <f>IF(J20&lt;&gt;"",VLOOKUP(J20,HeadCount!A:I,5,0),"")</f>
        <v>R&amp;D</v>
      </c>
      <c r="N20" s="46">
        <v>45886</v>
      </c>
      <c r="O20" s="46">
        <v>45886</v>
      </c>
      <c r="P20" s="19">
        <f>IF(N20="","",(O20-N20)+1)</f>
        <v>1</v>
      </c>
      <c r="Q20" s="19" t="s">
        <v>16</v>
      </c>
    </row>
    <row r="21" spans="1:17" x14ac:dyDescent="0.3">
      <c r="A21" s="19">
        <f t="shared" si="0"/>
        <v>20</v>
      </c>
      <c r="C21" s="19" t="s">
        <v>27</v>
      </c>
      <c r="D21" s="19" t="s">
        <v>4614</v>
      </c>
      <c r="F21" s="19" t="s">
        <v>4600</v>
      </c>
      <c r="G21" s="19" t="s">
        <v>4603</v>
      </c>
      <c r="I21" s="19" t="s">
        <v>8</v>
      </c>
      <c r="J21" s="26">
        <v>245</v>
      </c>
      <c r="K21" s="21" t="str">
        <f>IF(J21&lt;&gt;"",VLOOKUP(J21,HeadCount!A:I,2,0),"")</f>
        <v>Mohmed Khairy Elgendy Mohamed AboAmmer</v>
      </c>
      <c r="L21" s="21" t="str">
        <f>IF(J21&lt;&gt;"",VLOOKUP(J21,HeadCount!A:I,5,0),"")</f>
        <v>R&amp;D</v>
      </c>
      <c r="N21" s="46">
        <v>45887</v>
      </c>
      <c r="O21" s="46">
        <v>45887</v>
      </c>
      <c r="P21" s="19">
        <f t="shared" si="2"/>
        <v>1</v>
      </c>
      <c r="Q21" s="19" t="s">
        <v>16</v>
      </c>
    </row>
    <row r="22" spans="1:17" x14ac:dyDescent="0.3">
      <c r="A22" s="19">
        <f t="shared" si="0"/>
        <v>21</v>
      </c>
      <c r="C22" s="19" t="s">
        <v>27</v>
      </c>
      <c r="D22" s="19" t="s">
        <v>4615</v>
      </c>
      <c r="F22" s="19" t="s">
        <v>4600</v>
      </c>
      <c r="G22" s="19" t="s">
        <v>4603</v>
      </c>
      <c r="I22" s="19" t="s">
        <v>8</v>
      </c>
      <c r="J22" s="26">
        <v>245</v>
      </c>
      <c r="K22" s="21" t="str">
        <f>IF(J22&lt;&gt;"",VLOOKUP(J22,HeadCount!A:I,2,0),"")</f>
        <v>Mohmed Khairy Elgendy Mohamed AboAmmer</v>
      </c>
      <c r="L22" s="21" t="str">
        <f>IF(J22&lt;&gt;"",VLOOKUP(J22,HeadCount!A:I,5,0),"")</f>
        <v>R&amp;D</v>
      </c>
      <c r="N22" s="46">
        <v>45888</v>
      </c>
      <c r="O22" s="46">
        <v>45888</v>
      </c>
      <c r="P22" s="19">
        <f t="shared" si="2"/>
        <v>1</v>
      </c>
      <c r="Q22" s="19" t="s">
        <v>16</v>
      </c>
    </row>
    <row r="23" spans="1:17" x14ac:dyDescent="0.3">
      <c r="A23" s="19">
        <f t="shared" si="0"/>
        <v>22</v>
      </c>
      <c r="C23" s="19" t="s">
        <v>27</v>
      </c>
      <c r="D23" s="19" t="s">
        <v>4616</v>
      </c>
      <c r="F23" s="19" t="s">
        <v>4600</v>
      </c>
      <c r="G23" s="19" t="s">
        <v>4603</v>
      </c>
      <c r="I23" s="19" t="s">
        <v>8</v>
      </c>
      <c r="J23" s="26">
        <v>245</v>
      </c>
      <c r="K23" s="21" t="str">
        <f>IF(J23&lt;&gt;"",VLOOKUP(J23,HeadCount!A:I,2,0),"")</f>
        <v>Mohmed Khairy Elgendy Mohamed AboAmmer</v>
      </c>
      <c r="L23" s="21" t="str">
        <f>IF(J23&lt;&gt;"",VLOOKUP(J23,HeadCount!A:I,5,0),"")</f>
        <v>R&amp;D</v>
      </c>
      <c r="N23" s="46">
        <v>45889</v>
      </c>
      <c r="O23" s="46">
        <v>45889</v>
      </c>
      <c r="P23" s="19">
        <f t="shared" si="2"/>
        <v>1</v>
      </c>
      <c r="Q23" s="19" t="s">
        <v>16</v>
      </c>
    </row>
    <row r="24" spans="1:17" x14ac:dyDescent="0.3">
      <c r="A24" s="19">
        <f t="shared" si="0"/>
        <v>23</v>
      </c>
      <c r="C24" s="19" t="s">
        <v>27</v>
      </c>
      <c r="D24" s="19" t="s">
        <v>4617</v>
      </c>
      <c r="F24" s="19" t="s">
        <v>4600</v>
      </c>
      <c r="G24" s="19" t="s">
        <v>4603</v>
      </c>
      <c r="I24" s="19" t="s">
        <v>8</v>
      </c>
      <c r="J24" s="26">
        <v>245</v>
      </c>
      <c r="K24" s="21" t="str">
        <f>IF(J24&lt;&gt;"",VLOOKUP(J24,HeadCount!A:I,2,0),"")</f>
        <v>Mohmed Khairy Elgendy Mohamed AboAmmer</v>
      </c>
      <c r="L24" s="21" t="str">
        <f>IF(J24&lt;&gt;"",VLOOKUP(J24,HeadCount!A:I,5,0),"")</f>
        <v>R&amp;D</v>
      </c>
      <c r="N24" s="46">
        <v>45890</v>
      </c>
      <c r="O24" s="46">
        <v>45890</v>
      </c>
      <c r="P24" s="19">
        <f t="shared" si="2"/>
        <v>1</v>
      </c>
      <c r="Q24" s="19" t="s">
        <v>16</v>
      </c>
    </row>
    <row r="25" spans="1:17" x14ac:dyDescent="0.3">
      <c r="A25" s="19" t="str">
        <f t="shared" si="0"/>
        <v/>
      </c>
      <c r="K25" s="21" t="str">
        <f>IF(J25&lt;&gt;"",VLOOKUP(J25,HeadCount!A:I,2,0),"")</f>
        <v/>
      </c>
      <c r="L25" s="21" t="str">
        <f>IF(J25&lt;&gt;"",VLOOKUP(J25,HeadCount!A:I,5,0),"")</f>
        <v/>
      </c>
      <c r="P25" s="19" t="str">
        <f t="shared" si="2"/>
        <v/>
      </c>
    </row>
    <row r="26" spans="1:17" x14ac:dyDescent="0.3">
      <c r="A26" s="19" t="str">
        <f t="shared" si="0"/>
        <v/>
      </c>
      <c r="K26" s="21" t="str">
        <f>IF(J26&lt;&gt;"",VLOOKUP(J26,HeadCount!A:I,2,0),"")</f>
        <v/>
      </c>
      <c r="L26" s="21" t="str">
        <f>IF(J26&lt;&gt;"",VLOOKUP(J26,HeadCount!A:I,5,0),"")</f>
        <v/>
      </c>
      <c r="P26" s="19" t="str">
        <f t="shared" si="2"/>
        <v/>
      </c>
    </row>
    <row r="27" spans="1:17" x14ac:dyDescent="0.3">
      <c r="A27" s="19" t="str">
        <f t="shared" si="0"/>
        <v/>
      </c>
      <c r="K27" s="21" t="str">
        <f>IF(J27&lt;&gt;"",VLOOKUP(J27,HeadCount!A:I,2,0),"")</f>
        <v/>
      </c>
      <c r="L27" s="21" t="str">
        <f>IF(J27&lt;&gt;"",VLOOKUP(J27,HeadCount!A:I,5,0),"")</f>
        <v/>
      </c>
      <c r="P27" s="19" t="str">
        <f t="shared" si="2"/>
        <v/>
      </c>
    </row>
    <row r="28" spans="1:17" x14ac:dyDescent="0.3">
      <c r="A28" s="19" t="str">
        <f t="shared" si="0"/>
        <v/>
      </c>
      <c r="K28" s="21" t="str">
        <f>IF(J28&lt;&gt;"",VLOOKUP(J28,HeadCount!A:I,2,0),"")</f>
        <v/>
      </c>
      <c r="L28" s="21" t="str">
        <f>IF(J28&lt;&gt;"",VLOOKUP(J28,HeadCount!A:I,5,0),"")</f>
        <v/>
      </c>
      <c r="P28" s="19" t="str">
        <f t="shared" si="2"/>
        <v/>
      </c>
    </row>
    <row r="29" spans="1:17" x14ac:dyDescent="0.3">
      <c r="A29" s="19" t="str">
        <f t="shared" si="0"/>
        <v/>
      </c>
      <c r="K29" s="21" t="str">
        <f>IF(J29&lt;&gt;"",VLOOKUP(J29,HeadCount!A:I,2,0),"")</f>
        <v/>
      </c>
      <c r="L29" s="21" t="str">
        <f>IF(J29&lt;&gt;"",VLOOKUP(J29,HeadCount!A:I,5,0),"")</f>
        <v/>
      </c>
      <c r="P29" s="19" t="str">
        <f t="shared" si="2"/>
        <v/>
      </c>
    </row>
    <row r="30" spans="1:17" x14ac:dyDescent="0.3">
      <c r="A30" s="19" t="str">
        <f t="shared" si="0"/>
        <v/>
      </c>
      <c r="K30" s="21" t="str">
        <f>IF(J30&lt;&gt;"",VLOOKUP(J30,HeadCount!A:I,2,0),"")</f>
        <v/>
      </c>
      <c r="L30" s="21" t="str">
        <f>IF(J30&lt;&gt;"",VLOOKUP(J30,HeadCount!A:I,5,0),"")</f>
        <v/>
      </c>
      <c r="P30" s="19" t="str">
        <f t="shared" si="2"/>
        <v/>
      </c>
    </row>
    <row r="31" spans="1:17" x14ac:dyDescent="0.3">
      <c r="A31" s="19" t="str">
        <f t="shared" si="0"/>
        <v/>
      </c>
      <c r="K31" s="21" t="str">
        <f>IF(J31&lt;&gt;"",VLOOKUP(J31,HeadCount!A:I,2,0),"")</f>
        <v/>
      </c>
      <c r="L31" s="21" t="str">
        <f>IF(J31&lt;&gt;"",VLOOKUP(J31,HeadCount!A:I,5,0),"")</f>
        <v/>
      </c>
      <c r="P31" s="19" t="str">
        <f t="shared" si="2"/>
        <v/>
      </c>
    </row>
    <row r="32" spans="1:17" x14ac:dyDescent="0.3">
      <c r="A32" s="19" t="str">
        <f t="shared" si="0"/>
        <v/>
      </c>
      <c r="K32" s="21" t="str">
        <f>IF(J32&lt;&gt;"",VLOOKUP(J32,HeadCount!A:I,2,0),"")</f>
        <v/>
      </c>
      <c r="L32" s="21" t="str">
        <f>IF(J32&lt;&gt;"",VLOOKUP(J32,HeadCount!A:I,5,0),"")</f>
        <v/>
      </c>
      <c r="P32" s="19" t="str">
        <f t="shared" si="2"/>
        <v/>
      </c>
    </row>
    <row r="33" spans="1:16" x14ac:dyDescent="0.3">
      <c r="A33" s="19" t="str">
        <f t="shared" si="0"/>
        <v/>
      </c>
      <c r="K33" s="21" t="str">
        <f>IF(J33&lt;&gt;"",VLOOKUP(J33,HeadCount!A:I,2,0),"")</f>
        <v/>
      </c>
      <c r="L33" s="21" t="str">
        <f>IF(J33&lt;&gt;"",VLOOKUP(J33,HeadCount!A:I,5,0),"")</f>
        <v/>
      </c>
      <c r="P33" s="19" t="str">
        <f t="shared" si="2"/>
        <v/>
      </c>
    </row>
    <row r="34" spans="1:16" x14ac:dyDescent="0.3">
      <c r="A34" s="19" t="str">
        <f t="shared" si="0"/>
        <v/>
      </c>
      <c r="K34" s="21" t="str">
        <f>IF(J34&lt;&gt;"",VLOOKUP(J34,HeadCount!A:I,2,0),"")</f>
        <v/>
      </c>
      <c r="L34" s="21" t="str">
        <f>IF(J34&lt;&gt;"",VLOOKUP(J34,HeadCount!A:I,5,0),"")</f>
        <v/>
      </c>
      <c r="P34" s="19" t="str">
        <f t="shared" si="2"/>
        <v/>
      </c>
    </row>
    <row r="35" spans="1:16" x14ac:dyDescent="0.3">
      <c r="A35" s="19" t="str">
        <f t="shared" si="0"/>
        <v/>
      </c>
      <c r="K35" s="21" t="str">
        <f>IF(J35&lt;&gt;"",VLOOKUP(J35,HeadCount!A:I,2,0),"")</f>
        <v/>
      </c>
      <c r="L35" s="21" t="str">
        <f>IF(J35&lt;&gt;"",VLOOKUP(J35,HeadCount!A:I,5,0),"")</f>
        <v/>
      </c>
      <c r="P35" s="19" t="str">
        <f t="shared" si="2"/>
        <v/>
      </c>
    </row>
    <row r="36" spans="1:16" x14ac:dyDescent="0.3">
      <c r="A36" s="19" t="str">
        <f t="shared" si="0"/>
        <v/>
      </c>
      <c r="K36" s="21" t="str">
        <f>IF(J36&lt;&gt;"",VLOOKUP(J36,HeadCount!A:I,2,0),"")</f>
        <v/>
      </c>
      <c r="L36" s="21" t="str">
        <f>IF(J36&lt;&gt;"",VLOOKUP(J36,HeadCount!A:I,5,0),"")</f>
        <v/>
      </c>
      <c r="P36" s="19" t="str">
        <f t="shared" si="2"/>
        <v/>
      </c>
    </row>
    <row r="37" spans="1:16" x14ac:dyDescent="0.3">
      <c r="A37" s="19" t="str">
        <f t="shared" si="0"/>
        <v/>
      </c>
      <c r="K37" s="21" t="str">
        <f>IF(J37&lt;&gt;"",VLOOKUP(J37,HeadCount!A:I,2,0),"")</f>
        <v/>
      </c>
      <c r="L37" s="21" t="str">
        <f>IF(J37&lt;&gt;"",VLOOKUP(J37,HeadCount!A:I,5,0),"")</f>
        <v/>
      </c>
      <c r="P37" s="19" t="str">
        <f t="shared" si="2"/>
        <v/>
      </c>
    </row>
    <row r="38" spans="1:16" x14ac:dyDescent="0.3">
      <c r="A38" s="19" t="str">
        <f t="shared" si="0"/>
        <v/>
      </c>
      <c r="K38" s="21" t="str">
        <f>IF(J38&lt;&gt;"",VLOOKUP(J38,HeadCount!A:I,2,0),"")</f>
        <v/>
      </c>
      <c r="L38" s="21" t="str">
        <f>IF(J38&lt;&gt;"",VLOOKUP(J38,HeadCount!A:I,5,0),"")</f>
        <v/>
      </c>
      <c r="P38" s="19" t="str">
        <f t="shared" si="2"/>
        <v/>
      </c>
    </row>
    <row r="39" spans="1:16" x14ac:dyDescent="0.3">
      <c r="A39" s="19" t="str">
        <f t="shared" si="0"/>
        <v/>
      </c>
      <c r="K39" s="21" t="str">
        <f>IF(J39&lt;&gt;"",VLOOKUP(J39,HeadCount!A:I,2,0),"")</f>
        <v/>
      </c>
      <c r="L39" s="21" t="str">
        <f>IF(J39&lt;&gt;"",VLOOKUP(J39,HeadCount!A:I,5,0),"")</f>
        <v/>
      </c>
      <c r="P39" s="19" t="str">
        <f t="shared" si="2"/>
        <v/>
      </c>
    </row>
    <row r="40" spans="1:16" x14ac:dyDescent="0.3">
      <c r="A40" s="19" t="str">
        <f t="shared" si="0"/>
        <v/>
      </c>
      <c r="K40" s="21" t="str">
        <f>IF(J40&lt;&gt;"",VLOOKUP(J40,HeadCount!A:I,2,0),"")</f>
        <v/>
      </c>
      <c r="L40" s="21" t="str">
        <f>IF(J40&lt;&gt;"",VLOOKUP(J40,HeadCount!A:I,5,0),"")</f>
        <v/>
      </c>
      <c r="P40" s="19" t="str">
        <f t="shared" si="2"/>
        <v/>
      </c>
    </row>
    <row r="41" spans="1:16" x14ac:dyDescent="0.3">
      <c r="A41" s="19" t="str">
        <f t="shared" si="0"/>
        <v/>
      </c>
      <c r="K41" s="21" t="str">
        <f>IF(J41&lt;&gt;"",VLOOKUP(J41,HeadCount!A:I,2,0),"")</f>
        <v/>
      </c>
      <c r="L41" s="21" t="str">
        <f>IF(J41&lt;&gt;"",VLOOKUP(J41,HeadCount!A:I,5,0),"")</f>
        <v/>
      </c>
      <c r="P41" s="19" t="str">
        <f t="shared" si="2"/>
        <v/>
      </c>
    </row>
    <row r="42" spans="1:16" x14ac:dyDescent="0.3">
      <c r="A42" s="19" t="str">
        <f t="shared" si="0"/>
        <v/>
      </c>
      <c r="K42" s="21" t="str">
        <f>IF(J42&lt;&gt;"",VLOOKUP(J42,HeadCount!A:I,2,0),"")</f>
        <v/>
      </c>
      <c r="L42" s="21" t="str">
        <f>IF(J42&lt;&gt;"",VLOOKUP(J42,HeadCount!A:I,5,0),"")</f>
        <v/>
      </c>
      <c r="P42" s="19" t="str">
        <f t="shared" si="2"/>
        <v/>
      </c>
    </row>
    <row r="43" spans="1:16" x14ac:dyDescent="0.3">
      <c r="A43" s="19" t="str">
        <f t="shared" si="0"/>
        <v/>
      </c>
      <c r="K43" s="21" t="str">
        <f>IF(J43&lt;&gt;"",VLOOKUP(J43,HeadCount!A:I,2,0),"")</f>
        <v/>
      </c>
      <c r="L43" s="21" t="str">
        <f>IF(J43&lt;&gt;"",VLOOKUP(J43,HeadCount!A:I,5,0),"")</f>
        <v/>
      </c>
      <c r="P43" s="19" t="str">
        <f t="shared" si="2"/>
        <v/>
      </c>
    </row>
    <row r="44" spans="1:16" x14ac:dyDescent="0.3">
      <c r="A44" s="19" t="str">
        <f t="shared" si="0"/>
        <v/>
      </c>
      <c r="K44" s="21" t="str">
        <f>IF(J44&lt;&gt;"",VLOOKUP(J44,HeadCount!A:I,2,0),"")</f>
        <v/>
      </c>
      <c r="L44" s="21" t="str">
        <f>IF(J44&lt;&gt;"",VLOOKUP(J44,HeadCount!A:I,5,0),"")</f>
        <v/>
      </c>
      <c r="P44" s="19" t="str">
        <f t="shared" si="2"/>
        <v/>
      </c>
    </row>
    <row r="45" spans="1:16" x14ac:dyDescent="0.3">
      <c r="A45" s="19" t="str">
        <f t="shared" si="0"/>
        <v/>
      </c>
      <c r="K45" s="21" t="str">
        <f>IF(J45&lt;&gt;"",VLOOKUP(J45,HeadCount!A:I,2,0),"")</f>
        <v/>
      </c>
      <c r="L45" s="21" t="str">
        <f>IF(J45&lt;&gt;"",VLOOKUP(J45,HeadCount!A:I,5,0),"")</f>
        <v/>
      </c>
      <c r="P45" s="19" t="str">
        <f t="shared" si="2"/>
        <v/>
      </c>
    </row>
    <row r="46" spans="1:16" x14ac:dyDescent="0.3">
      <c r="A46" s="19" t="str">
        <f t="shared" si="0"/>
        <v/>
      </c>
      <c r="K46" s="21" t="str">
        <f>IF(J46&lt;&gt;"",VLOOKUP(J46,HeadCount!A:I,2,0),"")</f>
        <v/>
      </c>
      <c r="L46" s="21" t="str">
        <f>IF(J46&lt;&gt;"",VLOOKUP(J46,HeadCount!A:I,5,0),"")</f>
        <v/>
      </c>
      <c r="P46" s="19" t="str">
        <f t="shared" si="2"/>
        <v/>
      </c>
    </row>
    <row r="47" spans="1:16" x14ac:dyDescent="0.3">
      <c r="A47" s="19" t="str">
        <f t="shared" si="0"/>
        <v/>
      </c>
      <c r="K47" s="21" t="str">
        <f>IF(J47&lt;&gt;"",VLOOKUP(J47,HeadCount!A:I,2,0),"")</f>
        <v/>
      </c>
      <c r="L47" s="21" t="str">
        <f>IF(J47&lt;&gt;"",VLOOKUP(J47,HeadCount!A:I,5,0),"")</f>
        <v/>
      </c>
      <c r="P47" s="19" t="str">
        <f t="shared" si="2"/>
        <v/>
      </c>
    </row>
    <row r="48" spans="1:16" x14ac:dyDescent="0.3">
      <c r="A48" s="19" t="str">
        <f t="shared" si="0"/>
        <v/>
      </c>
      <c r="K48" s="21" t="str">
        <f>IF(J48&lt;&gt;"",VLOOKUP(J48,HeadCount!A:I,2,0),"")</f>
        <v/>
      </c>
      <c r="L48" s="21" t="str">
        <f>IF(J48&lt;&gt;"",VLOOKUP(J48,HeadCount!A:I,5,0),"")</f>
        <v/>
      </c>
      <c r="P48" s="19" t="str">
        <f t="shared" si="2"/>
        <v/>
      </c>
    </row>
    <row r="49" spans="1:16" x14ac:dyDescent="0.3">
      <c r="A49" s="19" t="str">
        <f t="shared" si="0"/>
        <v/>
      </c>
      <c r="K49" s="21" t="str">
        <f>IF(J49&lt;&gt;"",VLOOKUP(J49,HeadCount!A:I,2,0),"")</f>
        <v/>
      </c>
      <c r="L49" s="21" t="str">
        <f>IF(J49&lt;&gt;"",VLOOKUP(J49,HeadCount!A:I,5,0),"")</f>
        <v/>
      </c>
      <c r="P49" s="19" t="str">
        <f t="shared" si="2"/>
        <v/>
      </c>
    </row>
    <row r="50" spans="1:16" x14ac:dyDescent="0.3">
      <c r="A50" s="19" t="str">
        <f t="shared" si="0"/>
        <v/>
      </c>
      <c r="K50" s="21" t="str">
        <f>IF(J50&lt;&gt;"",VLOOKUP(J50,HeadCount!A:I,2,0),"")</f>
        <v/>
      </c>
      <c r="L50" s="21" t="str">
        <f>IF(J50&lt;&gt;"",VLOOKUP(J50,HeadCount!A:I,5,0),"")</f>
        <v/>
      </c>
      <c r="P50" s="19" t="str">
        <f t="shared" si="2"/>
        <v/>
      </c>
    </row>
    <row r="51" spans="1:16" x14ac:dyDescent="0.3">
      <c r="A51" s="19" t="str">
        <f t="shared" si="0"/>
        <v/>
      </c>
      <c r="K51" s="21" t="str">
        <f>IF(J51&lt;&gt;"",VLOOKUP(J51,HeadCount!A:I,2,0),"")</f>
        <v/>
      </c>
      <c r="L51" s="21" t="str">
        <f>IF(J51&lt;&gt;"",VLOOKUP(J51,HeadCount!A:I,5,0),"")</f>
        <v/>
      </c>
      <c r="P51" s="19" t="str">
        <f t="shared" si="2"/>
        <v/>
      </c>
    </row>
    <row r="52" spans="1:16" x14ac:dyDescent="0.3">
      <c r="A52" s="19" t="str">
        <f t="shared" si="0"/>
        <v/>
      </c>
      <c r="K52" s="21" t="str">
        <f>IF(J52&lt;&gt;"",VLOOKUP(J52,HeadCount!A:I,2,0),"")</f>
        <v/>
      </c>
      <c r="L52" s="21" t="str">
        <f>IF(J52&lt;&gt;"",VLOOKUP(J52,HeadCount!A:I,5,0),"")</f>
        <v/>
      </c>
      <c r="P52" s="19" t="str">
        <f t="shared" si="2"/>
        <v/>
      </c>
    </row>
    <row r="53" spans="1:16" x14ac:dyDescent="0.3">
      <c r="A53" s="19" t="str">
        <f t="shared" si="0"/>
        <v/>
      </c>
      <c r="K53" s="21" t="str">
        <f>IF(J53&lt;&gt;"",VLOOKUP(J53,HeadCount!A:I,2,0),"")</f>
        <v/>
      </c>
      <c r="L53" s="21" t="str">
        <f>IF(J53&lt;&gt;"",VLOOKUP(J53,HeadCount!A:I,5,0),"")</f>
        <v/>
      </c>
      <c r="P53" s="19" t="str">
        <f t="shared" si="2"/>
        <v/>
      </c>
    </row>
    <row r="54" spans="1:16" x14ac:dyDescent="0.3">
      <c r="A54" s="19" t="str">
        <f t="shared" si="0"/>
        <v/>
      </c>
      <c r="K54" s="21" t="str">
        <f>IF(J54&lt;&gt;"",VLOOKUP(J54,HeadCount!A:I,2,0),"")</f>
        <v/>
      </c>
      <c r="L54" s="21" t="str">
        <f>IF(J54&lt;&gt;"",VLOOKUP(J54,HeadCount!A:I,5,0),"")</f>
        <v/>
      </c>
      <c r="P54" s="19" t="str">
        <f t="shared" si="2"/>
        <v/>
      </c>
    </row>
    <row r="55" spans="1:16" x14ac:dyDescent="0.3">
      <c r="A55" s="19" t="str">
        <f t="shared" si="0"/>
        <v/>
      </c>
      <c r="K55" s="21" t="str">
        <f>IF(J55&lt;&gt;"",VLOOKUP(J55,HeadCount!A:I,2,0),"")</f>
        <v/>
      </c>
      <c r="L55" s="21" t="str">
        <f>IF(J55&lt;&gt;"",VLOOKUP(J55,HeadCount!A:I,5,0),"")</f>
        <v/>
      </c>
      <c r="P55" s="19" t="str">
        <f t="shared" si="2"/>
        <v/>
      </c>
    </row>
    <row r="56" spans="1:16" x14ac:dyDescent="0.3">
      <c r="A56" s="19" t="str">
        <f t="shared" si="0"/>
        <v/>
      </c>
      <c r="K56" s="21" t="str">
        <f>IF(J56&lt;&gt;"",VLOOKUP(J56,HeadCount!A:I,2,0),"")</f>
        <v/>
      </c>
      <c r="L56" s="21" t="str">
        <f>IF(J56&lt;&gt;"",VLOOKUP(J56,HeadCount!A:I,5,0),"")</f>
        <v/>
      </c>
      <c r="P56" s="19" t="str">
        <f t="shared" si="2"/>
        <v/>
      </c>
    </row>
    <row r="57" spans="1:16" x14ac:dyDescent="0.3">
      <c r="A57" s="19" t="str">
        <f t="shared" si="0"/>
        <v/>
      </c>
      <c r="K57" s="21" t="str">
        <f>IF(J57&lt;&gt;"",VLOOKUP(J57,HeadCount!A:I,2,0),"")</f>
        <v/>
      </c>
      <c r="L57" s="21" t="str">
        <f>IF(J57&lt;&gt;"",VLOOKUP(J57,HeadCount!A:I,5,0),"")</f>
        <v/>
      </c>
      <c r="P57" s="19" t="str">
        <f t="shared" si="2"/>
        <v/>
      </c>
    </row>
    <row r="58" spans="1:16" x14ac:dyDescent="0.3">
      <c r="A58" s="19" t="str">
        <f t="shared" si="0"/>
        <v/>
      </c>
      <c r="K58" s="21" t="str">
        <f>IF(J58&lt;&gt;"",VLOOKUP(J58,HeadCount!A:I,2,0),"")</f>
        <v/>
      </c>
      <c r="L58" s="21" t="str">
        <f>IF(J58&lt;&gt;"",VLOOKUP(J58,HeadCount!A:I,5,0),"")</f>
        <v/>
      </c>
      <c r="P58" s="19" t="str">
        <f t="shared" si="2"/>
        <v/>
      </c>
    </row>
    <row r="59" spans="1:16" x14ac:dyDescent="0.3">
      <c r="A59" s="19" t="str">
        <f t="shared" si="0"/>
        <v/>
      </c>
      <c r="K59" s="21" t="str">
        <f>IF(J59&lt;&gt;"",VLOOKUP(J59,HeadCount!A:I,2,0),"")</f>
        <v/>
      </c>
      <c r="L59" s="21" t="str">
        <f>IF(J59&lt;&gt;"",VLOOKUP(J59,HeadCount!A:I,5,0),"")</f>
        <v/>
      </c>
      <c r="P59" s="19" t="str">
        <f t="shared" si="2"/>
        <v/>
      </c>
    </row>
    <row r="60" spans="1:16" x14ac:dyDescent="0.3">
      <c r="A60" s="19" t="str">
        <f t="shared" si="0"/>
        <v/>
      </c>
      <c r="K60" s="21" t="str">
        <f>IF(J60&lt;&gt;"",VLOOKUP(J60,HeadCount!A:I,2,0),"")</f>
        <v/>
      </c>
      <c r="L60" s="21" t="str">
        <f>IF(J60&lt;&gt;"",VLOOKUP(J60,HeadCount!A:I,5,0),"")</f>
        <v/>
      </c>
      <c r="P60" s="19" t="str">
        <f t="shared" si="2"/>
        <v/>
      </c>
    </row>
    <row r="61" spans="1:16" x14ac:dyDescent="0.3">
      <c r="A61" s="19" t="str">
        <f t="shared" si="0"/>
        <v/>
      </c>
      <c r="K61" s="21" t="str">
        <f>IF(J61&lt;&gt;"",VLOOKUP(J61,HeadCount!A:I,2,0),"")</f>
        <v/>
      </c>
      <c r="L61" s="21" t="str">
        <f>IF(J61&lt;&gt;"",VLOOKUP(J61,HeadCount!A:I,5,0),"")</f>
        <v/>
      </c>
      <c r="P61" s="19" t="str">
        <f t="shared" si="2"/>
        <v/>
      </c>
    </row>
    <row r="62" spans="1:16" x14ac:dyDescent="0.3">
      <c r="A62" s="19" t="str">
        <f t="shared" si="0"/>
        <v/>
      </c>
      <c r="K62" s="21" t="str">
        <f>IF(J62&lt;&gt;"",VLOOKUP(J62,HeadCount!A:I,2,0),"")</f>
        <v/>
      </c>
      <c r="L62" s="21" t="str">
        <f>IF(J62&lt;&gt;"",VLOOKUP(J62,HeadCount!A:I,5,0),"")</f>
        <v/>
      </c>
      <c r="P62" s="19" t="str">
        <f t="shared" si="2"/>
        <v/>
      </c>
    </row>
    <row r="63" spans="1:16" x14ac:dyDescent="0.3">
      <c r="A63" s="19" t="str">
        <f t="shared" si="0"/>
        <v/>
      </c>
      <c r="K63" s="21" t="str">
        <f>IF(J63&lt;&gt;"",VLOOKUP(J63,HeadCount!A:I,2,0),"")</f>
        <v/>
      </c>
      <c r="L63" s="21" t="str">
        <f>IF(J63&lt;&gt;"",VLOOKUP(J63,HeadCount!A:I,5,0),"")</f>
        <v/>
      </c>
      <c r="P63" s="19" t="str">
        <f t="shared" si="2"/>
        <v/>
      </c>
    </row>
    <row r="64" spans="1:16" x14ac:dyDescent="0.3">
      <c r="A64" s="19" t="str">
        <f t="shared" si="0"/>
        <v/>
      </c>
      <c r="K64" s="21" t="str">
        <f>IF(J64&lt;&gt;"",VLOOKUP(J64,HeadCount!A:I,2,0),"")</f>
        <v/>
      </c>
      <c r="L64" s="21" t="str">
        <f>IF(J64&lt;&gt;"",VLOOKUP(J64,HeadCount!A:I,5,0),"")</f>
        <v/>
      </c>
      <c r="P64" s="19" t="str">
        <f t="shared" si="2"/>
        <v/>
      </c>
    </row>
    <row r="65" spans="1:16" x14ac:dyDescent="0.3">
      <c r="A65" s="19" t="str">
        <f t="shared" si="0"/>
        <v/>
      </c>
      <c r="K65" s="21" t="str">
        <f>IF(J65&lt;&gt;"",VLOOKUP(J65,HeadCount!A:I,2,0),"")</f>
        <v/>
      </c>
      <c r="L65" s="21" t="str">
        <f>IF(J65&lt;&gt;"",VLOOKUP(J65,HeadCount!A:I,5,0),"")</f>
        <v/>
      </c>
      <c r="P65" s="19" t="str">
        <f t="shared" si="2"/>
        <v/>
      </c>
    </row>
    <row r="66" spans="1:16" x14ac:dyDescent="0.3">
      <c r="A66" s="19" t="str">
        <f t="shared" ref="A66:A129" si="3">IF(C66&lt;&gt;"",ROW(A65),"")</f>
        <v/>
      </c>
      <c r="K66" s="21" t="str">
        <f>IF(J66&lt;&gt;"",VLOOKUP(J66,HeadCount!A:I,2,0),"")</f>
        <v/>
      </c>
      <c r="L66" s="21" t="str">
        <f>IF(J66&lt;&gt;"",VLOOKUP(J66,HeadCount!A:I,5,0),"")</f>
        <v/>
      </c>
      <c r="P66" s="19" t="str">
        <f t="shared" si="2"/>
        <v/>
      </c>
    </row>
    <row r="67" spans="1:16" x14ac:dyDescent="0.3">
      <c r="A67" s="19" t="str">
        <f t="shared" si="3"/>
        <v/>
      </c>
      <c r="K67" s="21" t="str">
        <f>IF(J67&lt;&gt;"",VLOOKUP(J67,HeadCount!A:I,2,0),"")</f>
        <v/>
      </c>
      <c r="L67" s="21" t="str">
        <f>IF(J67&lt;&gt;"",VLOOKUP(J67,HeadCount!A:I,5,0),"")</f>
        <v/>
      </c>
      <c r="P67" s="19" t="str">
        <f t="shared" ref="P67:P130" si="4">IF(N67="","",(O67-N67)+1)</f>
        <v/>
      </c>
    </row>
    <row r="68" spans="1:16" x14ac:dyDescent="0.3">
      <c r="A68" s="19" t="str">
        <f t="shared" si="3"/>
        <v/>
      </c>
      <c r="K68" s="21" t="str">
        <f>IF(J68&lt;&gt;"",VLOOKUP(J68,HeadCount!A:I,2,0),"")</f>
        <v/>
      </c>
      <c r="L68" s="21" t="str">
        <f>IF(J68&lt;&gt;"",VLOOKUP(J68,HeadCount!A:I,5,0),"")</f>
        <v/>
      </c>
      <c r="P68" s="19" t="str">
        <f t="shared" si="4"/>
        <v/>
      </c>
    </row>
    <row r="69" spans="1:16" x14ac:dyDescent="0.3">
      <c r="A69" s="19" t="str">
        <f t="shared" si="3"/>
        <v/>
      </c>
      <c r="K69" s="21" t="str">
        <f>IF(J69&lt;&gt;"",VLOOKUP(J69,HeadCount!A:I,2,0),"")</f>
        <v/>
      </c>
      <c r="L69" s="21" t="str">
        <f>IF(J69&lt;&gt;"",VLOOKUP(J69,HeadCount!A:I,5,0),"")</f>
        <v/>
      </c>
      <c r="P69" s="19" t="str">
        <f t="shared" si="4"/>
        <v/>
      </c>
    </row>
    <row r="70" spans="1:16" x14ac:dyDescent="0.3">
      <c r="A70" s="19" t="str">
        <f t="shared" si="3"/>
        <v/>
      </c>
      <c r="K70" s="21" t="str">
        <f>IF(J70&lt;&gt;"",VLOOKUP(J70,HeadCount!A:I,2,0),"")</f>
        <v/>
      </c>
      <c r="L70" s="21" t="str">
        <f>IF(J70&lt;&gt;"",VLOOKUP(J70,HeadCount!A:I,5,0),"")</f>
        <v/>
      </c>
      <c r="P70" s="19" t="str">
        <f t="shared" si="4"/>
        <v/>
      </c>
    </row>
    <row r="71" spans="1:16" x14ac:dyDescent="0.3">
      <c r="A71" s="19" t="str">
        <f t="shared" si="3"/>
        <v/>
      </c>
      <c r="K71" s="21" t="str">
        <f>IF(J71&lt;&gt;"",VLOOKUP(J71,HeadCount!A:I,2,0),"")</f>
        <v/>
      </c>
      <c r="L71" s="21" t="str">
        <f>IF(J71&lt;&gt;"",VLOOKUP(J71,HeadCount!A:I,5,0),"")</f>
        <v/>
      </c>
      <c r="P71" s="19" t="str">
        <f t="shared" si="4"/>
        <v/>
      </c>
    </row>
    <row r="72" spans="1:16" x14ac:dyDescent="0.3">
      <c r="A72" s="19" t="str">
        <f t="shared" si="3"/>
        <v/>
      </c>
      <c r="K72" s="21" t="str">
        <f>IF(J72&lt;&gt;"",VLOOKUP(J72,HeadCount!A:I,2,0),"")</f>
        <v/>
      </c>
      <c r="L72" s="21" t="str">
        <f>IF(J72&lt;&gt;"",VLOOKUP(J72,HeadCount!A:I,5,0),"")</f>
        <v/>
      </c>
      <c r="P72" s="19" t="str">
        <f t="shared" si="4"/>
        <v/>
      </c>
    </row>
    <row r="73" spans="1:16" x14ac:dyDescent="0.3">
      <c r="A73" s="19" t="str">
        <f t="shared" si="3"/>
        <v/>
      </c>
      <c r="K73" s="21" t="str">
        <f>IF(J73&lt;&gt;"",VLOOKUP(J73,HeadCount!A:I,2,0),"")</f>
        <v/>
      </c>
      <c r="L73" s="21" t="str">
        <f>IF(J73&lt;&gt;"",VLOOKUP(J73,HeadCount!A:I,5,0),"")</f>
        <v/>
      </c>
      <c r="P73" s="19" t="str">
        <f t="shared" si="4"/>
        <v/>
      </c>
    </row>
    <row r="74" spans="1:16" x14ac:dyDescent="0.3">
      <c r="A74" s="19" t="str">
        <f t="shared" si="3"/>
        <v/>
      </c>
      <c r="K74" s="21" t="str">
        <f>IF(J74&lt;&gt;"",VLOOKUP(J74,HeadCount!A:I,2,0),"")</f>
        <v/>
      </c>
      <c r="L74" s="21" t="str">
        <f>IF(J74&lt;&gt;"",VLOOKUP(J74,HeadCount!A:I,5,0),"")</f>
        <v/>
      </c>
      <c r="P74" s="19" t="str">
        <f t="shared" si="4"/>
        <v/>
      </c>
    </row>
    <row r="75" spans="1:16" x14ac:dyDescent="0.3">
      <c r="A75" s="19" t="str">
        <f t="shared" si="3"/>
        <v/>
      </c>
      <c r="G75" s="42"/>
      <c r="K75" s="21" t="str">
        <f>IF(J75&lt;&gt;"",VLOOKUP(J75,HeadCount!A:I,2,0),"")</f>
        <v/>
      </c>
      <c r="L75" s="21" t="str">
        <f>IF(J75&lt;&gt;"",VLOOKUP(J75,HeadCount!A:I,5,0),"")</f>
        <v/>
      </c>
      <c r="P75" s="19" t="str">
        <f t="shared" si="4"/>
        <v/>
      </c>
    </row>
    <row r="76" spans="1:16" x14ac:dyDescent="0.3">
      <c r="A76" s="19" t="str">
        <f t="shared" si="3"/>
        <v/>
      </c>
      <c r="K76" s="21" t="str">
        <f>IF(J76&lt;&gt;"",VLOOKUP(J76,HeadCount!A:I,2,0),"")</f>
        <v/>
      </c>
      <c r="L76" s="21" t="str">
        <f>IF(J76&lt;&gt;"",VLOOKUP(J76,HeadCount!A:I,5,0),"")</f>
        <v/>
      </c>
      <c r="P76" s="19" t="str">
        <f t="shared" si="4"/>
        <v/>
      </c>
    </row>
    <row r="77" spans="1:16" x14ac:dyDescent="0.3">
      <c r="A77" s="19" t="str">
        <f t="shared" si="3"/>
        <v/>
      </c>
      <c r="K77" s="21" t="str">
        <f>IF(J77&lt;&gt;"",VLOOKUP(J77,HeadCount!A:I,2,0),"")</f>
        <v/>
      </c>
      <c r="L77" s="21" t="str">
        <f>IF(J77&lt;&gt;"",VLOOKUP(J77,HeadCount!A:I,5,0),"")</f>
        <v/>
      </c>
      <c r="P77" s="19" t="str">
        <f t="shared" si="4"/>
        <v/>
      </c>
    </row>
    <row r="78" spans="1:16" x14ac:dyDescent="0.3">
      <c r="A78" s="19" t="str">
        <f t="shared" si="3"/>
        <v/>
      </c>
      <c r="K78" s="21" t="str">
        <f>IF(J78&lt;&gt;"",VLOOKUP(J78,HeadCount!A:I,2,0),"")</f>
        <v/>
      </c>
      <c r="L78" s="21" t="str">
        <f>IF(J78&lt;&gt;"",VLOOKUP(J78,HeadCount!A:I,5,0),"")</f>
        <v/>
      </c>
      <c r="P78" s="19" t="str">
        <f t="shared" si="4"/>
        <v/>
      </c>
    </row>
    <row r="79" spans="1:16" x14ac:dyDescent="0.3">
      <c r="A79" s="19" t="str">
        <f t="shared" si="3"/>
        <v/>
      </c>
      <c r="K79" s="21" t="str">
        <f>IF(J79&lt;&gt;"",VLOOKUP(J79,HeadCount!A:I,2,0),"")</f>
        <v/>
      </c>
      <c r="L79" s="21" t="str">
        <f>IF(J79&lt;&gt;"",VLOOKUP(J79,HeadCount!A:I,5,0),"")</f>
        <v/>
      </c>
      <c r="P79" s="19" t="str">
        <f t="shared" si="4"/>
        <v/>
      </c>
    </row>
    <row r="80" spans="1:16" x14ac:dyDescent="0.3">
      <c r="A80" s="19" t="str">
        <f t="shared" si="3"/>
        <v/>
      </c>
      <c r="K80" s="21" t="str">
        <f>IF(J80&lt;&gt;"",VLOOKUP(J80,HeadCount!A:I,2,0),"")</f>
        <v/>
      </c>
      <c r="L80" s="21" t="str">
        <f>IF(J80&lt;&gt;"",VLOOKUP(J80,HeadCount!A:I,5,0),"")</f>
        <v/>
      </c>
      <c r="P80" s="19" t="str">
        <f t="shared" si="4"/>
        <v/>
      </c>
    </row>
    <row r="81" spans="1:16" x14ac:dyDescent="0.3">
      <c r="A81" s="19" t="str">
        <f t="shared" si="3"/>
        <v/>
      </c>
      <c r="K81" s="21" t="str">
        <f>IF(J81&lt;&gt;"",VLOOKUP(J81,HeadCount!A:I,2,0),"")</f>
        <v/>
      </c>
      <c r="L81" s="21" t="str">
        <f>IF(J81&lt;&gt;"",VLOOKUP(J81,HeadCount!A:I,5,0),"")</f>
        <v/>
      </c>
      <c r="P81" s="19" t="str">
        <f t="shared" si="4"/>
        <v/>
      </c>
    </row>
    <row r="82" spans="1:16" x14ac:dyDescent="0.3">
      <c r="A82" s="19" t="str">
        <f t="shared" si="3"/>
        <v/>
      </c>
      <c r="K82" s="21" t="str">
        <f>IF(J82&lt;&gt;"",VLOOKUP(J82,HeadCount!A:I,2,0),"")</f>
        <v/>
      </c>
      <c r="L82" s="21" t="str">
        <f>IF(J82&lt;&gt;"",VLOOKUP(J82,HeadCount!A:I,5,0),"")</f>
        <v/>
      </c>
      <c r="P82" s="19" t="str">
        <f t="shared" si="4"/>
        <v/>
      </c>
    </row>
    <row r="83" spans="1:16" x14ac:dyDescent="0.3">
      <c r="A83" s="19" t="str">
        <f t="shared" si="3"/>
        <v/>
      </c>
      <c r="K83" s="21" t="str">
        <f>IF(J83&lt;&gt;"",VLOOKUP(J83,HeadCount!A:I,2,0),"")</f>
        <v/>
      </c>
      <c r="L83" s="21" t="str">
        <f>IF(J83&lt;&gt;"",VLOOKUP(J83,HeadCount!A:I,5,0),"")</f>
        <v/>
      </c>
      <c r="P83" s="19" t="str">
        <f t="shared" si="4"/>
        <v/>
      </c>
    </row>
    <row r="84" spans="1:16" x14ac:dyDescent="0.3">
      <c r="A84" s="19" t="str">
        <f t="shared" si="3"/>
        <v/>
      </c>
      <c r="K84" s="21" t="str">
        <f>IF(J84&lt;&gt;"",VLOOKUP(J84,HeadCount!A:I,2,0),"")</f>
        <v/>
      </c>
      <c r="L84" s="21" t="str">
        <f>IF(J84&lt;&gt;"",VLOOKUP(J84,HeadCount!A:I,5,0),"")</f>
        <v/>
      </c>
      <c r="P84" s="19" t="str">
        <f t="shared" si="4"/>
        <v/>
      </c>
    </row>
    <row r="85" spans="1:16" x14ac:dyDescent="0.3">
      <c r="A85" s="19" t="str">
        <f t="shared" si="3"/>
        <v/>
      </c>
      <c r="K85" s="21" t="str">
        <f>IF(J85&lt;&gt;"",VLOOKUP(J85,HeadCount!A:I,2,0),"")</f>
        <v/>
      </c>
      <c r="L85" s="21" t="str">
        <f>IF(J85&lt;&gt;"",VLOOKUP(J85,HeadCount!A:I,5,0),"")</f>
        <v/>
      </c>
      <c r="P85" s="19" t="str">
        <f t="shared" si="4"/>
        <v/>
      </c>
    </row>
    <row r="86" spans="1:16" x14ac:dyDescent="0.3">
      <c r="A86" s="19" t="str">
        <f t="shared" si="3"/>
        <v/>
      </c>
      <c r="K86" s="21" t="str">
        <f>IF(J86&lt;&gt;"",VLOOKUP(J86,HeadCount!A:I,2,0),"")</f>
        <v/>
      </c>
      <c r="L86" s="21" t="str">
        <f>IF(J86&lt;&gt;"",VLOOKUP(J86,HeadCount!A:I,5,0),"")</f>
        <v/>
      </c>
      <c r="P86" s="19" t="str">
        <f t="shared" si="4"/>
        <v/>
      </c>
    </row>
    <row r="87" spans="1:16" x14ac:dyDescent="0.3">
      <c r="A87" s="19" t="str">
        <f t="shared" si="3"/>
        <v/>
      </c>
      <c r="K87" s="21" t="str">
        <f>IF(J87&lt;&gt;"",VLOOKUP(J87,HeadCount!A:I,2,0),"")</f>
        <v/>
      </c>
      <c r="L87" s="21" t="str">
        <f>IF(J87&lt;&gt;"",VLOOKUP(J87,HeadCount!A:I,5,0),"")</f>
        <v/>
      </c>
      <c r="P87" s="19" t="str">
        <f t="shared" si="4"/>
        <v/>
      </c>
    </row>
    <row r="88" spans="1:16" x14ac:dyDescent="0.3">
      <c r="A88" s="19" t="str">
        <f t="shared" si="3"/>
        <v/>
      </c>
      <c r="K88" s="21" t="str">
        <f>IF(J88&lt;&gt;"",VLOOKUP(J88,HeadCount!A:I,2,0),"")</f>
        <v/>
      </c>
      <c r="L88" s="21" t="str">
        <f>IF(J88&lt;&gt;"",VLOOKUP(J88,HeadCount!A:I,5,0),"")</f>
        <v/>
      </c>
      <c r="P88" s="19" t="str">
        <f t="shared" si="4"/>
        <v/>
      </c>
    </row>
    <row r="89" spans="1:16" x14ac:dyDescent="0.3">
      <c r="A89" s="19" t="str">
        <f t="shared" si="3"/>
        <v/>
      </c>
      <c r="K89" s="21" t="str">
        <f>IF(J89&lt;&gt;"",VLOOKUP(J89,HeadCount!A:I,2,0),"")</f>
        <v/>
      </c>
      <c r="L89" s="21" t="str">
        <f>IF(J89&lt;&gt;"",VLOOKUP(J89,HeadCount!A:I,5,0),"")</f>
        <v/>
      </c>
      <c r="P89" s="19" t="str">
        <f t="shared" si="4"/>
        <v/>
      </c>
    </row>
    <row r="90" spans="1:16" x14ac:dyDescent="0.3">
      <c r="A90" s="19" t="str">
        <f t="shared" si="3"/>
        <v/>
      </c>
      <c r="K90" s="21" t="str">
        <f>IF(J90&lt;&gt;"",VLOOKUP(J90,HeadCount!A:I,2,0),"")</f>
        <v/>
      </c>
      <c r="L90" s="21" t="str">
        <f>IF(J90&lt;&gt;"",VLOOKUP(J90,HeadCount!A:I,5,0),"")</f>
        <v/>
      </c>
      <c r="P90" s="19" t="str">
        <f t="shared" si="4"/>
        <v/>
      </c>
    </row>
    <row r="91" spans="1:16" x14ac:dyDescent="0.3">
      <c r="A91" s="19" t="str">
        <f t="shared" si="3"/>
        <v/>
      </c>
      <c r="K91" s="21" t="str">
        <f>IF(J91&lt;&gt;"",VLOOKUP(J91,HeadCount!A:I,2,0),"")</f>
        <v/>
      </c>
      <c r="L91" s="21" t="str">
        <f>IF(J91&lt;&gt;"",VLOOKUP(J91,HeadCount!A:I,5,0),"")</f>
        <v/>
      </c>
      <c r="P91" s="19" t="str">
        <f t="shared" si="4"/>
        <v/>
      </c>
    </row>
    <row r="92" spans="1:16" x14ac:dyDescent="0.3">
      <c r="A92" s="19" t="str">
        <f t="shared" si="3"/>
        <v/>
      </c>
      <c r="K92" s="21" t="str">
        <f>IF(J92&lt;&gt;"",VLOOKUP(J92,HeadCount!A:I,2,0),"")</f>
        <v/>
      </c>
      <c r="L92" s="21" t="str">
        <f>IF(J92&lt;&gt;"",VLOOKUP(J92,HeadCount!A:I,5,0),"")</f>
        <v/>
      </c>
      <c r="P92" s="19" t="str">
        <f t="shared" si="4"/>
        <v/>
      </c>
    </row>
    <row r="93" spans="1:16" x14ac:dyDescent="0.3">
      <c r="A93" s="19" t="str">
        <f t="shared" si="3"/>
        <v/>
      </c>
      <c r="K93" s="21" t="str">
        <f>IF(J93&lt;&gt;"",VLOOKUP(J93,HeadCount!A:I,2,0),"")</f>
        <v/>
      </c>
      <c r="L93" s="21" t="str">
        <f>IF(J93&lt;&gt;"",VLOOKUP(J93,HeadCount!A:I,5,0),"")</f>
        <v/>
      </c>
      <c r="P93" s="19" t="str">
        <f t="shared" si="4"/>
        <v/>
      </c>
    </row>
    <row r="94" spans="1:16" x14ac:dyDescent="0.3">
      <c r="A94" s="19" t="str">
        <f t="shared" si="3"/>
        <v/>
      </c>
      <c r="K94" s="21" t="str">
        <f>IF(J94&lt;&gt;"",VLOOKUP(J94,HeadCount!A:I,2,0),"")</f>
        <v/>
      </c>
      <c r="L94" s="21" t="str">
        <f>IF(J94&lt;&gt;"",VLOOKUP(J94,HeadCount!A:I,5,0),"")</f>
        <v/>
      </c>
      <c r="P94" s="19" t="str">
        <f t="shared" si="4"/>
        <v/>
      </c>
    </row>
    <row r="95" spans="1:16" x14ac:dyDescent="0.3">
      <c r="A95" s="19" t="str">
        <f t="shared" si="3"/>
        <v/>
      </c>
      <c r="K95" s="21" t="str">
        <f>IF(J95&lt;&gt;"",VLOOKUP(J95,HeadCount!A:I,2,0),"")</f>
        <v/>
      </c>
      <c r="L95" s="21" t="str">
        <f>IF(J95&lt;&gt;"",VLOOKUP(J95,HeadCount!A:I,5,0),"")</f>
        <v/>
      </c>
      <c r="P95" s="19" t="str">
        <f t="shared" si="4"/>
        <v/>
      </c>
    </row>
    <row r="96" spans="1:16" x14ac:dyDescent="0.3">
      <c r="A96" s="19" t="str">
        <f t="shared" si="3"/>
        <v/>
      </c>
      <c r="K96" s="21" t="str">
        <f>IF(J96&lt;&gt;"",VLOOKUP(J96,HeadCount!A:I,2,0),"")</f>
        <v/>
      </c>
      <c r="L96" s="21" t="str">
        <f>IF(J96&lt;&gt;"",VLOOKUP(J96,HeadCount!A:I,5,0),"")</f>
        <v/>
      </c>
      <c r="P96" s="19" t="str">
        <f t="shared" si="4"/>
        <v/>
      </c>
    </row>
    <row r="97" spans="1:16" x14ac:dyDescent="0.3">
      <c r="A97" s="19" t="str">
        <f t="shared" si="3"/>
        <v/>
      </c>
      <c r="K97" s="21" t="str">
        <f>IF(J97&lt;&gt;"",VLOOKUP(J97,HeadCount!A:I,2,0),"")</f>
        <v/>
      </c>
      <c r="L97" s="21" t="str">
        <f>IF(J97&lt;&gt;"",VLOOKUP(J97,HeadCount!A:I,5,0),"")</f>
        <v/>
      </c>
      <c r="P97" s="19" t="str">
        <f t="shared" si="4"/>
        <v/>
      </c>
    </row>
    <row r="98" spans="1:16" x14ac:dyDescent="0.3">
      <c r="A98" s="19" t="str">
        <f t="shared" si="3"/>
        <v/>
      </c>
      <c r="K98" s="21" t="str">
        <f>IF(J98&lt;&gt;"",VLOOKUP(J98,HeadCount!A:I,2,0),"")</f>
        <v/>
      </c>
      <c r="L98" s="21" t="str">
        <f>IF(J98&lt;&gt;"",VLOOKUP(J98,HeadCount!A:I,5,0),"")</f>
        <v/>
      </c>
      <c r="P98" s="19" t="str">
        <f t="shared" si="4"/>
        <v/>
      </c>
    </row>
    <row r="99" spans="1:16" x14ac:dyDescent="0.3">
      <c r="A99" s="19" t="str">
        <f t="shared" si="3"/>
        <v/>
      </c>
      <c r="K99" s="21" t="str">
        <f>IF(J99&lt;&gt;"",VLOOKUP(J99,HeadCount!A:I,2,0),"")</f>
        <v/>
      </c>
      <c r="L99" s="21" t="str">
        <f>IF(J99&lt;&gt;"",VLOOKUP(J99,HeadCount!A:I,5,0),"")</f>
        <v/>
      </c>
      <c r="P99" s="19" t="str">
        <f t="shared" si="4"/>
        <v/>
      </c>
    </row>
    <row r="100" spans="1:16" x14ac:dyDescent="0.3">
      <c r="A100" s="19" t="str">
        <f t="shared" si="3"/>
        <v/>
      </c>
      <c r="K100" s="21" t="str">
        <f>IF(J100&lt;&gt;"",VLOOKUP(J100,HeadCount!A:I,2,0),"")</f>
        <v/>
      </c>
      <c r="L100" s="21" t="str">
        <f>IF(J100&lt;&gt;"",VLOOKUP(J100,HeadCount!A:I,5,0),"")</f>
        <v/>
      </c>
      <c r="P100" s="19" t="str">
        <f t="shared" si="4"/>
        <v/>
      </c>
    </row>
    <row r="101" spans="1:16" x14ac:dyDescent="0.3">
      <c r="A101" s="19" t="str">
        <f t="shared" si="3"/>
        <v/>
      </c>
      <c r="K101" s="21" t="str">
        <f>IF(J101&lt;&gt;"",VLOOKUP(J101,HeadCount!A:I,2,0),"")</f>
        <v/>
      </c>
      <c r="L101" s="21" t="str">
        <f>IF(J101&lt;&gt;"",VLOOKUP(J101,HeadCount!A:I,5,0),"")</f>
        <v/>
      </c>
      <c r="P101" s="19" t="str">
        <f t="shared" si="4"/>
        <v/>
      </c>
    </row>
    <row r="102" spans="1:16" x14ac:dyDescent="0.3">
      <c r="A102" s="19" t="str">
        <f t="shared" si="3"/>
        <v/>
      </c>
      <c r="K102" s="21" t="str">
        <f>IF(J102&lt;&gt;"",VLOOKUP(J102,HeadCount!A:I,2,0),"")</f>
        <v/>
      </c>
      <c r="L102" s="21" t="str">
        <f>IF(J102&lt;&gt;"",VLOOKUP(J102,HeadCount!A:I,5,0),"")</f>
        <v/>
      </c>
      <c r="P102" s="19" t="str">
        <f t="shared" si="4"/>
        <v/>
      </c>
    </row>
    <row r="103" spans="1:16" x14ac:dyDescent="0.3">
      <c r="A103" s="19" t="str">
        <f t="shared" si="3"/>
        <v/>
      </c>
      <c r="K103" s="21" t="str">
        <f>IF(J103&lt;&gt;"",VLOOKUP(J103,HeadCount!A:I,2,0),"")</f>
        <v/>
      </c>
      <c r="L103" s="21" t="str">
        <f>IF(J103&lt;&gt;"",VLOOKUP(J103,HeadCount!A:I,5,0),"")</f>
        <v/>
      </c>
      <c r="P103" s="19" t="str">
        <f t="shared" si="4"/>
        <v/>
      </c>
    </row>
    <row r="104" spans="1:16" x14ac:dyDescent="0.3">
      <c r="A104" s="19" t="str">
        <f t="shared" si="3"/>
        <v/>
      </c>
      <c r="K104" s="21" t="str">
        <f>IF(J104&lt;&gt;"",VLOOKUP(J104,HeadCount!A:I,2,0),"")</f>
        <v/>
      </c>
      <c r="L104" s="21" t="str">
        <f>IF(J104&lt;&gt;"",VLOOKUP(J104,HeadCount!A:I,5,0),"")</f>
        <v/>
      </c>
      <c r="P104" s="19" t="str">
        <f t="shared" si="4"/>
        <v/>
      </c>
    </row>
    <row r="105" spans="1:16" x14ac:dyDescent="0.3">
      <c r="A105" s="19" t="str">
        <f t="shared" si="3"/>
        <v/>
      </c>
      <c r="K105" s="21" t="str">
        <f>IF(J105&lt;&gt;"",VLOOKUP(J105,HeadCount!A:I,2,0),"")</f>
        <v/>
      </c>
      <c r="L105" s="21" t="str">
        <f>IF(J105&lt;&gt;"",VLOOKUP(J105,HeadCount!A:I,5,0),"")</f>
        <v/>
      </c>
      <c r="P105" s="19" t="str">
        <f t="shared" si="4"/>
        <v/>
      </c>
    </row>
    <row r="106" spans="1:16" x14ac:dyDescent="0.3">
      <c r="A106" s="19" t="str">
        <f t="shared" si="3"/>
        <v/>
      </c>
      <c r="K106" s="21" t="str">
        <f>IF(J106&lt;&gt;"",VLOOKUP(J106,HeadCount!A:I,2,0),"")</f>
        <v/>
      </c>
      <c r="L106" s="21" t="str">
        <f>IF(J106&lt;&gt;"",VLOOKUP(J106,HeadCount!A:I,5,0),"")</f>
        <v/>
      </c>
      <c r="P106" s="19" t="str">
        <f t="shared" si="4"/>
        <v/>
      </c>
    </row>
    <row r="107" spans="1:16" x14ac:dyDescent="0.3">
      <c r="A107" s="19" t="str">
        <f t="shared" si="3"/>
        <v/>
      </c>
      <c r="K107" s="21" t="str">
        <f>IF(J107&lt;&gt;"",VLOOKUP(J107,HeadCount!A:I,2,0),"")</f>
        <v/>
      </c>
      <c r="L107" s="21" t="str">
        <f>IF(J107&lt;&gt;"",VLOOKUP(J107,HeadCount!A:I,5,0),"")</f>
        <v/>
      </c>
      <c r="P107" s="19" t="str">
        <f t="shared" si="4"/>
        <v/>
      </c>
    </row>
    <row r="108" spans="1:16" x14ac:dyDescent="0.3">
      <c r="A108" s="19" t="str">
        <f t="shared" si="3"/>
        <v/>
      </c>
      <c r="K108" s="21" t="str">
        <f>IF(J108&lt;&gt;"",VLOOKUP(J108,HeadCount!A:I,2,0),"")</f>
        <v/>
      </c>
      <c r="L108" s="21" t="str">
        <f>IF(J108&lt;&gt;"",VLOOKUP(J108,HeadCount!A:I,5,0),"")</f>
        <v/>
      </c>
      <c r="P108" s="19" t="str">
        <f t="shared" si="4"/>
        <v/>
      </c>
    </row>
    <row r="109" spans="1:16" x14ac:dyDescent="0.3">
      <c r="A109" s="19" t="str">
        <f t="shared" si="3"/>
        <v/>
      </c>
      <c r="K109" s="21" t="str">
        <f>IF(J109&lt;&gt;"",VLOOKUP(J109,HeadCount!A:I,2,0),"")</f>
        <v/>
      </c>
      <c r="L109" s="21" t="str">
        <f>IF(J109&lt;&gt;"",VLOOKUP(J109,HeadCount!A:I,5,0),"")</f>
        <v/>
      </c>
      <c r="P109" s="19" t="str">
        <f t="shared" si="4"/>
        <v/>
      </c>
    </row>
    <row r="110" spans="1:16" x14ac:dyDescent="0.3">
      <c r="A110" s="19" t="str">
        <f t="shared" si="3"/>
        <v/>
      </c>
      <c r="K110" s="21" t="str">
        <f>IF(J110&lt;&gt;"",VLOOKUP(J110,HeadCount!A:I,2,0),"")</f>
        <v/>
      </c>
      <c r="L110" s="21" t="str">
        <f>IF(J110&lt;&gt;"",VLOOKUP(J110,HeadCount!A:I,5,0),"")</f>
        <v/>
      </c>
      <c r="P110" s="19" t="str">
        <f t="shared" si="4"/>
        <v/>
      </c>
    </row>
    <row r="111" spans="1:16" x14ac:dyDescent="0.3">
      <c r="A111" s="19" t="str">
        <f t="shared" si="3"/>
        <v/>
      </c>
      <c r="K111" s="21" t="str">
        <f>IF(J111&lt;&gt;"",VLOOKUP(J111,HeadCount!A:I,2,0),"")</f>
        <v/>
      </c>
      <c r="L111" s="21" t="str">
        <f>IF(J111&lt;&gt;"",VLOOKUP(J111,HeadCount!A:I,5,0),"")</f>
        <v/>
      </c>
      <c r="P111" s="19" t="str">
        <f t="shared" si="4"/>
        <v/>
      </c>
    </row>
    <row r="112" spans="1:16" x14ac:dyDescent="0.3">
      <c r="A112" s="19" t="str">
        <f t="shared" si="3"/>
        <v/>
      </c>
      <c r="K112" s="21" t="str">
        <f>IF(J112&lt;&gt;"",VLOOKUP(J112,HeadCount!A:I,2,0),"")</f>
        <v/>
      </c>
      <c r="L112" s="21" t="str">
        <f>IF(J112&lt;&gt;"",VLOOKUP(J112,HeadCount!A:I,5,0),"")</f>
        <v/>
      </c>
      <c r="P112" s="19" t="str">
        <f t="shared" si="4"/>
        <v/>
      </c>
    </row>
    <row r="113" spans="1:16" x14ac:dyDescent="0.3">
      <c r="A113" s="19" t="str">
        <f t="shared" si="3"/>
        <v/>
      </c>
      <c r="K113" s="21" t="str">
        <f>IF(J113&lt;&gt;"",VLOOKUP(J113,HeadCount!A:I,2,0),"")</f>
        <v/>
      </c>
      <c r="L113" s="21" t="str">
        <f>IF(J113&lt;&gt;"",VLOOKUP(J113,HeadCount!A:I,5,0),"")</f>
        <v/>
      </c>
      <c r="P113" s="19" t="str">
        <f t="shared" si="4"/>
        <v/>
      </c>
    </row>
    <row r="114" spans="1:16" x14ac:dyDescent="0.3">
      <c r="A114" s="19" t="str">
        <f t="shared" si="3"/>
        <v/>
      </c>
      <c r="K114" s="21" t="str">
        <f>IF(J114&lt;&gt;"",VLOOKUP(J114,HeadCount!A:I,2,0),"")</f>
        <v/>
      </c>
      <c r="L114" s="21" t="str">
        <f>IF(J114&lt;&gt;"",VLOOKUP(J114,HeadCount!A:I,5,0),"")</f>
        <v/>
      </c>
      <c r="P114" s="19" t="str">
        <f t="shared" si="4"/>
        <v/>
      </c>
    </row>
    <row r="115" spans="1:16" x14ac:dyDescent="0.3">
      <c r="A115" s="19" t="str">
        <f t="shared" si="3"/>
        <v/>
      </c>
      <c r="K115" s="21" t="str">
        <f>IF(J115&lt;&gt;"",VLOOKUP(J115,HeadCount!A:I,2,0),"")</f>
        <v/>
      </c>
      <c r="L115" s="21" t="str">
        <f>IF(J115&lt;&gt;"",VLOOKUP(J115,HeadCount!A:I,5,0),"")</f>
        <v/>
      </c>
      <c r="P115" s="19" t="str">
        <f t="shared" si="4"/>
        <v/>
      </c>
    </row>
    <row r="116" spans="1:16" x14ac:dyDescent="0.3">
      <c r="A116" s="19" t="str">
        <f t="shared" si="3"/>
        <v/>
      </c>
      <c r="K116" s="21" t="str">
        <f>IF(J116&lt;&gt;"",VLOOKUP(J116,HeadCount!A:I,2,0),"")</f>
        <v/>
      </c>
      <c r="L116" s="21" t="str">
        <f>IF(J116&lt;&gt;"",VLOOKUP(J116,HeadCount!A:I,5,0),"")</f>
        <v/>
      </c>
      <c r="P116" s="19" t="str">
        <f t="shared" si="4"/>
        <v/>
      </c>
    </row>
    <row r="117" spans="1:16" x14ac:dyDescent="0.3">
      <c r="A117" s="19" t="str">
        <f t="shared" si="3"/>
        <v/>
      </c>
      <c r="K117" s="21" t="str">
        <f>IF(J117&lt;&gt;"",VLOOKUP(J117,HeadCount!A:I,2,0),"")</f>
        <v/>
      </c>
      <c r="L117" s="21" t="str">
        <f>IF(J117&lt;&gt;"",VLOOKUP(J117,HeadCount!A:I,5,0),"")</f>
        <v/>
      </c>
      <c r="P117" s="19" t="str">
        <f t="shared" si="4"/>
        <v/>
      </c>
    </row>
    <row r="118" spans="1:16" x14ac:dyDescent="0.3">
      <c r="A118" s="19" t="str">
        <f t="shared" si="3"/>
        <v/>
      </c>
      <c r="K118" s="21" t="str">
        <f>IF(J118&lt;&gt;"",VLOOKUP(J118,HeadCount!A:I,2,0),"")</f>
        <v/>
      </c>
      <c r="L118" s="21" t="str">
        <f>IF(J118&lt;&gt;"",VLOOKUP(J118,HeadCount!A:I,5,0),"")</f>
        <v/>
      </c>
      <c r="P118" s="19" t="str">
        <f t="shared" si="4"/>
        <v/>
      </c>
    </row>
    <row r="119" spans="1:16" x14ac:dyDescent="0.3">
      <c r="A119" s="19" t="str">
        <f t="shared" si="3"/>
        <v/>
      </c>
      <c r="K119" s="21" t="str">
        <f>IF(J119&lt;&gt;"",VLOOKUP(J119,HeadCount!A:I,2,0),"")</f>
        <v/>
      </c>
      <c r="L119" s="21" t="str">
        <f>IF(J119&lt;&gt;"",VLOOKUP(J119,HeadCount!A:I,5,0),"")</f>
        <v/>
      </c>
      <c r="P119" s="19" t="str">
        <f t="shared" si="4"/>
        <v/>
      </c>
    </row>
    <row r="120" spans="1:16" x14ac:dyDescent="0.3">
      <c r="A120" s="19" t="str">
        <f t="shared" si="3"/>
        <v/>
      </c>
      <c r="K120" s="21" t="str">
        <f>IF(J120&lt;&gt;"",VLOOKUP(J120,HeadCount!A:I,2,0),"")</f>
        <v/>
      </c>
      <c r="L120" s="21" t="str">
        <f>IF(J120&lt;&gt;"",VLOOKUP(J120,HeadCount!A:I,5,0),"")</f>
        <v/>
      </c>
      <c r="P120" s="19" t="str">
        <f t="shared" si="4"/>
        <v/>
      </c>
    </row>
    <row r="121" spans="1:16" x14ac:dyDescent="0.3">
      <c r="A121" s="19" t="str">
        <f t="shared" si="3"/>
        <v/>
      </c>
      <c r="K121" s="21" t="str">
        <f>IF(J121&lt;&gt;"",VLOOKUP(J121,HeadCount!A:I,2,0),"")</f>
        <v/>
      </c>
      <c r="L121" s="21" t="str">
        <f>IF(J121&lt;&gt;"",VLOOKUP(J121,HeadCount!A:I,5,0),"")</f>
        <v/>
      </c>
      <c r="P121" s="19" t="str">
        <f t="shared" si="4"/>
        <v/>
      </c>
    </row>
    <row r="122" spans="1:16" x14ac:dyDescent="0.3">
      <c r="A122" s="19" t="str">
        <f t="shared" si="3"/>
        <v/>
      </c>
      <c r="K122" s="21" t="str">
        <f>IF(J122&lt;&gt;"",VLOOKUP(J122,HeadCount!A:I,2,0),"")</f>
        <v/>
      </c>
      <c r="L122" s="21" t="str">
        <f>IF(J122&lt;&gt;"",VLOOKUP(J122,HeadCount!A:I,5,0),"")</f>
        <v/>
      </c>
      <c r="P122" s="19" t="str">
        <f t="shared" si="4"/>
        <v/>
      </c>
    </row>
    <row r="123" spans="1:16" x14ac:dyDescent="0.3">
      <c r="A123" s="19" t="str">
        <f t="shared" si="3"/>
        <v/>
      </c>
      <c r="K123" s="21" t="str">
        <f>IF(J123&lt;&gt;"",VLOOKUP(J123,HeadCount!A:I,2,0),"")</f>
        <v/>
      </c>
      <c r="L123" s="21" t="str">
        <f>IF(J123&lt;&gt;"",VLOOKUP(J123,HeadCount!A:I,5,0),"")</f>
        <v/>
      </c>
      <c r="P123" s="19" t="str">
        <f t="shared" si="4"/>
        <v/>
      </c>
    </row>
    <row r="124" spans="1:16" x14ac:dyDescent="0.3">
      <c r="A124" s="19" t="str">
        <f t="shared" si="3"/>
        <v/>
      </c>
      <c r="K124" s="21" t="str">
        <f>IF(J124&lt;&gt;"",VLOOKUP(J124,HeadCount!A:I,2,0),"")</f>
        <v/>
      </c>
      <c r="L124" s="21" t="str">
        <f>IF(J124&lt;&gt;"",VLOOKUP(J124,HeadCount!A:I,5,0),"")</f>
        <v/>
      </c>
      <c r="P124" s="19" t="str">
        <f t="shared" si="4"/>
        <v/>
      </c>
    </row>
    <row r="125" spans="1:16" x14ac:dyDescent="0.3">
      <c r="A125" s="19" t="str">
        <f t="shared" si="3"/>
        <v/>
      </c>
      <c r="K125" s="21" t="str">
        <f>IF(J125&lt;&gt;"",VLOOKUP(J125,HeadCount!A:I,2,0),"")</f>
        <v/>
      </c>
      <c r="L125" s="21" t="str">
        <f>IF(J125&lt;&gt;"",VLOOKUP(J125,HeadCount!A:I,5,0),"")</f>
        <v/>
      </c>
      <c r="P125" s="19" t="str">
        <f t="shared" si="4"/>
        <v/>
      </c>
    </row>
    <row r="126" spans="1:16" x14ac:dyDescent="0.3">
      <c r="A126" s="19" t="str">
        <f t="shared" si="3"/>
        <v/>
      </c>
      <c r="K126" s="21" t="str">
        <f>IF(J126&lt;&gt;"",VLOOKUP(J126,HeadCount!A:I,2,0),"")</f>
        <v/>
      </c>
      <c r="L126" s="21" t="str">
        <f>IF(J126&lt;&gt;"",VLOOKUP(J126,HeadCount!A:I,5,0),"")</f>
        <v/>
      </c>
      <c r="P126" s="19" t="str">
        <f t="shared" si="4"/>
        <v/>
      </c>
    </row>
    <row r="127" spans="1:16" x14ac:dyDescent="0.3">
      <c r="A127" s="19" t="str">
        <f t="shared" si="3"/>
        <v/>
      </c>
      <c r="K127" s="21" t="str">
        <f>IF(J127&lt;&gt;"",VLOOKUP(J127,HeadCount!A:I,2,0),"")</f>
        <v/>
      </c>
      <c r="L127" s="21" t="str">
        <f>IF(J127&lt;&gt;"",VLOOKUP(J127,HeadCount!A:I,5,0),"")</f>
        <v/>
      </c>
      <c r="P127" s="19" t="str">
        <f t="shared" si="4"/>
        <v/>
      </c>
    </row>
    <row r="128" spans="1:16" x14ac:dyDescent="0.3">
      <c r="A128" s="19" t="str">
        <f t="shared" si="3"/>
        <v/>
      </c>
      <c r="K128" s="21" t="str">
        <f>IF(J128&lt;&gt;"",VLOOKUP(J128,HeadCount!A:I,2,0),"")</f>
        <v/>
      </c>
      <c r="L128" s="21" t="str">
        <f>IF(J128&lt;&gt;"",VLOOKUP(J128,HeadCount!A:I,5,0),"")</f>
        <v/>
      </c>
      <c r="P128" s="19" t="str">
        <f t="shared" si="4"/>
        <v/>
      </c>
    </row>
    <row r="129" spans="1:16" x14ac:dyDescent="0.3">
      <c r="A129" s="19" t="str">
        <f t="shared" si="3"/>
        <v/>
      </c>
      <c r="K129" s="21" t="str">
        <f>IF(J129&lt;&gt;"",VLOOKUP(J129,HeadCount!A:I,2,0),"")</f>
        <v/>
      </c>
      <c r="L129" s="21" t="str">
        <f>IF(J129&lt;&gt;"",VLOOKUP(J129,HeadCount!A:I,5,0),"")</f>
        <v/>
      </c>
      <c r="P129" s="19" t="str">
        <f t="shared" si="4"/>
        <v/>
      </c>
    </row>
    <row r="130" spans="1:16" x14ac:dyDescent="0.3">
      <c r="A130" s="19" t="str">
        <f t="shared" ref="A130:A193" si="5">IF(C130&lt;&gt;"",ROW(A129),"")</f>
        <v/>
      </c>
      <c r="K130" s="21" t="str">
        <f>IF(J130&lt;&gt;"",VLOOKUP(J130,HeadCount!A:I,2,0),"")</f>
        <v/>
      </c>
      <c r="L130" s="21" t="str">
        <f>IF(J130&lt;&gt;"",VLOOKUP(J130,HeadCount!A:I,5,0),"")</f>
        <v/>
      </c>
      <c r="P130" s="19" t="str">
        <f t="shared" si="4"/>
        <v/>
      </c>
    </row>
    <row r="131" spans="1:16" x14ac:dyDescent="0.3">
      <c r="A131" s="19" t="str">
        <f t="shared" si="5"/>
        <v/>
      </c>
      <c r="K131" s="21" t="str">
        <f>IF(J131&lt;&gt;"",VLOOKUP(J131,HeadCount!A:I,2,0),"")</f>
        <v/>
      </c>
      <c r="L131" s="21" t="str">
        <f>IF(J131&lt;&gt;"",VLOOKUP(J131,HeadCount!A:I,5,0),"")</f>
        <v/>
      </c>
      <c r="P131" s="19" t="str">
        <f t="shared" ref="P131:P194" si="6">IF(N131="","",(O131-N131)+1)</f>
        <v/>
      </c>
    </row>
    <row r="132" spans="1:16" x14ac:dyDescent="0.3">
      <c r="A132" s="19" t="str">
        <f t="shared" si="5"/>
        <v/>
      </c>
      <c r="K132" s="21" t="str">
        <f>IF(J132&lt;&gt;"",VLOOKUP(J132,HeadCount!A:I,2,0),"")</f>
        <v/>
      </c>
      <c r="L132" s="21" t="str">
        <f>IF(J132&lt;&gt;"",VLOOKUP(J132,HeadCount!A:I,5,0),"")</f>
        <v/>
      </c>
      <c r="P132" s="19" t="str">
        <f t="shared" si="6"/>
        <v/>
      </c>
    </row>
    <row r="133" spans="1:16" x14ac:dyDescent="0.3">
      <c r="A133" s="19" t="str">
        <f t="shared" si="5"/>
        <v/>
      </c>
      <c r="K133" s="21" t="str">
        <f>IF(J133&lt;&gt;"",VLOOKUP(J133,HeadCount!A:I,2,0),"")</f>
        <v/>
      </c>
      <c r="L133" s="21" t="str">
        <f>IF(J133&lt;&gt;"",VLOOKUP(J133,HeadCount!A:I,5,0),"")</f>
        <v/>
      </c>
      <c r="P133" s="19" t="str">
        <f t="shared" si="6"/>
        <v/>
      </c>
    </row>
    <row r="134" spans="1:16" x14ac:dyDescent="0.3">
      <c r="A134" s="19" t="str">
        <f t="shared" si="5"/>
        <v/>
      </c>
      <c r="K134" s="21" t="str">
        <f>IF(J134&lt;&gt;"",VLOOKUP(J134,HeadCount!A:I,2,0),"")</f>
        <v/>
      </c>
      <c r="L134" s="21" t="str">
        <f>IF(J134&lt;&gt;"",VLOOKUP(J134,HeadCount!A:I,5,0),"")</f>
        <v/>
      </c>
      <c r="P134" s="19" t="str">
        <f t="shared" si="6"/>
        <v/>
      </c>
    </row>
    <row r="135" spans="1:16" x14ac:dyDescent="0.3">
      <c r="A135" s="19" t="str">
        <f t="shared" si="5"/>
        <v/>
      </c>
      <c r="K135" s="21" t="str">
        <f>IF(J135&lt;&gt;"",VLOOKUP(J135,HeadCount!A:I,2,0),"")</f>
        <v/>
      </c>
      <c r="L135" s="21" t="str">
        <f>IF(J135&lt;&gt;"",VLOOKUP(J135,HeadCount!A:I,5,0),"")</f>
        <v/>
      </c>
      <c r="P135" s="19" t="str">
        <f t="shared" si="6"/>
        <v/>
      </c>
    </row>
    <row r="136" spans="1:16" x14ac:dyDescent="0.3">
      <c r="A136" s="19" t="str">
        <f t="shared" si="5"/>
        <v/>
      </c>
      <c r="K136" s="21" t="str">
        <f>IF(J136&lt;&gt;"",VLOOKUP(J136,HeadCount!A:I,2,0),"")</f>
        <v/>
      </c>
      <c r="L136" s="21" t="str">
        <f>IF(J136&lt;&gt;"",VLOOKUP(J136,HeadCount!A:I,5,0),"")</f>
        <v/>
      </c>
      <c r="P136" s="19" t="str">
        <f t="shared" si="6"/>
        <v/>
      </c>
    </row>
    <row r="137" spans="1:16" x14ac:dyDescent="0.3">
      <c r="A137" s="19" t="str">
        <f t="shared" si="5"/>
        <v/>
      </c>
      <c r="K137" s="21" t="str">
        <f>IF(J137&lt;&gt;"",VLOOKUP(J137,HeadCount!A:I,2,0),"")</f>
        <v/>
      </c>
      <c r="L137" s="21" t="str">
        <f>IF(J137&lt;&gt;"",VLOOKUP(J137,HeadCount!A:I,5,0),"")</f>
        <v/>
      </c>
      <c r="P137" s="19" t="str">
        <f t="shared" si="6"/>
        <v/>
      </c>
    </row>
    <row r="138" spans="1:16" x14ac:dyDescent="0.3">
      <c r="A138" s="19" t="str">
        <f t="shared" si="5"/>
        <v/>
      </c>
      <c r="K138" s="21" t="str">
        <f>IF(J138&lt;&gt;"",VLOOKUP(J138,HeadCount!A:I,2,0),"")</f>
        <v/>
      </c>
      <c r="L138" s="21" t="str">
        <f>IF(J138&lt;&gt;"",VLOOKUP(J138,HeadCount!A:I,5,0),"")</f>
        <v/>
      </c>
      <c r="P138" s="19" t="str">
        <f t="shared" si="6"/>
        <v/>
      </c>
    </row>
    <row r="139" spans="1:16" x14ac:dyDescent="0.3">
      <c r="A139" s="19" t="str">
        <f t="shared" si="5"/>
        <v/>
      </c>
      <c r="K139" s="21" t="str">
        <f>IF(J139&lt;&gt;"",VLOOKUP(J139,HeadCount!A:I,2,0),"")</f>
        <v/>
      </c>
      <c r="L139" s="21" t="str">
        <f>IF(J139&lt;&gt;"",VLOOKUP(J139,HeadCount!A:I,5,0),"")</f>
        <v/>
      </c>
      <c r="P139" s="19" t="str">
        <f t="shared" si="6"/>
        <v/>
      </c>
    </row>
    <row r="140" spans="1:16" x14ac:dyDescent="0.3">
      <c r="A140" s="19" t="str">
        <f t="shared" si="5"/>
        <v/>
      </c>
      <c r="K140" s="21" t="str">
        <f>IF(J140&lt;&gt;"",VLOOKUP(J140,HeadCount!A:I,2,0),"")</f>
        <v/>
      </c>
      <c r="L140" s="21" t="str">
        <f>IF(J140&lt;&gt;"",VLOOKUP(J140,HeadCount!A:I,5,0),"")</f>
        <v/>
      </c>
      <c r="P140" s="19" t="str">
        <f t="shared" si="6"/>
        <v/>
      </c>
    </row>
    <row r="141" spans="1:16" x14ac:dyDescent="0.3">
      <c r="A141" s="19" t="str">
        <f t="shared" si="5"/>
        <v/>
      </c>
      <c r="K141" s="21" t="str">
        <f>IF(J141&lt;&gt;"",VLOOKUP(J141,HeadCount!A:I,2,0),"")</f>
        <v/>
      </c>
      <c r="L141" s="21" t="str">
        <f>IF(J141&lt;&gt;"",VLOOKUP(J141,HeadCount!A:I,5,0),"")</f>
        <v/>
      </c>
      <c r="P141" s="19" t="str">
        <f t="shared" si="6"/>
        <v/>
      </c>
    </row>
    <row r="142" spans="1:16" x14ac:dyDescent="0.3">
      <c r="A142" s="19" t="str">
        <f t="shared" si="5"/>
        <v/>
      </c>
      <c r="K142" s="21" t="str">
        <f>IF(J142&lt;&gt;"",VLOOKUP(J142,HeadCount!A:I,2,0),"")</f>
        <v/>
      </c>
      <c r="L142" s="21" t="str">
        <f>IF(J142&lt;&gt;"",VLOOKUP(J142,HeadCount!A:I,5,0),"")</f>
        <v/>
      </c>
      <c r="P142" s="19" t="str">
        <f t="shared" si="6"/>
        <v/>
      </c>
    </row>
    <row r="143" spans="1:16" x14ac:dyDescent="0.3">
      <c r="A143" s="19" t="str">
        <f t="shared" si="5"/>
        <v/>
      </c>
      <c r="K143" s="21" t="str">
        <f>IF(J143&lt;&gt;"",VLOOKUP(J143,HeadCount!A:I,2,0),"")</f>
        <v/>
      </c>
      <c r="L143" s="21" t="str">
        <f>IF(J143&lt;&gt;"",VLOOKUP(J143,HeadCount!A:I,5,0),"")</f>
        <v/>
      </c>
      <c r="P143" s="19" t="str">
        <f t="shared" si="6"/>
        <v/>
      </c>
    </row>
    <row r="144" spans="1:16" x14ac:dyDescent="0.3">
      <c r="A144" s="19" t="str">
        <f t="shared" si="5"/>
        <v/>
      </c>
      <c r="K144" s="21" t="str">
        <f>IF(J144&lt;&gt;"",VLOOKUP(J144,HeadCount!A:I,2,0),"")</f>
        <v/>
      </c>
      <c r="L144" s="21" t="str">
        <f>IF(J144&lt;&gt;"",VLOOKUP(J144,HeadCount!A:I,5,0),"")</f>
        <v/>
      </c>
      <c r="P144" s="19" t="str">
        <f t="shared" si="6"/>
        <v/>
      </c>
    </row>
    <row r="145" spans="1:16" x14ac:dyDescent="0.3">
      <c r="A145" s="19" t="str">
        <f t="shared" si="5"/>
        <v/>
      </c>
      <c r="K145" s="21" t="str">
        <f>IF(J145&lt;&gt;"",VLOOKUP(J145,HeadCount!A:I,2,0),"")</f>
        <v/>
      </c>
      <c r="L145" s="21" t="str">
        <f>IF(J145&lt;&gt;"",VLOOKUP(J145,HeadCount!A:I,5,0),"")</f>
        <v/>
      </c>
      <c r="P145" s="19" t="str">
        <f t="shared" si="6"/>
        <v/>
      </c>
    </row>
    <row r="146" spans="1:16" x14ac:dyDescent="0.3">
      <c r="A146" s="19" t="str">
        <f t="shared" si="5"/>
        <v/>
      </c>
      <c r="K146" s="21" t="str">
        <f>IF(J146&lt;&gt;"",VLOOKUP(J146,HeadCount!A:I,2,0),"")</f>
        <v/>
      </c>
      <c r="L146" s="21" t="str">
        <f>IF(J146&lt;&gt;"",VLOOKUP(J146,HeadCount!A:I,5,0),"")</f>
        <v/>
      </c>
      <c r="P146" s="19" t="str">
        <f t="shared" si="6"/>
        <v/>
      </c>
    </row>
    <row r="147" spans="1:16" x14ac:dyDescent="0.3">
      <c r="A147" s="19" t="str">
        <f t="shared" si="5"/>
        <v/>
      </c>
      <c r="K147" s="21" t="str">
        <f>IF(J147&lt;&gt;"",VLOOKUP(J147,HeadCount!A:I,2,0),"")</f>
        <v/>
      </c>
      <c r="L147" s="21" t="str">
        <f>IF(J147&lt;&gt;"",VLOOKUP(J147,HeadCount!A:I,5,0),"")</f>
        <v/>
      </c>
      <c r="P147" s="19" t="str">
        <f t="shared" si="6"/>
        <v/>
      </c>
    </row>
    <row r="148" spans="1:16" x14ac:dyDescent="0.3">
      <c r="A148" s="19" t="str">
        <f t="shared" si="5"/>
        <v/>
      </c>
      <c r="K148" s="21" t="str">
        <f>IF(J148&lt;&gt;"",VLOOKUP(J148,HeadCount!A:I,2,0),"")</f>
        <v/>
      </c>
      <c r="L148" s="21" t="str">
        <f>IF(J148&lt;&gt;"",VLOOKUP(J148,HeadCount!A:I,5,0),"")</f>
        <v/>
      </c>
      <c r="P148" s="19" t="str">
        <f t="shared" si="6"/>
        <v/>
      </c>
    </row>
    <row r="149" spans="1:16" x14ac:dyDescent="0.3">
      <c r="A149" s="19" t="str">
        <f t="shared" si="5"/>
        <v/>
      </c>
      <c r="K149" s="21" t="str">
        <f>IF(J149&lt;&gt;"",VLOOKUP(J149,HeadCount!A:I,2,0),"")</f>
        <v/>
      </c>
      <c r="L149" s="21" t="str">
        <f>IF(J149&lt;&gt;"",VLOOKUP(J149,HeadCount!A:I,5,0),"")</f>
        <v/>
      </c>
      <c r="P149" s="19" t="str">
        <f t="shared" si="6"/>
        <v/>
      </c>
    </row>
    <row r="150" spans="1:16" x14ac:dyDescent="0.3">
      <c r="A150" s="19" t="str">
        <f t="shared" si="5"/>
        <v/>
      </c>
      <c r="K150" s="21" t="str">
        <f>IF(J150&lt;&gt;"",VLOOKUP(J150,HeadCount!A:I,2,0),"")</f>
        <v/>
      </c>
      <c r="L150" s="21" t="str">
        <f>IF(J150&lt;&gt;"",VLOOKUP(J150,HeadCount!A:I,5,0),"")</f>
        <v/>
      </c>
      <c r="P150" s="19" t="str">
        <f t="shared" si="6"/>
        <v/>
      </c>
    </row>
    <row r="151" spans="1:16" x14ac:dyDescent="0.3">
      <c r="A151" s="19" t="str">
        <f t="shared" si="5"/>
        <v/>
      </c>
      <c r="K151" s="21" t="str">
        <f>IF(J151&lt;&gt;"",VLOOKUP(J151,HeadCount!A:I,2,0),"")</f>
        <v/>
      </c>
      <c r="L151" s="21" t="str">
        <f>IF(J151&lt;&gt;"",VLOOKUP(J151,HeadCount!A:I,5,0),"")</f>
        <v/>
      </c>
      <c r="P151" s="19" t="str">
        <f t="shared" si="6"/>
        <v/>
      </c>
    </row>
    <row r="152" spans="1:16" x14ac:dyDescent="0.3">
      <c r="A152" s="19" t="str">
        <f t="shared" si="5"/>
        <v/>
      </c>
      <c r="K152" s="21" t="str">
        <f>IF(J152&lt;&gt;"",VLOOKUP(J152,HeadCount!A:I,2,0),"")</f>
        <v/>
      </c>
      <c r="L152" s="21" t="str">
        <f>IF(J152&lt;&gt;"",VLOOKUP(J152,HeadCount!A:I,5,0),"")</f>
        <v/>
      </c>
      <c r="P152" s="19" t="str">
        <f t="shared" si="6"/>
        <v/>
      </c>
    </row>
    <row r="153" spans="1:16" x14ac:dyDescent="0.3">
      <c r="A153" s="19" t="str">
        <f t="shared" si="5"/>
        <v/>
      </c>
      <c r="K153" s="21" t="str">
        <f>IF(J153&lt;&gt;"",VLOOKUP(J153,HeadCount!A:I,2,0),"")</f>
        <v/>
      </c>
      <c r="L153" s="21" t="str">
        <f>IF(J153&lt;&gt;"",VLOOKUP(J153,HeadCount!A:I,5,0),"")</f>
        <v/>
      </c>
      <c r="P153" s="19" t="str">
        <f t="shared" si="6"/>
        <v/>
      </c>
    </row>
    <row r="154" spans="1:16" x14ac:dyDescent="0.3">
      <c r="A154" s="19" t="str">
        <f t="shared" si="5"/>
        <v/>
      </c>
      <c r="K154" s="21" t="str">
        <f>IF(J154&lt;&gt;"",VLOOKUP(J154,HeadCount!A:I,2,0),"")</f>
        <v/>
      </c>
      <c r="L154" s="21" t="str">
        <f>IF(J154&lt;&gt;"",VLOOKUP(J154,HeadCount!A:I,5,0),"")</f>
        <v/>
      </c>
      <c r="P154" s="19" t="str">
        <f t="shared" si="6"/>
        <v/>
      </c>
    </row>
    <row r="155" spans="1:16" x14ac:dyDescent="0.3">
      <c r="A155" s="19" t="str">
        <f t="shared" si="5"/>
        <v/>
      </c>
      <c r="K155" s="21" t="str">
        <f>IF(J155&lt;&gt;"",VLOOKUP(J155,HeadCount!A:I,2,0),"")</f>
        <v/>
      </c>
      <c r="L155" s="21" t="str">
        <f>IF(J155&lt;&gt;"",VLOOKUP(J155,HeadCount!A:I,5,0),"")</f>
        <v/>
      </c>
      <c r="P155" s="19" t="str">
        <f t="shared" si="6"/>
        <v/>
      </c>
    </row>
    <row r="156" spans="1:16" x14ac:dyDescent="0.3">
      <c r="A156" s="19" t="str">
        <f t="shared" si="5"/>
        <v/>
      </c>
      <c r="K156" s="21" t="str">
        <f>IF(J156&lt;&gt;"",VLOOKUP(J156,HeadCount!A:I,2,0),"")</f>
        <v/>
      </c>
      <c r="L156" s="21" t="str">
        <f>IF(J156&lt;&gt;"",VLOOKUP(J156,HeadCount!A:I,5,0),"")</f>
        <v/>
      </c>
      <c r="P156" s="19" t="str">
        <f t="shared" si="6"/>
        <v/>
      </c>
    </row>
    <row r="157" spans="1:16" x14ac:dyDescent="0.3">
      <c r="A157" s="19" t="str">
        <f t="shared" si="5"/>
        <v/>
      </c>
      <c r="K157" s="21" t="str">
        <f>IF(J157&lt;&gt;"",VLOOKUP(J157,HeadCount!A:I,2,0),"")</f>
        <v/>
      </c>
      <c r="L157" s="21" t="str">
        <f>IF(J157&lt;&gt;"",VLOOKUP(J157,HeadCount!A:I,5,0),"")</f>
        <v/>
      </c>
      <c r="P157" s="19" t="str">
        <f t="shared" si="6"/>
        <v/>
      </c>
    </row>
    <row r="158" spans="1:16" x14ac:dyDescent="0.3">
      <c r="A158" s="19" t="str">
        <f t="shared" si="5"/>
        <v/>
      </c>
      <c r="K158" s="21" t="str">
        <f>IF(J158&lt;&gt;"",VLOOKUP(J158,HeadCount!A:I,2,0),"")</f>
        <v/>
      </c>
      <c r="L158" s="21" t="str">
        <f>IF(J158&lt;&gt;"",VLOOKUP(J158,HeadCount!A:I,5,0),"")</f>
        <v/>
      </c>
      <c r="P158" s="19" t="str">
        <f t="shared" si="6"/>
        <v/>
      </c>
    </row>
    <row r="159" spans="1:16" x14ac:dyDescent="0.3">
      <c r="A159" s="19" t="str">
        <f t="shared" si="5"/>
        <v/>
      </c>
      <c r="K159" s="21" t="str">
        <f>IF(J159&lt;&gt;"",VLOOKUP(J159,HeadCount!A:I,2,0),"")</f>
        <v/>
      </c>
      <c r="L159" s="21" t="str">
        <f>IF(J159&lt;&gt;"",VLOOKUP(J159,HeadCount!A:I,5,0),"")</f>
        <v/>
      </c>
      <c r="P159" s="19" t="str">
        <f t="shared" si="6"/>
        <v/>
      </c>
    </row>
    <row r="160" spans="1:16" x14ac:dyDescent="0.3">
      <c r="A160" s="19" t="str">
        <f t="shared" si="5"/>
        <v/>
      </c>
      <c r="K160" s="21" t="str">
        <f>IF(J160&lt;&gt;"",VLOOKUP(J160,HeadCount!A:I,2,0),"")</f>
        <v/>
      </c>
      <c r="L160" s="21" t="str">
        <f>IF(J160&lt;&gt;"",VLOOKUP(J160,HeadCount!A:I,5,0),"")</f>
        <v/>
      </c>
      <c r="P160" s="19" t="str">
        <f t="shared" si="6"/>
        <v/>
      </c>
    </row>
    <row r="161" spans="1:16" x14ac:dyDescent="0.3">
      <c r="A161" s="19" t="str">
        <f t="shared" si="5"/>
        <v/>
      </c>
      <c r="K161" s="21" t="str">
        <f>IF(J161&lt;&gt;"",VLOOKUP(J161,HeadCount!A:I,2,0),"")</f>
        <v/>
      </c>
      <c r="L161" s="21" t="str">
        <f>IF(J161&lt;&gt;"",VLOOKUP(J161,HeadCount!A:I,5,0),"")</f>
        <v/>
      </c>
      <c r="P161" s="19" t="str">
        <f t="shared" si="6"/>
        <v/>
      </c>
    </row>
    <row r="162" spans="1:16" x14ac:dyDescent="0.3">
      <c r="A162" s="19" t="str">
        <f t="shared" si="5"/>
        <v/>
      </c>
      <c r="K162" s="21" t="str">
        <f>IF(J162&lt;&gt;"",VLOOKUP(J162,HeadCount!A:I,2,0),"")</f>
        <v/>
      </c>
      <c r="L162" s="21" t="str">
        <f>IF(J162&lt;&gt;"",VLOOKUP(J162,HeadCount!A:I,5,0),"")</f>
        <v/>
      </c>
      <c r="P162" s="19" t="str">
        <f t="shared" si="6"/>
        <v/>
      </c>
    </row>
    <row r="163" spans="1:16" x14ac:dyDescent="0.3">
      <c r="A163" s="19" t="str">
        <f t="shared" si="5"/>
        <v/>
      </c>
      <c r="K163" s="21" t="str">
        <f>IF(J163&lt;&gt;"",VLOOKUP(J163,HeadCount!A:I,2,0),"")</f>
        <v/>
      </c>
      <c r="L163" s="21" t="str">
        <f>IF(J163&lt;&gt;"",VLOOKUP(J163,HeadCount!A:I,5,0),"")</f>
        <v/>
      </c>
      <c r="P163" s="19" t="str">
        <f t="shared" si="6"/>
        <v/>
      </c>
    </row>
    <row r="164" spans="1:16" x14ac:dyDescent="0.3">
      <c r="A164" s="19" t="str">
        <f t="shared" si="5"/>
        <v/>
      </c>
      <c r="K164" s="21" t="str">
        <f>IF(J164&lt;&gt;"",VLOOKUP(J164,HeadCount!A:I,2,0),"")</f>
        <v/>
      </c>
      <c r="L164" s="21" t="str">
        <f>IF(J164&lt;&gt;"",VLOOKUP(J164,HeadCount!A:I,5,0),"")</f>
        <v/>
      </c>
      <c r="P164" s="19" t="str">
        <f t="shared" si="6"/>
        <v/>
      </c>
    </row>
    <row r="165" spans="1:16" x14ac:dyDescent="0.3">
      <c r="A165" s="19" t="str">
        <f t="shared" si="5"/>
        <v/>
      </c>
      <c r="K165" s="21" t="str">
        <f>IF(J165&lt;&gt;"",VLOOKUP(J165,HeadCount!A:I,2,0),"")</f>
        <v/>
      </c>
      <c r="L165" s="21" t="str">
        <f>IF(J165&lt;&gt;"",VLOOKUP(J165,HeadCount!A:I,5,0),"")</f>
        <v/>
      </c>
      <c r="P165" s="19" t="str">
        <f t="shared" si="6"/>
        <v/>
      </c>
    </row>
    <row r="166" spans="1:16" x14ac:dyDescent="0.3">
      <c r="A166" s="19" t="str">
        <f t="shared" si="5"/>
        <v/>
      </c>
      <c r="K166" s="21" t="str">
        <f>IF(J166&lt;&gt;"",VLOOKUP(J166,HeadCount!A:I,2,0),"")</f>
        <v/>
      </c>
      <c r="L166" s="21" t="str">
        <f>IF(J166&lt;&gt;"",VLOOKUP(J166,HeadCount!A:I,5,0),"")</f>
        <v/>
      </c>
      <c r="P166" s="19" t="str">
        <f t="shared" si="6"/>
        <v/>
      </c>
    </row>
    <row r="167" spans="1:16" x14ac:dyDescent="0.3">
      <c r="A167" s="19" t="str">
        <f t="shared" si="5"/>
        <v/>
      </c>
      <c r="K167" s="21" t="str">
        <f>IF(J167&lt;&gt;"",VLOOKUP(J167,HeadCount!A:I,2,0),"")</f>
        <v/>
      </c>
      <c r="L167" s="21" t="str">
        <f>IF(J167&lt;&gt;"",VLOOKUP(J167,HeadCount!A:I,5,0),"")</f>
        <v/>
      </c>
      <c r="P167" s="19" t="str">
        <f t="shared" si="6"/>
        <v/>
      </c>
    </row>
    <row r="168" spans="1:16" x14ac:dyDescent="0.3">
      <c r="A168" s="19" t="str">
        <f t="shared" si="5"/>
        <v/>
      </c>
      <c r="K168" s="21" t="str">
        <f>IF(J168&lt;&gt;"",VLOOKUP(J168,HeadCount!A:I,2,0),"")</f>
        <v/>
      </c>
      <c r="L168" s="21" t="str">
        <f>IF(J168&lt;&gt;"",VLOOKUP(J168,HeadCount!A:I,5,0),"")</f>
        <v/>
      </c>
      <c r="P168" s="19" t="str">
        <f t="shared" si="6"/>
        <v/>
      </c>
    </row>
    <row r="169" spans="1:16" x14ac:dyDescent="0.3">
      <c r="A169" s="19" t="str">
        <f t="shared" si="5"/>
        <v/>
      </c>
      <c r="K169" s="21" t="str">
        <f>IF(J169&lt;&gt;"",VLOOKUP(J169,HeadCount!A:I,2,0),"")</f>
        <v/>
      </c>
      <c r="L169" s="21" t="str">
        <f>IF(J169&lt;&gt;"",VLOOKUP(J169,HeadCount!A:I,5,0),"")</f>
        <v/>
      </c>
      <c r="P169" s="19" t="str">
        <f t="shared" si="6"/>
        <v/>
      </c>
    </row>
    <row r="170" spans="1:16" x14ac:dyDescent="0.3">
      <c r="A170" s="19" t="str">
        <f t="shared" si="5"/>
        <v/>
      </c>
      <c r="K170" s="21" t="str">
        <f>IF(J170&lt;&gt;"",VLOOKUP(J170,HeadCount!A:I,2,0),"")</f>
        <v/>
      </c>
      <c r="L170" s="21" t="str">
        <f>IF(J170&lt;&gt;"",VLOOKUP(J170,HeadCount!A:I,5,0),"")</f>
        <v/>
      </c>
      <c r="P170" s="19" t="str">
        <f t="shared" si="6"/>
        <v/>
      </c>
    </row>
    <row r="171" spans="1:16" x14ac:dyDescent="0.3">
      <c r="A171" s="19" t="str">
        <f t="shared" si="5"/>
        <v/>
      </c>
      <c r="K171" s="21" t="str">
        <f>IF(J171&lt;&gt;"",VLOOKUP(J171,HeadCount!A:I,2,0),"")</f>
        <v/>
      </c>
      <c r="L171" s="21" t="str">
        <f>IF(J171&lt;&gt;"",VLOOKUP(J171,HeadCount!A:I,5,0),"")</f>
        <v/>
      </c>
      <c r="P171" s="19" t="str">
        <f t="shared" si="6"/>
        <v/>
      </c>
    </row>
    <row r="172" spans="1:16" x14ac:dyDescent="0.3">
      <c r="A172" s="19" t="str">
        <f t="shared" si="5"/>
        <v/>
      </c>
      <c r="K172" s="21" t="str">
        <f>IF(J172&lt;&gt;"",VLOOKUP(J172,HeadCount!A:I,2,0),"")</f>
        <v/>
      </c>
      <c r="L172" s="21" t="str">
        <f>IF(J172&lt;&gt;"",VLOOKUP(J172,HeadCount!A:I,5,0),"")</f>
        <v/>
      </c>
      <c r="P172" s="19" t="str">
        <f t="shared" si="6"/>
        <v/>
      </c>
    </row>
    <row r="173" spans="1:16" x14ac:dyDescent="0.3">
      <c r="A173" s="19" t="str">
        <f t="shared" si="5"/>
        <v/>
      </c>
      <c r="K173" s="21" t="str">
        <f>IF(J173&lt;&gt;"",VLOOKUP(J173,HeadCount!A:I,2,0),"")</f>
        <v/>
      </c>
      <c r="L173" s="21" t="str">
        <f>IF(J173&lt;&gt;"",VLOOKUP(J173,HeadCount!A:I,5,0),"")</f>
        <v/>
      </c>
      <c r="P173" s="19" t="str">
        <f t="shared" si="6"/>
        <v/>
      </c>
    </row>
    <row r="174" spans="1:16" x14ac:dyDescent="0.3">
      <c r="A174" s="19" t="str">
        <f t="shared" si="5"/>
        <v/>
      </c>
      <c r="K174" s="21" t="str">
        <f>IF(J174&lt;&gt;"",VLOOKUP(J174,HeadCount!A:I,2,0),"")</f>
        <v/>
      </c>
      <c r="L174" s="21" t="str">
        <f>IF(J174&lt;&gt;"",VLOOKUP(J174,HeadCount!A:I,5,0),"")</f>
        <v/>
      </c>
      <c r="P174" s="19" t="str">
        <f t="shared" si="6"/>
        <v/>
      </c>
    </row>
    <row r="175" spans="1:16" x14ac:dyDescent="0.3">
      <c r="A175" s="19" t="str">
        <f t="shared" si="5"/>
        <v/>
      </c>
      <c r="K175" s="21" t="str">
        <f>IF(J175&lt;&gt;"",VLOOKUP(J175,HeadCount!A:I,2,0),"")</f>
        <v/>
      </c>
      <c r="L175" s="21" t="str">
        <f>IF(J175&lt;&gt;"",VLOOKUP(J175,HeadCount!A:I,5,0),"")</f>
        <v/>
      </c>
      <c r="P175" s="19" t="str">
        <f t="shared" si="6"/>
        <v/>
      </c>
    </row>
    <row r="176" spans="1:16" x14ac:dyDescent="0.3">
      <c r="A176" s="19" t="str">
        <f t="shared" si="5"/>
        <v/>
      </c>
      <c r="K176" s="21" t="str">
        <f>IF(J176&lt;&gt;"",VLOOKUP(J176,HeadCount!A:I,2,0),"")</f>
        <v/>
      </c>
      <c r="L176" s="21" t="str">
        <f>IF(J176&lt;&gt;"",VLOOKUP(J176,HeadCount!A:I,5,0),"")</f>
        <v/>
      </c>
      <c r="P176" s="19" t="str">
        <f t="shared" si="6"/>
        <v/>
      </c>
    </row>
    <row r="177" spans="1:16" x14ac:dyDescent="0.3">
      <c r="A177" s="19" t="str">
        <f t="shared" si="5"/>
        <v/>
      </c>
      <c r="K177" s="21" t="str">
        <f>IF(J177&lt;&gt;"",VLOOKUP(J177,HeadCount!A:I,2,0),"")</f>
        <v/>
      </c>
      <c r="L177" s="21" t="str">
        <f>IF(J177&lt;&gt;"",VLOOKUP(J177,HeadCount!A:I,5,0),"")</f>
        <v/>
      </c>
      <c r="P177" s="19" t="str">
        <f t="shared" si="6"/>
        <v/>
      </c>
    </row>
    <row r="178" spans="1:16" x14ac:dyDescent="0.3">
      <c r="A178" s="19" t="str">
        <f t="shared" si="5"/>
        <v/>
      </c>
      <c r="K178" s="21" t="str">
        <f>IF(J178&lt;&gt;"",VLOOKUP(J178,HeadCount!A:I,2,0),"")</f>
        <v/>
      </c>
      <c r="L178" s="21" t="str">
        <f>IF(J178&lt;&gt;"",VLOOKUP(J178,HeadCount!A:I,5,0),"")</f>
        <v/>
      </c>
      <c r="P178" s="19" t="str">
        <f t="shared" si="6"/>
        <v/>
      </c>
    </row>
    <row r="179" spans="1:16" x14ac:dyDescent="0.3">
      <c r="A179" s="19" t="str">
        <f t="shared" si="5"/>
        <v/>
      </c>
      <c r="K179" s="21" t="str">
        <f>IF(J179&lt;&gt;"",VLOOKUP(J179,HeadCount!A:I,2,0),"")</f>
        <v/>
      </c>
      <c r="L179" s="21" t="str">
        <f>IF(J179&lt;&gt;"",VLOOKUP(J179,HeadCount!A:I,5,0),"")</f>
        <v/>
      </c>
      <c r="P179" s="19" t="str">
        <f t="shared" si="6"/>
        <v/>
      </c>
    </row>
    <row r="180" spans="1:16" x14ac:dyDescent="0.3">
      <c r="A180" s="19" t="str">
        <f t="shared" si="5"/>
        <v/>
      </c>
      <c r="K180" s="21" t="str">
        <f>IF(J180&lt;&gt;"",VLOOKUP(J180,HeadCount!A:I,2,0),"")</f>
        <v/>
      </c>
      <c r="L180" s="21" t="str">
        <f>IF(J180&lt;&gt;"",VLOOKUP(J180,HeadCount!A:I,5,0),"")</f>
        <v/>
      </c>
      <c r="P180" s="19" t="str">
        <f t="shared" si="6"/>
        <v/>
      </c>
    </row>
    <row r="181" spans="1:16" x14ac:dyDescent="0.3">
      <c r="A181" s="19" t="str">
        <f t="shared" si="5"/>
        <v/>
      </c>
      <c r="K181" s="21" t="str">
        <f>IF(J181&lt;&gt;"",VLOOKUP(J181,HeadCount!A:I,2,0),"")</f>
        <v/>
      </c>
      <c r="L181" s="21" t="str">
        <f>IF(J181&lt;&gt;"",VLOOKUP(J181,HeadCount!A:I,5,0),"")</f>
        <v/>
      </c>
      <c r="P181" s="19" t="str">
        <f t="shared" si="6"/>
        <v/>
      </c>
    </row>
    <row r="182" spans="1:16" x14ac:dyDescent="0.3">
      <c r="A182" s="19" t="str">
        <f t="shared" si="5"/>
        <v/>
      </c>
      <c r="K182" s="21" t="str">
        <f>IF(J182&lt;&gt;"",VLOOKUP(J182,HeadCount!A:I,2,0),"")</f>
        <v/>
      </c>
      <c r="L182" s="21" t="str">
        <f>IF(J182&lt;&gt;"",VLOOKUP(J182,HeadCount!A:I,5,0),"")</f>
        <v/>
      </c>
      <c r="P182" s="19" t="str">
        <f t="shared" si="6"/>
        <v/>
      </c>
    </row>
    <row r="183" spans="1:16" x14ac:dyDescent="0.3">
      <c r="A183" s="19" t="str">
        <f t="shared" si="5"/>
        <v/>
      </c>
      <c r="K183" s="21" t="str">
        <f>IF(J183&lt;&gt;"",VLOOKUP(J183,HeadCount!A:I,2,0),"")</f>
        <v/>
      </c>
      <c r="L183" s="21" t="str">
        <f>IF(J183&lt;&gt;"",VLOOKUP(J183,HeadCount!A:I,5,0),"")</f>
        <v/>
      </c>
      <c r="P183" s="19" t="str">
        <f t="shared" si="6"/>
        <v/>
      </c>
    </row>
    <row r="184" spans="1:16" x14ac:dyDescent="0.3">
      <c r="A184" s="19" t="str">
        <f t="shared" si="5"/>
        <v/>
      </c>
      <c r="K184" s="21" t="str">
        <f>IF(J184&lt;&gt;"",VLOOKUP(J184,HeadCount!A:I,2,0),"")</f>
        <v/>
      </c>
      <c r="L184" s="21" t="str">
        <f>IF(J184&lt;&gt;"",VLOOKUP(J184,HeadCount!A:I,5,0),"")</f>
        <v/>
      </c>
      <c r="P184" s="19" t="str">
        <f t="shared" si="6"/>
        <v/>
      </c>
    </row>
    <row r="185" spans="1:16" x14ac:dyDescent="0.3">
      <c r="A185" s="19" t="str">
        <f t="shared" si="5"/>
        <v/>
      </c>
      <c r="K185" s="21" t="str">
        <f>IF(J185&lt;&gt;"",VLOOKUP(J185,HeadCount!A:I,2,0),"")</f>
        <v/>
      </c>
      <c r="L185" s="21" t="str">
        <f>IF(J185&lt;&gt;"",VLOOKUP(J185,HeadCount!A:I,5,0),"")</f>
        <v/>
      </c>
      <c r="P185" s="19" t="str">
        <f t="shared" si="6"/>
        <v/>
      </c>
    </row>
    <row r="186" spans="1:16" x14ac:dyDescent="0.3">
      <c r="A186" s="19" t="str">
        <f t="shared" si="5"/>
        <v/>
      </c>
      <c r="K186" s="21" t="str">
        <f>IF(J186&lt;&gt;"",VLOOKUP(J186,HeadCount!A:I,2,0),"")</f>
        <v/>
      </c>
      <c r="L186" s="21" t="str">
        <f>IF(J186&lt;&gt;"",VLOOKUP(J186,HeadCount!A:I,5,0),"")</f>
        <v/>
      </c>
      <c r="P186" s="19" t="str">
        <f t="shared" si="6"/>
        <v/>
      </c>
    </row>
    <row r="187" spans="1:16" x14ac:dyDescent="0.3">
      <c r="A187" s="19" t="str">
        <f t="shared" si="5"/>
        <v/>
      </c>
      <c r="K187" s="21" t="str">
        <f>IF(J187&lt;&gt;"",VLOOKUP(J187,HeadCount!A:I,2,0),"")</f>
        <v/>
      </c>
      <c r="L187" s="21" t="str">
        <f>IF(J187&lt;&gt;"",VLOOKUP(J187,HeadCount!A:I,5,0),"")</f>
        <v/>
      </c>
      <c r="P187" s="19" t="str">
        <f t="shared" si="6"/>
        <v/>
      </c>
    </row>
    <row r="188" spans="1:16" x14ac:dyDescent="0.3">
      <c r="A188" s="19" t="str">
        <f t="shared" si="5"/>
        <v/>
      </c>
      <c r="K188" s="21" t="str">
        <f>IF(J188&lt;&gt;"",VLOOKUP(J188,HeadCount!A:I,2,0),"")</f>
        <v/>
      </c>
      <c r="L188" s="21" t="str">
        <f>IF(J188&lt;&gt;"",VLOOKUP(J188,HeadCount!A:I,5,0),"")</f>
        <v/>
      </c>
      <c r="P188" s="19" t="str">
        <f t="shared" si="6"/>
        <v/>
      </c>
    </row>
    <row r="189" spans="1:16" x14ac:dyDescent="0.3">
      <c r="A189" s="19" t="str">
        <f t="shared" si="5"/>
        <v/>
      </c>
      <c r="K189" s="21" t="str">
        <f>IF(J189&lt;&gt;"",VLOOKUP(J189,HeadCount!A:I,2,0),"")</f>
        <v/>
      </c>
      <c r="L189" s="21" t="str">
        <f>IF(J189&lt;&gt;"",VLOOKUP(J189,HeadCount!A:I,5,0),"")</f>
        <v/>
      </c>
      <c r="P189" s="19" t="str">
        <f t="shared" si="6"/>
        <v/>
      </c>
    </row>
    <row r="190" spans="1:16" x14ac:dyDescent="0.3">
      <c r="A190" s="19" t="str">
        <f t="shared" si="5"/>
        <v/>
      </c>
      <c r="K190" s="21" t="str">
        <f>IF(J190&lt;&gt;"",VLOOKUP(J190,HeadCount!A:I,2,0),"")</f>
        <v/>
      </c>
      <c r="L190" s="21" t="str">
        <f>IF(J190&lt;&gt;"",VLOOKUP(J190,HeadCount!A:I,5,0),"")</f>
        <v/>
      </c>
      <c r="P190" s="19" t="str">
        <f t="shared" si="6"/>
        <v/>
      </c>
    </row>
    <row r="191" spans="1:16" x14ac:dyDescent="0.3">
      <c r="A191" s="19" t="str">
        <f t="shared" si="5"/>
        <v/>
      </c>
      <c r="K191" s="21" t="str">
        <f>IF(J191&lt;&gt;"",VLOOKUP(J191,HeadCount!A:I,2,0),"")</f>
        <v/>
      </c>
      <c r="L191" s="21" t="str">
        <f>IF(J191&lt;&gt;"",VLOOKUP(J191,HeadCount!A:I,5,0),"")</f>
        <v/>
      </c>
      <c r="P191" s="19" t="str">
        <f t="shared" si="6"/>
        <v/>
      </c>
    </row>
    <row r="192" spans="1:16" x14ac:dyDescent="0.3">
      <c r="A192" s="19" t="str">
        <f t="shared" si="5"/>
        <v/>
      </c>
      <c r="K192" s="21" t="str">
        <f>IF(J192&lt;&gt;"",VLOOKUP(J192,HeadCount!A:I,2,0),"")</f>
        <v/>
      </c>
      <c r="L192" s="21" t="str">
        <f>IF(J192&lt;&gt;"",VLOOKUP(J192,HeadCount!A:I,5,0),"")</f>
        <v/>
      </c>
      <c r="P192" s="19" t="str">
        <f t="shared" si="6"/>
        <v/>
      </c>
    </row>
    <row r="193" spans="1:16" x14ac:dyDescent="0.3">
      <c r="A193" s="19" t="str">
        <f t="shared" si="5"/>
        <v/>
      </c>
      <c r="K193" s="21" t="str">
        <f>IF(J193&lt;&gt;"",VLOOKUP(J193,HeadCount!A:I,2,0),"")</f>
        <v/>
      </c>
      <c r="L193" s="21" t="str">
        <f>IF(J193&lt;&gt;"",VLOOKUP(J193,HeadCount!A:I,5,0),"")</f>
        <v/>
      </c>
      <c r="P193" s="19" t="str">
        <f t="shared" si="6"/>
        <v/>
      </c>
    </row>
    <row r="194" spans="1:16" x14ac:dyDescent="0.3">
      <c r="A194" s="19" t="str">
        <f t="shared" ref="A194:A257" si="7">IF(C194&lt;&gt;"",ROW(A193),"")</f>
        <v/>
      </c>
      <c r="K194" s="21" t="str">
        <f>IF(J194&lt;&gt;"",VLOOKUP(J194,HeadCount!A:I,2,0),"")</f>
        <v/>
      </c>
      <c r="L194" s="21" t="str">
        <f>IF(J194&lt;&gt;"",VLOOKUP(J194,HeadCount!A:I,5,0),"")</f>
        <v/>
      </c>
      <c r="P194" s="19" t="str">
        <f t="shared" si="6"/>
        <v/>
      </c>
    </row>
    <row r="195" spans="1:16" x14ac:dyDescent="0.3">
      <c r="A195" s="19" t="str">
        <f t="shared" si="7"/>
        <v/>
      </c>
      <c r="K195" s="21" t="str">
        <f>IF(J195&lt;&gt;"",VLOOKUP(J195,HeadCount!A:I,2,0),"")</f>
        <v/>
      </c>
      <c r="L195" s="21" t="str">
        <f>IF(J195&lt;&gt;"",VLOOKUP(J195,HeadCount!A:I,5,0),"")</f>
        <v/>
      </c>
      <c r="P195" s="19" t="str">
        <f t="shared" ref="P195:P258" si="8">IF(N195="","",(O195-N195)+1)</f>
        <v/>
      </c>
    </row>
    <row r="196" spans="1:16" x14ac:dyDescent="0.3">
      <c r="A196" s="19" t="str">
        <f t="shared" si="7"/>
        <v/>
      </c>
      <c r="K196" s="21" t="str">
        <f>IF(J196&lt;&gt;"",VLOOKUP(J196,HeadCount!A:I,2,0),"")</f>
        <v/>
      </c>
      <c r="L196" s="21" t="str">
        <f>IF(J196&lt;&gt;"",VLOOKUP(J196,HeadCount!A:I,5,0),"")</f>
        <v/>
      </c>
      <c r="P196" s="19" t="str">
        <f t="shared" si="8"/>
        <v/>
      </c>
    </row>
    <row r="197" spans="1:16" x14ac:dyDescent="0.3">
      <c r="A197" s="19" t="str">
        <f t="shared" si="7"/>
        <v/>
      </c>
      <c r="K197" s="21" t="str">
        <f>IF(J197&lt;&gt;"",VLOOKUP(J197,HeadCount!A:I,2,0),"")</f>
        <v/>
      </c>
      <c r="L197" s="21" t="str">
        <f>IF(J197&lt;&gt;"",VLOOKUP(J197,HeadCount!A:I,5,0),"")</f>
        <v/>
      </c>
      <c r="P197" s="19" t="str">
        <f t="shared" si="8"/>
        <v/>
      </c>
    </row>
    <row r="198" spans="1:16" x14ac:dyDescent="0.3">
      <c r="A198" s="19" t="str">
        <f t="shared" si="7"/>
        <v/>
      </c>
      <c r="K198" s="21" t="str">
        <f>IF(J198&lt;&gt;"",VLOOKUP(J198,HeadCount!A:I,2,0),"")</f>
        <v/>
      </c>
      <c r="L198" s="21" t="str">
        <f>IF(J198&lt;&gt;"",VLOOKUP(J198,HeadCount!A:I,5,0),"")</f>
        <v/>
      </c>
      <c r="P198" s="19" t="str">
        <f t="shared" si="8"/>
        <v/>
      </c>
    </row>
    <row r="199" spans="1:16" x14ac:dyDescent="0.3">
      <c r="A199" s="19" t="str">
        <f t="shared" si="7"/>
        <v/>
      </c>
      <c r="K199" s="21" t="str">
        <f>IF(J199&lt;&gt;"",VLOOKUP(J199,HeadCount!A:I,2,0),"")</f>
        <v/>
      </c>
      <c r="L199" s="21" t="str">
        <f>IF(J199&lt;&gt;"",VLOOKUP(J199,HeadCount!A:I,5,0),"")</f>
        <v/>
      </c>
      <c r="P199" s="19" t="str">
        <f t="shared" si="8"/>
        <v/>
      </c>
    </row>
    <row r="200" spans="1:16" x14ac:dyDescent="0.3">
      <c r="A200" s="19" t="str">
        <f t="shared" si="7"/>
        <v/>
      </c>
      <c r="K200" s="21" t="str">
        <f>IF(J200&lt;&gt;"",VLOOKUP(J200,HeadCount!A:I,2,0),"")</f>
        <v/>
      </c>
      <c r="L200" s="21" t="str">
        <f>IF(J200&lt;&gt;"",VLOOKUP(J200,HeadCount!A:I,5,0),"")</f>
        <v/>
      </c>
      <c r="P200" s="19" t="str">
        <f t="shared" si="8"/>
        <v/>
      </c>
    </row>
    <row r="201" spans="1:16" x14ac:dyDescent="0.3">
      <c r="A201" s="19" t="str">
        <f t="shared" si="7"/>
        <v/>
      </c>
      <c r="K201" s="21" t="str">
        <f>IF(J201&lt;&gt;"",VLOOKUP(J201,HeadCount!A:I,2,0),"")</f>
        <v/>
      </c>
      <c r="L201" s="21" t="str">
        <f>IF(J201&lt;&gt;"",VLOOKUP(J201,HeadCount!A:I,5,0),"")</f>
        <v/>
      </c>
      <c r="P201" s="19" t="str">
        <f t="shared" si="8"/>
        <v/>
      </c>
    </row>
    <row r="202" spans="1:16" x14ac:dyDescent="0.3">
      <c r="A202" s="19" t="str">
        <f t="shared" si="7"/>
        <v/>
      </c>
      <c r="K202" s="21" t="str">
        <f>IF(J202&lt;&gt;"",VLOOKUP(J202,HeadCount!A:I,2,0),"")</f>
        <v/>
      </c>
      <c r="L202" s="21" t="str">
        <f>IF(J202&lt;&gt;"",VLOOKUP(J202,HeadCount!A:I,5,0),"")</f>
        <v/>
      </c>
      <c r="P202" s="19" t="str">
        <f t="shared" si="8"/>
        <v/>
      </c>
    </row>
    <row r="203" spans="1:16" x14ac:dyDescent="0.3">
      <c r="A203" s="19" t="str">
        <f t="shared" si="7"/>
        <v/>
      </c>
      <c r="K203" s="21" t="str">
        <f>IF(J203&lt;&gt;"",VLOOKUP(J203,HeadCount!A:I,2,0),"")</f>
        <v/>
      </c>
      <c r="L203" s="21" t="str">
        <f>IF(J203&lt;&gt;"",VLOOKUP(J203,HeadCount!A:I,5,0),"")</f>
        <v/>
      </c>
      <c r="P203" s="19" t="str">
        <f t="shared" si="8"/>
        <v/>
      </c>
    </row>
    <row r="204" spans="1:16" x14ac:dyDescent="0.3">
      <c r="A204" s="19" t="str">
        <f t="shared" si="7"/>
        <v/>
      </c>
      <c r="K204" s="21" t="str">
        <f>IF(J204&lt;&gt;"",VLOOKUP(J204,HeadCount!A:I,2,0),"")</f>
        <v/>
      </c>
      <c r="L204" s="21" t="str">
        <f>IF(J204&lt;&gt;"",VLOOKUP(J204,HeadCount!A:I,5,0),"")</f>
        <v/>
      </c>
      <c r="P204" s="19" t="str">
        <f t="shared" si="8"/>
        <v/>
      </c>
    </row>
    <row r="205" spans="1:16" x14ac:dyDescent="0.3">
      <c r="A205" s="19" t="str">
        <f t="shared" si="7"/>
        <v/>
      </c>
      <c r="K205" s="21" t="str">
        <f>IF(J205&lt;&gt;"",VLOOKUP(J205,HeadCount!A:I,2,0),"")</f>
        <v/>
      </c>
      <c r="L205" s="21" t="str">
        <f>IF(J205&lt;&gt;"",VLOOKUP(J205,HeadCount!A:I,5,0),"")</f>
        <v/>
      </c>
      <c r="P205" s="19" t="str">
        <f t="shared" si="8"/>
        <v/>
      </c>
    </row>
    <row r="206" spans="1:16" x14ac:dyDescent="0.3">
      <c r="A206" s="19" t="str">
        <f t="shared" si="7"/>
        <v/>
      </c>
      <c r="K206" s="21" t="str">
        <f>IF(J206&lt;&gt;"",VLOOKUP(J206,HeadCount!A:I,2,0),"")</f>
        <v/>
      </c>
      <c r="L206" s="21" t="str">
        <f>IF(J206&lt;&gt;"",VLOOKUP(J206,HeadCount!A:I,5,0),"")</f>
        <v/>
      </c>
      <c r="P206" s="19" t="str">
        <f t="shared" si="8"/>
        <v/>
      </c>
    </row>
    <row r="207" spans="1:16" x14ac:dyDescent="0.3">
      <c r="A207" s="19" t="str">
        <f t="shared" si="7"/>
        <v/>
      </c>
      <c r="K207" s="21" t="str">
        <f>IF(J207&lt;&gt;"",VLOOKUP(J207,HeadCount!A:I,2,0),"")</f>
        <v/>
      </c>
      <c r="L207" s="21" t="str">
        <f>IF(J207&lt;&gt;"",VLOOKUP(J207,HeadCount!A:I,5,0),"")</f>
        <v/>
      </c>
      <c r="P207" s="19" t="str">
        <f t="shared" si="8"/>
        <v/>
      </c>
    </row>
    <row r="208" spans="1:16" x14ac:dyDescent="0.3">
      <c r="A208" s="19" t="str">
        <f t="shared" si="7"/>
        <v/>
      </c>
      <c r="K208" s="21" t="str">
        <f>IF(J208&lt;&gt;"",VLOOKUP(J208,HeadCount!A:I,2,0),"")</f>
        <v/>
      </c>
      <c r="L208" s="21" t="str">
        <f>IF(J208&lt;&gt;"",VLOOKUP(J208,HeadCount!A:I,5,0),"")</f>
        <v/>
      </c>
      <c r="P208" s="19" t="str">
        <f t="shared" si="8"/>
        <v/>
      </c>
    </row>
    <row r="209" spans="1:16" x14ac:dyDescent="0.3">
      <c r="A209" s="19" t="str">
        <f t="shared" si="7"/>
        <v/>
      </c>
      <c r="K209" s="21" t="str">
        <f>IF(J209&lt;&gt;"",VLOOKUP(J209,HeadCount!A:I,2,0),"")</f>
        <v/>
      </c>
      <c r="L209" s="21" t="str">
        <f>IF(J209&lt;&gt;"",VLOOKUP(J209,HeadCount!A:I,5,0),"")</f>
        <v/>
      </c>
      <c r="P209" s="19" t="str">
        <f t="shared" si="8"/>
        <v/>
      </c>
    </row>
    <row r="210" spans="1:16" x14ac:dyDescent="0.3">
      <c r="A210" s="19" t="str">
        <f t="shared" si="7"/>
        <v/>
      </c>
      <c r="K210" s="21" t="str">
        <f>IF(J210&lt;&gt;"",VLOOKUP(J210,HeadCount!A:I,2,0),"")</f>
        <v/>
      </c>
      <c r="L210" s="21" t="str">
        <f>IF(J210&lt;&gt;"",VLOOKUP(J210,HeadCount!A:I,5,0),"")</f>
        <v/>
      </c>
      <c r="P210" s="19" t="str">
        <f t="shared" si="8"/>
        <v/>
      </c>
    </row>
    <row r="211" spans="1:16" x14ac:dyDescent="0.3">
      <c r="A211" s="19" t="str">
        <f t="shared" si="7"/>
        <v/>
      </c>
      <c r="K211" s="21" t="str">
        <f>IF(J211&lt;&gt;"",VLOOKUP(J211,HeadCount!A:I,2,0),"")</f>
        <v/>
      </c>
      <c r="L211" s="21" t="str">
        <f>IF(J211&lt;&gt;"",VLOOKUP(J211,HeadCount!A:I,5,0),"")</f>
        <v/>
      </c>
      <c r="P211" s="19" t="str">
        <f t="shared" si="8"/>
        <v/>
      </c>
    </row>
    <row r="212" spans="1:16" x14ac:dyDescent="0.3">
      <c r="A212" s="19" t="str">
        <f t="shared" si="7"/>
        <v/>
      </c>
      <c r="K212" s="21" t="str">
        <f>IF(J212&lt;&gt;"",VLOOKUP(J212,HeadCount!A:I,2,0),"")</f>
        <v/>
      </c>
      <c r="L212" s="21" t="str">
        <f>IF(J212&lt;&gt;"",VLOOKUP(J212,HeadCount!A:I,5,0),"")</f>
        <v/>
      </c>
      <c r="P212" s="19" t="str">
        <f t="shared" si="8"/>
        <v/>
      </c>
    </row>
    <row r="213" spans="1:16" x14ac:dyDescent="0.3">
      <c r="A213" s="19" t="str">
        <f t="shared" si="7"/>
        <v/>
      </c>
      <c r="K213" s="21" t="str">
        <f>IF(J213&lt;&gt;"",VLOOKUP(J213,HeadCount!A:I,2,0),"")</f>
        <v/>
      </c>
      <c r="L213" s="21" t="str">
        <f>IF(J213&lt;&gt;"",VLOOKUP(J213,HeadCount!A:I,5,0),"")</f>
        <v/>
      </c>
      <c r="P213" s="19" t="str">
        <f t="shared" si="8"/>
        <v/>
      </c>
    </row>
    <row r="214" spans="1:16" x14ac:dyDescent="0.3">
      <c r="A214" s="19" t="str">
        <f t="shared" si="7"/>
        <v/>
      </c>
      <c r="K214" s="21" t="str">
        <f>IF(J214&lt;&gt;"",VLOOKUP(J214,HeadCount!A:I,2,0),"")</f>
        <v/>
      </c>
      <c r="L214" s="21" t="str">
        <f>IF(J214&lt;&gt;"",VLOOKUP(J214,HeadCount!A:I,5,0),"")</f>
        <v/>
      </c>
      <c r="P214" s="19" t="str">
        <f t="shared" si="8"/>
        <v/>
      </c>
    </row>
    <row r="215" spans="1:16" x14ac:dyDescent="0.3">
      <c r="A215" s="19" t="str">
        <f t="shared" si="7"/>
        <v/>
      </c>
      <c r="K215" s="21" t="str">
        <f>IF(J215&lt;&gt;"",VLOOKUP(J215,HeadCount!A:I,2,0),"")</f>
        <v/>
      </c>
      <c r="L215" s="21" t="str">
        <f>IF(J215&lt;&gt;"",VLOOKUP(J215,HeadCount!A:I,5,0),"")</f>
        <v/>
      </c>
      <c r="P215" s="19" t="str">
        <f t="shared" si="8"/>
        <v/>
      </c>
    </row>
    <row r="216" spans="1:16" x14ac:dyDescent="0.3">
      <c r="A216" s="19" t="str">
        <f t="shared" si="7"/>
        <v/>
      </c>
      <c r="G216" s="44"/>
      <c r="K216" s="21" t="str">
        <f>IF(J216&lt;&gt;"",VLOOKUP(J216,HeadCount!A:I,2,0),"")</f>
        <v/>
      </c>
      <c r="L216" s="21" t="str">
        <f>IF(J216&lt;&gt;"",VLOOKUP(J216,HeadCount!A:I,5,0),"")</f>
        <v/>
      </c>
      <c r="P216" s="19" t="str">
        <f t="shared" si="8"/>
        <v/>
      </c>
    </row>
    <row r="217" spans="1:16" x14ac:dyDescent="0.3">
      <c r="A217" s="19" t="str">
        <f t="shared" si="7"/>
        <v/>
      </c>
      <c r="K217" s="21" t="str">
        <f>IF(J217&lt;&gt;"",VLOOKUP(J217,HeadCount!A:I,2,0),"")</f>
        <v/>
      </c>
      <c r="L217" s="21" t="str">
        <f>IF(J217&lt;&gt;"",VLOOKUP(J217,HeadCount!A:I,5,0),"")</f>
        <v/>
      </c>
      <c r="P217" s="19" t="str">
        <f t="shared" si="8"/>
        <v/>
      </c>
    </row>
    <row r="218" spans="1:16" x14ac:dyDescent="0.3">
      <c r="A218" s="19" t="str">
        <f t="shared" si="7"/>
        <v/>
      </c>
      <c r="K218" s="21" t="str">
        <f>IF(J218&lt;&gt;"",VLOOKUP(J218,HeadCount!A:I,2,0),"")</f>
        <v/>
      </c>
      <c r="L218" s="21" t="str">
        <f>IF(J218&lt;&gt;"",VLOOKUP(J218,HeadCount!A:I,5,0),"")</f>
        <v/>
      </c>
      <c r="P218" s="19" t="str">
        <f t="shared" si="8"/>
        <v/>
      </c>
    </row>
    <row r="219" spans="1:16" x14ac:dyDescent="0.3">
      <c r="A219" s="19" t="str">
        <f t="shared" si="7"/>
        <v/>
      </c>
      <c r="K219" s="21" t="str">
        <f>IF(J219&lt;&gt;"",VLOOKUP(J219,HeadCount!A:I,2,0),"")</f>
        <v/>
      </c>
      <c r="L219" s="21" t="str">
        <f>IF(J219&lt;&gt;"",VLOOKUP(J219,HeadCount!A:I,5,0),"")</f>
        <v/>
      </c>
      <c r="P219" s="19" t="str">
        <f t="shared" si="8"/>
        <v/>
      </c>
    </row>
    <row r="220" spans="1:16" x14ac:dyDescent="0.3">
      <c r="A220" s="19" t="str">
        <f t="shared" si="7"/>
        <v/>
      </c>
      <c r="K220" s="21" t="str">
        <f>IF(J220&lt;&gt;"",VLOOKUP(J220,HeadCount!A:I,2,0),"")</f>
        <v/>
      </c>
      <c r="L220" s="21" t="str">
        <f>IF(J220&lt;&gt;"",VLOOKUP(J220,HeadCount!A:I,5,0),"")</f>
        <v/>
      </c>
      <c r="P220" s="19" t="str">
        <f t="shared" si="8"/>
        <v/>
      </c>
    </row>
    <row r="221" spans="1:16" x14ac:dyDescent="0.3">
      <c r="A221" s="19" t="str">
        <f t="shared" si="7"/>
        <v/>
      </c>
      <c r="K221" s="21" t="str">
        <f>IF(J221&lt;&gt;"",VLOOKUP(J221,HeadCount!A:I,2,0),"")</f>
        <v/>
      </c>
      <c r="L221" s="21" t="str">
        <f>IF(J221&lt;&gt;"",VLOOKUP(J221,HeadCount!A:I,5,0),"")</f>
        <v/>
      </c>
      <c r="P221" s="19" t="str">
        <f t="shared" si="8"/>
        <v/>
      </c>
    </row>
    <row r="222" spans="1:16" x14ac:dyDescent="0.3">
      <c r="A222" s="19" t="str">
        <f t="shared" si="7"/>
        <v/>
      </c>
      <c r="K222" s="21" t="str">
        <f>IF(J222&lt;&gt;"",VLOOKUP(J222,HeadCount!A:I,2,0),"")</f>
        <v/>
      </c>
      <c r="L222" s="21" t="str">
        <f>IF(J222&lt;&gt;"",VLOOKUP(J222,HeadCount!A:I,5,0),"")</f>
        <v/>
      </c>
      <c r="P222" s="19" t="str">
        <f t="shared" si="8"/>
        <v/>
      </c>
    </row>
    <row r="223" spans="1:16" x14ac:dyDescent="0.3">
      <c r="A223" s="19" t="str">
        <f t="shared" si="7"/>
        <v/>
      </c>
      <c r="K223" s="21" t="str">
        <f>IF(J223&lt;&gt;"",VLOOKUP(J223,HeadCount!A:I,2,0),"")</f>
        <v/>
      </c>
      <c r="L223" s="21" t="str">
        <f>IF(J223&lt;&gt;"",VLOOKUP(J223,HeadCount!A:I,5,0),"")</f>
        <v/>
      </c>
      <c r="P223" s="19" t="str">
        <f t="shared" si="8"/>
        <v/>
      </c>
    </row>
    <row r="224" spans="1:16" x14ac:dyDescent="0.3">
      <c r="A224" s="19" t="str">
        <f t="shared" si="7"/>
        <v/>
      </c>
      <c r="K224" s="21" t="str">
        <f>IF(J224&lt;&gt;"",VLOOKUP(J224,HeadCount!A:I,2,0),"")</f>
        <v/>
      </c>
      <c r="L224" s="21" t="str">
        <f>IF(J224&lt;&gt;"",VLOOKUP(J224,HeadCount!A:I,5,0),"")</f>
        <v/>
      </c>
      <c r="P224" s="19" t="str">
        <f t="shared" si="8"/>
        <v/>
      </c>
    </row>
    <row r="225" spans="1:16" x14ac:dyDescent="0.3">
      <c r="A225" s="19" t="str">
        <f t="shared" si="7"/>
        <v/>
      </c>
      <c r="G225" s="44"/>
      <c r="K225" s="21" t="str">
        <f>IF(J225&lt;&gt;"",VLOOKUP(J225,HeadCount!A:I,2,0),"")</f>
        <v/>
      </c>
      <c r="L225" s="21" t="str">
        <f>IF(J225&lt;&gt;"",VLOOKUP(J225,HeadCount!A:I,5,0),"")</f>
        <v/>
      </c>
      <c r="P225" s="19" t="str">
        <f t="shared" si="8"/>
        <v/>
      </c>
    </row>
    <row r="226" spans="1:16" x14ac:dyDescent="0.3">
      <c r="A226" s="19" t="str">
        <f t="shared" si="7"/>
        <v/>
      </c>
      <c r="K226" s="21" t="str">
        <f>IF(J226&lt;&gt;"",VLOOKUP(J226,HeadCount!A:I,2,0),"")</f>
        <v/>
      </c>
      <c r="L226" s="21" t="str">
        <f>IF(J226&lt;&gt;"",VLOOKUP(J226,HeadCount!A:I,5,0),"")</f>
        <v/>
      </c>
      <c r="P226" s="19" t="str">
        <f t="shared" si="8"/>
        <v/>
      </c>
    </row>
    <row r="227" spans="1:16" x14ac:dyDescent="0.3">
      <c r="A227" s="19" t="str">
        <f t="shared" si="7"/>
        <v/>
      </c>
      <c r="K227" s="21" t="str">
        <f>IF(J227&lt;&gt;"",VLOOKUP(J227,HeadCount!A:I,2,0),"")</f>
        <v/>
      </c>
      <c r="L227" s="21" t="str">
        <f>IF(J227&lt;&gt;"",VLOOKUP(J227,HeadCount!A:I,5,0),"")</f>
        <v/>
      </c>
      <c r="P227" s="19" t="str">
        <f t="shared" si="8"/>
        <v/>
      </c>
    </row>
    <row r="228" spans="1:16" x14ac:dyDescent="0.3">
      <c r="A228" s="19" t="str">
        <f t="shared" si="7"/>
        <v/>
      </c>
      <c r="K228" s="21" t="str">
        <f>IF(J228&lt;&gt;"",VLOOKUP(J228,HeadCount!A:I,2,0),"")</f>
        <v/>
      </c>
      <c r="L228" s="21" t="str">
        <f>IF(J228&lt;&gt;"",VLOOKUP(J228,HeadCount!A:I,5,0),"")</f>
        <v/>
      </c>
      <c r="P228" s="19" t="str">
        <f t="shared" si="8"/>
        <v/>
      </c>
    </row>
    <row r="229" spans="1:16" x14ac:dyDescent="0.3">
      <c r="A229" s="19" t="str">
        <f t="shared" si="7"/>
        <v/>
      </c>
      <c r="K229" s="21" t="str">
        <f>IF(J229&lt;&gt;"",VLOOKUP(J229,HeadCount!A:I,2,0),"")</f>
        <v/>
      </c>
      <c r="L229" s="21" t="str">
        <f>IF(J229&lt;&gt;"",VLOOKUP(J229,HeadCount!A:I,5,0),"")</f>
        <v/>
      </c>
      <c r="P229" s="19" t="str">
        <f t="shared" si="8"/>
        <v/>
      </c>
    </row>
    <row r="230" spans="1:16" x14ac:dyDescent="0.3">
      <c r="A230" s="19" t="str">
        <f t="shared" si="7"/>
        <v/>
      </c>
      <c r="K230" s="21" t="str">
        <f>IF(J230&lt;&gt;"",VLOOKUP(J230,HeadCount!A:I,2,0),"")</f>
        <v/>
      </c>
      <c r="L230" s="21" t="str">
        <f>IF(J230&lt;&gt;"",VLOOKUP(J230,HeadCount!A:I,5,0),"")</f>
        <v/>
      </c>
      <c r="P230" s="19" t="str">
        <f t="shared" si="8"/>
        <v/>
      </c>
    </row>
    <row r="231" spans="1:16" x14ac:dyDescent="0.3">
      <c r="A231" s="19" t="str">
        <f t="shared" si="7"/>
        <v/>
      </c>
      <c r="K231" s="21" t="str">
        <f>IF(J231&lt;&gt;"",VLOOKUP(J231,HeadCount!A:I,2,0),"")</f>
        <v/>
      </c>
      <c r="L231" s="21" t="str">
        <f>IF(J231&lt;&gt;"",VLOOKUP(J231,HeadCount!A:I,5,0),"")</f>
        <v/>
      </c>
      <c r="P231" s="19" t="str">
        <f t="shared" si="8"/>
        <v/>
      </c>
    </row>
    <row r="232" spans="1:16" x14ac:dyDescent="0.3">
      <c r="A232" s="19" t="str">
        <f t="shared" si="7"/>
        <v/>
      </c>
      <c r="K232" s="21" t="str">
        <f>IF(J232&lt;&gt;"",VLOOKUP(J232,HeadCount!A:I,2,0),"")</f>
        <v/>
      </c>
      <c r="L232" s="21" t="str">
        <f>IF(J232&lt;&gt;"",VLOOKUP(J232,HeadCount!A:I,5,0),"")</f>
        <v/>
      </c>
      <c r="P232" s="19" t="str">
        <f t="shared" si="8"/>
        <v/>
      </c>
    </row>
    <row r="233" spans="1:16" x14ac:dyDescent="0.3">
      <c r="A233" s="19" t="str">
        <f t="shared" si="7"/>
        <v/>
      </c>
      <c r="K233" s="21" t="str">
        <f>IF(J233&lt;&gt;"",VLOOKUP(J233,HeadCount!A:I,2,0),"")</f>
        <v/>
      </c>
      <c r="L233" s="21" t="str">
        <f>IF(J233&lt;&gt;"",VLOOKUP(J233,HeadCount!A:I,5,0),"")</f>
        <v/>
      </c>
      <c r="P233" s="19" t="str">
        <f t="shared" si="8"/>
        <v/>
      </c>
    </row>
    <row r="234" spans="1:16" x14ac:dyDescent="0.3">
      <c r="A234" s="19" t="str">
        <f t="shared" si="7"/>
        <v/>
      </c>
      <c r="K234" s="21" t="str">
        <f>IF(J234&lt;&gt;"",VLOOKUP(J234,HeadCount!A:I,2,0),"")</f>
        <v/>
      </c>
      <c r="L234" s="21" t="str">
        <f>IF(J234&lt;&gt;"",VLOOKUP(J234,HeadCount!A:I,5,0),"")</f>
        <v/>
      </c>
      <c r="P234" s="19" t="str">
        <f t="shared" si="8"/>
        <v/>
      </c>
    </row>
    <row r="235" spans="1:16" x14ac:dyDescent="0.3">
      <c r="A235" s="19" t="str">
        <f t="shared" si="7"/>
        <v/>
      </c>
      <c r="K235" s="21" t="str">
        <f>IF(J235&lt;&gt;"",VLOOKUP(J235,HeadCount!A:I,2,0),"")</f>
        <v/>
      </c>
      <c r="L235" s="21" t="str">
        <f>IF(J235&lt;&gt;"",VLOOKUP(J235,HeadCount!A:I,5,0),"")</f>
        <v/>
      </c>
      <c r="P235" s="19" t="str">
        <f t="shared" si="8"/>
        <v/>
      </c>
    </row>
    <row r="236" spans="1:16" x14ac:dyDescent="0.3">
      <c r="A236" s="19" t="str">
        <f t="shared" si="7"/>
        <v/>
      </c>
      <c r="K236" s="21" t="str">
        <f>IF(J236&lt;&gt;"",VLOOKUP(J236,HeadCount!A:I,2,0),"")</f>
        <v/>
      </c>
      <c r="L236" s="21" t="str">
        <f>IF(J236&lt;&gt;"",VLOOKUP(J236,HeadCount!A:I,5,0),"")</f>
        <v/>
      </c>
      <c r="P236" s="19" t="str">
        <f t="shared" si="8"/>
        <v/>
      </c>
    </row>
    <row r="237" spans="1:16" x14ac:dyDescent="0.3">
      <c r="A237" s="19" t="str">
        <f t="shared" si="7"/>
        <v/>
      </c>
      <c r="K237" s="21" t="str">
        <f>IF(J237&lt;&gt;"",VLOOKUP(J237,HeadCount!A:I,2,0),"")</f>
        <v/>
      </c>
      <c r="L237" s="21" t="str">
        <f>IF(J237&lt;&gt;"",VLOOKUP(J237,HeadCount!A:I,5,0),"")</f>
        <v/>
      </c>
      <c r="P237" s="19" t="str">
        <f t="shared" si="8"/>
        <v/>
      </c>
    </row>
    <row r="238" spans="1:16" x14ac:dyDescent="0.3">
      <c r="A238" s="19" t="str">
        <f t="shared" si="7"/>
        <v/>
      </c>
      <c r="K238" s="21" t="str">
        <f>IF(J238&lt;&gt;"",VLOOKUP(J238,HeadCount!A:I,2,0),"")</f>
        <v/>
      </c>
      <c r="L238" s="21" t="str">
        <f>IF(J238&lt;&gt;"",VLOOKUP(J238,HeadCount!A:I,5,0),"")</f>
        <v/>
      </c>
      <c r="P238" s="19" t="str">
        <f t="shared" si="8"/>
        <v/>
      </c>
    </row>
    <row r="239" spans="1:16" x14ac:dyDescent="0.3">
      <c r="A239" s="19" t="str">
        <f t="shared" si="7"/>
        <v/>
      </c>
      <c r="K239" s="21" t="str">
        <f>IF(J239&lt;&gt;"",VLOOKUP(J239,HeadCount!A:I,2,0),"")</f>
        <v/>
      </c>
      <c r="L239" s="21" t="str">
        <f>IF(J239&lt;&gt;"",VLOOKUP(J239,HeadCount!A:I,5,0),"")</f>
        <v/>
      </c>
      <c r="P239" s="19" t="str">
        <f t="shared" si="8"/>
        <v/>
      </c>
    </row>
    <row r="240" spans="1:16" x14ac:dyDescent="0.3">
      <c r="A240" s="19" t="str">
        <f t="shared" si="7"/>
        <v/>
      </c>
      <c r="K240" s="21" t="str">
        <f>IF(J240&lt;&gt;"",VLOOKUP(J240,HeadCount!A:I,2,0),"")</f>
        <v/>
      </c>
      <c r="L240" s="21" t="str">
        <f>IF(J240&lt;&gt;"",VLOOKUP(J240,HeadCount!A:I,5,0),"")</f>
        <v/>
      </c>
      <c r="P240" s="19" t="str">
        <f t="shared" si="8"/>
        <v/>
      </c>
    </row>
    <row r="241" spans="1:16" x14ac:dyDescent="0.3">
      <c r="A241" s="19" t="str">
        <f t="shared" si="7"/>
        <v/>
      </c>
      <c r="K241" s="21" t="str">
        <f>IF(J241&lt;&gt;"",VLOOKUP(J241,HeadCount!A:I,2,0),"")</f>
        <v/>
      </c>
      <c r="L241" s="21" t="str">
        <f>IF(J241&lt;&gt;"",VLOOKUP(J241,HeadCount!A:I,5,0),"")</f>
        <v/>
      </c>
      <c r="P241" s="19" t="str">
        <f t="shared" si="8"/>
        <v/>
      </c>
    </row>
    <row r="242" spans="1:16" x14ac:dyDescent="0.3">
      <c r="A242" s="19" t="str">
        <f t="shared" si="7"/>
        <v/>
      </c>
      <c r="K242" s="21" t="str">
        <f>IF(J242&lt;&gt;"",VLOOKUP(J242,HeadCount!A:I,2,0),"")</f>
        <v/>
      </c>
      <c r="L242" s="21" t="str">
        <f>IF(J242&lt;&gt;"",VLOOKUP(J242,HeadCount!A:I,5,0),"")</f>
        <v/>
      </c>
      <c r="P242" s="19" t="str">
        <f t="shared" si="8"/>
        <v/>
      </c>
    </row>
    <row r="243" spans="1:16" x14ac:dyDescent="0.3">
      <c r="A243" s="19" t="str">
        <f t="shared" si="7"/>
        <v/>
      </c>
      <c r="K243" s="21" t="str">
        <f>IF(J243&lt;&gt;"",VLOOKUP(J243,HeadCount!A:I,2,0),"")</f>
        <v/>
      </c>
      <c r="L243" s="21" t="str">
        <f>IF(J243&lt;&gt;"",VLOOKUP(J243,HeadCount!A:I,5,0),"")</f>
        <v/>
      </c>
      <c r="P243" s="19" t="str">
        <f t="shared" si="8"/>
        <v/>
      </c>
    </row>
    <row r="244" spans="1:16" x14ac:dyDescent="0.3">
      <c r="A244" s="19" t="str">
        <f t="shared" si="7"/>
        <v/>
      </c>
      <c r="K244" s="21" t="str">
        <f>IF(J244&lt;&gt;"",VLOOKUP(J244,HeadCount!A:I,2,0),"")</f>
        <v/>
      </c>
      <c r="L244" s="21" t="str">
        <f>IF(J244&lt;&gt;"",VLOOKUP(J244,HeadCount!A:I,5,0),"")</f>
        <v/>
      </c>
      <c r="P244" s="19" t="str">
        <f t="shared" si="8"/>
        <v/>
      </c>
    </row>
    <row r="245" spans="1:16" x14ac:dyDescent="0.3">
      <c r="A245" s="19" t="str">
        <f t="shared" si="7"/>
        <v/>
      </c>
      <c r="K245" s="21" t="str">
        <f>IF(J245&lt;&gt;"",VLOOKUP(J245,HeadCount!A:I,2,0),"")</f>
        <v/>
      </c>
      <c r="L245" s="21" t="str">
        <f>IF(J245&lt;&gt;"",VLOOKUP(J245,HeadCount!A:I,5,0),"")</f>
        <v/>
      </c>
      <c r="P245" s="19" t="str">
        <f t="shared" si="8"/>
        <v/>
      </c>
    </row>
    <row r="246" spans="1:16" x14ac:dyDescent="0.3">
      <c r="A246" s="19" t="str">
        <f t="shared" si="7"/>
        <v/>
      </c>
      <c r="K246" s="21" t="str">
        <f>IF(J246&lt;&gt;"",VLOOKUP(J246,HeadCount!A:I,2,0),"")</f>
        <v/>
      </c>
      <c r="L246" s="21" t="str">
        <f>IF(J246&lt;&gt;"",VLOOKUP(J246,HeadCount!A:I,5,0),"")</f>
        <v/>
      </c>
      <c r="P246" s="19" t="str">
        <f t="shared" si="8"/>
        <v/>
      </c>
    </row>
    <row r="247" spans="1:16" x14ac:dyDescent="0.3">
      <c r="A247" s="19" t="str">
        <f t="shared" si="7"/>
        <v/>
      </c>
      <c r="K247" s="21" t="str">
        <f>IF(J247&lt;&gt;"",VLOOKUP(J247,HeadCount!A:I,2,0),"")</f>
        <v/>
      </c>
      <c r="L247" s="21" t="str">
        <f>IF(J247&lt;&gt;"",VLOOKUP(J247,HeadCount!A:I,5,0),"")</f>
        <v/>
      </c>
      <c r="P247" s="19" t="str">
        <f t="shared" si="8"/>
        <v/>
      </c>
    </row>
    <row r="248" spans="1:16" x14ac:dyDescent="0.3">
      <c r="A248" s="19" t="str">
        <f t="shared" si="7"/>
        <v/>
      </c>
      <c r="K248" s="21" t="str">
        <f>IF(J248&lt;&gt;"",VLOOKUP(J248,HeadCount!A:I,2,0),"")</f>
        <v/>
      </c>
      <c r="L248" s="21" t="str">
        <f>IF(J248&lt;&gt;"",VLOOKUP(J248,HeadCount!A:I,5,0),"")</f>
        <v/>
      </c>
      <c r="P248" s="19" t="str">
        <f t="shared" si="8"/>
        <v/>
      </c>
    </row>
    <row r="249" spans="1:16" x14ac:dyDescent="0.3">
      <c r="A249" s="19" t="str">
        <f t="shared" si="7"/>
        <v/>
      </c>
      <c r="K249" s="21" t="str">
        <f>IF(J249&lt;&gt;"",VLOOKUP(J249,HeadCount!A:I,2,0),"")</f>
        <v/>
      </c>
      <c r="L249" s="21" t="str">
        <f>IF(J249&lt;&gt;"",VLOOKUP(J249,HeadCount!A:I,5,0),"")</f>
        <v/>
      </c>
      <c r="P249" s="19" t="str">
        <f t="shared" si="8"/>
        <v/>
      </c>
    </row>
    <row r="250" spans="1:16" x14ac:dyDescent="0.3">
      <c r="A250" s="19" t="str">
        <f t="shared" si="7"/>
        <v/>
      </c>
      <c r="K250" s="21" t="str">
        <f>IF(J250&lt;&gt;"",VLOOKUP(J250,HeadCount!A:I,2,0),"")</f>
        <v/>
      </c>
      <c r="L250" s="21" t="str">
        <f>IF(J250&lt;&gt;"",VLOOKUP(J250,HeadCount!A:I,5,0),"")</f>
        <v/>
      </c>
      <c r="P250" s="19" t="str">
        <f t="shared" si="8"/>
        <v/>
      </c>
    </row>
    <row r="251" spans="1:16" x14ac:dyDescent="0.3">
      <c r="A251" s="19" t="str">
        <f t="shared" si="7"/>
        <v/>
      </c>
      <c r="K251" s="21" t="str">
        <f>IF(J251&lt;&gt;"",VLOOKUP(J251,HeadCount!A:I,2,0),"")</f>
        <v/>
      </c>
      <c r="L251" s="21" t="str">
        <f>IF(J251&lt;&gt;"",VLOOKUP(J251,HeadCount!A:I,5,0),"")</f>
        <v/>
      </c>
      <c r="P251" s="19" t="str">
        <f t="shared" si="8"/>
        <v/>
      </c>
    </row>
    <row r="252" spans="1:16" x14ac:dyDescent="0.3">
      <c r="A252" s="19" t="str">
        <f t="shared" si="7"/>
        <v/>
      </c>
      <c r="K252" s="21" t="str">
        <f>IF(J252&lt;&gt;"",VLOOKUP(J252,HeadCount!A:I,2,0),"")</f>
        <v/>
      </c>
      <c r="L252" s="21" t="str">
        <f>IF(J252&lt;&gt;"",VLOOKUP(J252,HeadCount!A:I,5,0),"")</f>
        <v/>
      </c>
      <c r="P252" s="19" t="str">
        <f t="shared" si="8"/>
        <v/>
      </c>
    </row>
    <row r="253" spans="1:16" x14ac:dyDescent="0.3">
      <c r="A253" s="19" t="str">
        <f t="shared" si="7"/>
        <v/>
      </c>
      <c r="K253" s="21" t="str">
        <f>IF(J253&lt;&gt;"",VLOOKUP(J253,HeadCount!A:I,2,0),"")</f>
        <v/>
      </c>
      <c r="L253" s="21" t="str">
        <f>IF(J253&lt;&gt;"",VLOOKUP(J253,HeadCount!A:I,5,0),"")</f>
        <v/>
      </c>
      <c r="P253" s="19" t="str">
        <f t="shared" si="8"/>
        <v/>
      </c>
    </row>
    <row r="254" spans="1:16" x14ac:dyDescent="0.3">
      <c r="A254" s="19" t="str">
        <f t="shared" si="7"/>
        <v/>
      </c>
      <c r="K254" s="21" t="str">
        <f>IF(J254&lt;&gt;"",VLOOKUP(J254,HeadCount!A:I,2,0),"")</f>
        <v/>
      </c>
      <c r="L254" s="21" t="str">
        <f>IF(J254&lt;&gt;"",VLOOKUP(J254,HeadCount!A:I,5,0),"")</f>
        <v/>
      </c>
      <c r="P254" s="19" t="str">
        <f t="shared" si="8"/>
        <v/>
      </c>
    </row>
    <row r="255" spans="1:16" x14ac:dyDescent="0.3">
      <c r="A255" s="19" t="str">
        <f t="shared" si="7"/>
        <v/>
      </c>
      <c r="K255" s="21" t="str">
        <f>IF(J255&lt;&gt;"",VLOOKUP(J255,HeadCount!A:I,2,0),"")</f>
        <v/>
      </c>
      <c r="L255" s="21" t="str">
        <f>IF(J255&lt;&gt;"",VLOOKUP(J255,HeadCount!A:I,5,0),"")</f>
        <v/>
      </c>
      <c r="P255" s="19" t="str">
        <f t="shared" si="8"/>
        <v/>
      </c>
    </row>
    <row r="256" spans="1:16" x14ac:dyDescent="0.3">
      <c r="A256" s="19" t="str">
        <f t="shared" si="7"/>
        <v/>
      </c>
      <c r="K256" s="21" t="str">
        <f>IF(J256&lt;&gt;"",VLOOKUP(J256,HeadCount!A:I,2,0),"")</f>
        <v/>
      </c>
      <c r="L256" s="21" t="str">
        <f>IF(J256&lt;&gt;"",VLOOKUP(J256,HeadCount!A:I,5,0),"")</f>
        <v/>
      </c>
      <c r="P256" s="19" t="str">
        <f t="shared" si="8"/>
        <v/>
      </c>
    </row>
    <row r="257" spans="1:16" x14ac:dyDescent="0.3">
      <c r="A257" s="19" t="str">
        <f t="shared" si="7"/>
        <v/>
      </c>
      <c r="K257" s="21" t="str">
        <f>IF(J257&lt;&gt;"",VLOOKUP(J257,HeadCount!A:I,2,0),"")</f>
        <v/>
      </c>
      <c r="L257" s="21" t="str">
        <f>IF(J257&lt;&gt;"",VLOOKUP(J257,HeadCount!A:I,5,0),"")</f>
        <v/>
      </c>
      <c r="P257" s="19" t="str">
        <f t="shared" si="8"/>
        <v/>
      </c>
    </row>
    <row r="258" spans="1:16" x14ac:dyDescent="0.3">
      <c r="A258" s="19" t="str">
        <f t="shared" ref="A258:A321" si="9">IF(C258&lt;&gt;"",ROW(A257),"")</f>
        <v/>
      </c>
      <c r="K258" s="21" t="str">
        <f>IF(J258&lt;&gt;"",VLOOKUP(J258,HeadCount!A:I,2,0),"")</f>
        <v/>
      </c>
      <c r="L258" s="21" t="str">
        <f>IF(J258&lt;&gt;"",VLOOKUP(J258,HeadCount!A:I,5,0),"")</f>
        <v/>
      </c>
      <c r="P258" s="19" t="str">
        <f t="shared" si="8"/>
        <v/>
      </c>
    </row>
    <row r="259" spans="1:16" x14ac:dyDescent="0.3">
      <c r="A259" s="19" t="str">
        <f t="shared" si="9"/>
        <v/>
      </c>
      <c r="K259" s="21" t="str">
        <f>IF(J259&lt;&gt;"",VLOOKUP(J259,HeadCount!A:I,2,0),"")</f>
        <v/>
      </c>
      <c r="L259" s="21" t="str">
        <f>IF(J259&lt;&gt;"",VLOOKUP(J259,HeadCount!A:I,5,0),"")</f>
        <v/>
      </c>
      <c r="P259" s="19" t="str">
        <f t="shared" ref="P259:P322" si="10">IF(N259="","",(O259-N259)+1)</f>
        <v/>
      </c>
    </row>
    <row r="260" spans="1:16" x14ac:dyDescent="0.3">
      <c r="A260" s="19" t="str">
        <f t="shared" si="9"/>
        <v/>
      </c>
      <c r="K260" s="21" t="str">
        <f>IF(J260&lt;&gt;"",VLOOKUP(J260,HeadCount!A:I,2,0),"")</f>
        <v/>
      </c>
      <c r="L260" s="21" t="str">
        <f>IF(J260&lt;&gt;"",VLOOKUP(J260,HeadCount!A:I,5,0),"")</f>
        <v/>
      </c>
      <c r="P260" s="19" t="str">
        <f t="shared" si="10"/>
        <v/>
      </c>
    </row>
    <row r="261" spans="1:16" x14ac:dyDescent="0.3">
      <c r="A261" s="19" t="str">
        <f t="shared" si="9"/>
        <v/>
      </c>
      <c r="K261" s="21" t="str">
        <f>IF(J261&lt;&gt;"",VLOOKUP(J261,HeadCount!A:I,2,0),"")</f>
        <v/>
      </c>
      <c r="L261" s="21" t="str">
        <f>IF(J261&lt;&gt;"",VLOOKUP(J261,HeadCount!A:I,5,0),"")</f>
        <v/>
      </c>
      <c r="P261" s="19" t="str">
        <f t="shared" si="10"/>
        <v/>
      </c>
    </row>
    <row r="262" spans="1:16" x14ac:dyDescent="0.3">
      <c r="A262" s="19" t="str">
        <f t="shared" si="9"/>
        <v/>
      </c>
      <c r="K262" s="21" t="str">
        <f>IF(J262&lt;&gt;"",VLOOKUP(J262,HeadCount!A:I,2,0),"")</f>
        <v/>
      </c>
      <c r="L262" s="21" t="str">
        <f>IF(J262&lt;&gt;"",VLOOKUP(J262,HeadCount!A:I,5,0),"")</f>
        <v/>
      </c>
      <c r="P262" s="19" t="str">
        <f t="shared" si="10"/>
        <v/>
      </c>
    </row>
    <row r="263" spans="1:16" x14ac:dyDescent="0.3">
      <c r="A263" s="19" t="str">
        <f t="shared" si="9"/>
        <v/>
      </c>
      <c r="K263" s="21" t="str">
        <f>IF(J263&lt;&gt;"",VLOOKUP(J263,HeadCount!A:I,2,0),"")</f>
        <v/>
      </c>
      <c r="L263" s="21" t="str">
        <f>IF(J263&lt;&gt;"",VLOOKUP(J263,HeadCount!A:I,5,0),"")</f>
        <v/>
      </c>
      <c r="P263" s="19" t="str">
        <f t="shared" si="10"/>
        <v/>
      </c>
    </row>
    <row r="264" spans="1:16" x14ac:dyDescent="0.3">
      <c r="A264" s="19" t="str">
        <f t="shared" si="9"/>
        <v/>
      </c>
      <c r="K264" s="21" t="str">
        <f>IF(J264&lt;&gt;"",VLOOKUP(J264,HeadCount!A:I,2,0),"")</f>
        <v/>
      </c>
      <c r="L264" s="21" t="str">
        <f>IF(J264&lt;&gt;"",VLOOKUP(J264,HeadCount!A:I,5,0),"")</f>
        <v/>
      </c>
      <c r="P264" s="19" t="str">
        <f t="shared" si="10"/>
        <v/>
      </c>
    </row>
    <row r="265" spans="1:16" x14ac:dyDescent="0.3">
      <c r="A265" s="19" t="str">
        <f t="shared" si="9"/>
        <v/>
      </c>
      <c r="K265" s="21" t="str">
        <f>IF(J265&lt;&gt;"",VLOOKUP(J265,HeadCount!A:I,2,0),"")</f>
        <v/>
      </c>
      <c r="L265" s="21" t="str">
        <f>IF(J265&lt;&gt;"",VLOOKUP(J265,HeadCount!A:I,5,0),"")</f>
        <v/>
      </c>
      <c r="P265" s="19" t="str">
        <f t="shared" si="10"/>
        <v/>
      </c>
    </row>
    <row r="266" spans="1:16" x14ac:dyDescent="0.3">
      <c r="A266" s="19" t="str">
        <f t="shared" si="9"/>
        <v/>
      </c>
      <c r="K266" s="21" t="str">
        <f>IF(J266&lt;&gt;"",VLOOKUP(J266,HeadCount!A:I,2,0),"")</f>
        <v/>
      </c>
      <c r="L266" s="21" t="str">
        <f>IF(J266&lt;&gt;"",VLOOKUP(J266,HeadCount!A:I,5,0),"")</f>
        <v/>
      </c>
      <c r="P266" s="19" t="str">
        <f t="shared" si="10"/>
        <v/>
      </c>
    </row>
    <row r="267" spans="1:16" x14ac:dyDescent="0.3">
      <c r="A267" s="19" t="str">
        <f t="shared" si="9"/>
        <v/>
      </c>
      <c r="K267" s="21" t="str">
        <f>IF(J267&lt;&gt;"",VLOOKUP(J267,HeadCount!A:I,2,0),"")</f>
        <v/>
      </c>
      <c r="L267" s="21" t="str">
        <f>IF(J267&lt;&gt;"",VLOOKUP(J267,HeadCount!A:I,5,0),"")</f>
        <v/>
      </c>
      <c r="P267" s="19" t="str">
        <f t="shared" si="10"/>
        <v/>
      </c>
    </row>
    <row r="268" spans="1:16" x14ac:dyDescent="0.3">
      <c r="A268" s="19" t="str">
        <f t="shared" si="9"/>
        <v/>
      </c>
      <c r="K268" s="21" t="str">
        <f>IF(J268&lt;&gt;"",VLOOKUP(J268,HeadCount!A:I,2,0),"")</f>
        <v/>
      </c>
      <c r="L268" s="21" t="str">
        <f>IF(J268&lt;&gt;"",VLOOKUP(J268,HeadCount!A:I,5,0),"")</f>
        <v/>
      </c>
      <c r="P268" s="19" t="str">
        <f t="shared" si="10"/>
        <v/>
      </c>
    </row>
    <row r="269" spans="1:16" x14ac:dyDescent="0.3">
      <c r="A269" s="19" t="str">
        <f t="shared" si="9"/>
        <v/>
      </c>
      <c r="K269" s="21" t="str">
        <f>IF(J269&lt;&gt;"",VLOOKUP(J269,HeadCount!A:I,2,0),"")</f>
        <v/>
      </c>
      <c r="L269" s="21" t="str">
        <f>IF(J269&lt;&gt;"",VLOOKUP(J269,HeadCount!A:I,5,0),"")</f>
        <v/>
      </c>
      <c r="P269" s="19" t="str">
        <f t="shared" si="10"/>
        <v/>
      </c>
    </row>
    <row r="270" spans="1:16" x14ac:dyDescent="0.3">
      <c r="A270" s="19" t="str">
        <f t="shared" si="9"/>
        <v/>
      </c>
      <c r="K270" s="21" t="str">
        <f>IF(J270&lt;&gt;"",VLOOKUP(J270,HeadCount!A:I,2,0),"")</f>
        <v/>
      </c>
      <c r="L270" s="21" t="str">
        <f>IF(J270&lt;&gt;"",VLOOKUP(J270,HeadCount!A:I,5,0),"")</f>
        <v/>
      </c>
      <c r="P270" s="19" t="str">
        <f t="shared" si="10"/>
        <v/>
      </c>
    </row>
    <row r="271" spans="1:16" x14ac:dyDescent="0.3">
      <c r="A271" s="19" t="str">
        <f t="shared" si="9"/>
        <v/>
      </c>
      <c r="K271" s="21" t="str">
        <f>IF(J271&lt;&gt;"",VLOOKUP(J271,HeadCount!A:I,2,0),"")</f>
        <v/>
      </c>
      <c r="L271" s="21" t="str">
        <f>IF(J271&lt;&gt;"",VLOOKUP(J271,HeadCount!A:I,5,0),"")</f>
        <v/>
      </c>
      <c r="P271" s="19" t="str">
        <f t="shared" si="10"/>
        <v/>
      </c>
    </row>
    <row r="272" spans="1:16" x14ac:dyDescent="0.3">
      <c r="A272" s="19" t="str">
        <f t="shared" si="9"/>
        <v/>
      </c>
      <c r="K272" s="21" t="str">
        <f>IF(J272&lt;&gt;"",VLOOKUP(J272,HeadCount!A:I,2,0),"")</f>
        <v/>
      </c>
      <c r="L272" s="21" t="str">
        <f>IF(J272&lt;&gt;"",VLOOKUP(J272,HeadCount!A:I,5,0),"")</f>
        <v/>
      </c>
      <c r="P272" s="19" t="str">
        <f t="shared" si="10"/>
        <v/>
      </c>
    </row>
    <row r="273" spans="1:16" x14ac:dyDescent="0.3">
      <c r="A273" s="19" t="str">
        <f t="shared" si="9"/>
        <v/>
      </c>
      <c r="K273" s="21" t="str">
        <f>IF(J273&lt;&gt;"",VLOOKUP(J273,HeadCount!A:I,2,0),"")</f>
        <v/>
      </c>
      <c r="L273" s="21" t="str">
        <f>IF(J273&lt;&gt;"",VLOOKUP(J273,HeadCount!A:I,5,0),"")</f>
        <v/>
      </c>
      <c r="P273" s="19" t="str">
        <f t="shared" si="10"/>
        <v/>
      </c>
    </row>
    <row r="274" spans="1:16" x14ac:dyDescent="0.3">
      <c r="A274" s="19" t="str">
        <f t="shared" si="9"/>
        <v/>
      </c>
      <c r="K274" s="21" t="str">
        <f>IF(J274&lt;&gt;"",VLOOKUP(J274,HeadCount!A:I,2,0),"")</f>
        <v/>
      </c>
      <c r="L274" s="21" t="str">
        <f>IF(J274&lt;&gt;"",VLOOKUP(J274,HeadCount!A:I,5,0),"")</f>
        <v/>
      </c>
      <c r="P274" s="19" t="str">
        <f t="shared" si="10"/>
        <v/>
      </c>
    </row>
    <row r="275" spans="1:16" x14ac:dyDescent="0.3">
      <c r="A275" s="19" t="str">
        <f t="shared" si="9"/>
        <v/>
      </c>
      <c r="K275" s="21" t="str">
        <f>IF(J275&lt;&gt;"",VLOOKUP(J275,HeadCount!A:I,2,0),"")</f>
        <v/>
      </c>
      <c r="L275" s="21" t="str">
        <f>IF(J275&lt;&gt;"",VLOOKUP(J275,HeadCount!A:I,5,0),"")</f>
        <v/>
      </c>
      <c r="P275" s="19" t="str">
        <f t="shared" si="10"/>
        <v/>
      </c>
    </row>
    <row r="276" spans="1:16" x14ac:dyDescent="0.3">
      <c r="A276" s="19" t="str">
        <f t="shared" si="9"/>
        <v/>
      </c>
      <c r="K276" s="21" t="str">
        <f>IF(J276&lt;&gt;"",VLOOKUP(J276,HeadCount!A:I,2,0),"")</f>
        <v/>
      </c>
      <c r="L276" s="21" t="str">
        <f>IF(J276&lt;&gt;"",VLOOKUP(J276,HeadCount!A:I,5,0),"")</f>
        <v/>
      </c>
      <c r="P276" s="19" t="str">
        <f t="shared" si="10"/>
        <v/>
      </c>
    </row>
    <row r="277" spans="1:16" x14ac:dyDescent="0.3">
      <c r="A277" s="19" t="str">
        <f t="shared" si="9"/>
        <v/>
      </c>
      <c r="K277" s="21" t="str">
        <f>IF(J277&lt;&gt;"",VLOOKUP(J277,HeadCount!A:I,2,0),"")</f>
        <v/>
      </c>
      <c r="L277" s="21" t="str">
        <f>IF(J277&lt;&gt;"",VLOOKUP(J277,HeadCount!A:I,5,0),"")</f>
        <v/>
      </c>
      <c r="P277" s="19" t="str">
        <f t="shared" si="10"/>
        <v/>
      </c>
    </row>
    <row r="278" spans="1:16" x14ac:dyDescent="0.3">
      <c r="A278" s="19" t="str">
        <f t="shared" si="9"/>
        <v/>
      </c>
      <c r="K278" s="21" t="str">
        <f>IF(J278&lt;&gt;"",VLOOKUP(J278,HeadCount!A:I,2,0),"")</f>
        <v/>
      </c>
      <c r="L278" s="21" t="str">
        <f>IF(J278&lt;&gt;"",VLOOKUP(J278,HeadCount!A:I,5,0),"")</f>
        <v/>
      </c>
      <c r="P278" s="19" t="str">
        <f t="shared" si="10"/>
        <v/>
      </c>
    </row>
    <row r="279" spans="1:16" x14ac:dyDescent="0.3">
      <c r="A279" s="19" t="str">
        <f t="shared" si="9"/>
        <v/>
      </c>
      <c r="K279" s="21" t="str">
        <f>IF(J279&lt;&gt;"",VLOOKUP(J279,HeadCount!A:I,2,0),"")</f>
        <v/>
      </c>
      <c r="L279" s="21" t="str">
        <f>IF(J279&lt;&gt;"",VLOOKUP(J279,HeadCount!A:I,5,0),"")</f>
        <v/>
      </c>
      <c r="P279" s="19" t="str">
        <f t="shared" si="10"/>
        <v/>
      </c>
    </row>
    <row r="280" spans="1:16" x14ac:dyDescent="0.3">
      <c r="A280" s="19" t="str">
        <f t="shared" si="9"/>
        <v/>
      </c>
      <c r="K280" s="21" t="str">
        <f>IF(J280&lt;&gt;"",VLOOKUP(J280,HeadCount!A:I,2,0),"")</f>
        <v/>
      </c>
      <c r="L280" s="21" t="str">
        <f>IF(J280&lt;&gt;"",VLOOKUP(J280,HeadCount!A:I,5,0),"")</f>
        <v/>
      </c>
      <c r="P280" s="19" t="str">
        <f t="shared" si="10"/>
        <v/>
      </c>
    </row>
    <row r="281" spans="1:16" x14ac:dyDescent="0.3">
      <c r="A281" s="19" t="str">
        <f t="shared" si="9"/>
        <v/>
      </c>
      <c r="K281" s="21" t="str">
        <f>IF(J281&lt;&gt;"",VLOOKUP(J281,HeadCount!A:I,2,0),"")</f>
        <v/>
      </c>
      <c r="L281" s="21" t="str">
        <f>IF(J281&lt;&gt;"",VLOOKUP(J281,HeadCount!A:I,5,0),"")</f>
        <v/>
      </c>
      <c r="P281" s="19" t="str">
        <f t="shared" si="10"/>
        <v/>
      </c>
    </row>
    <row r="282" spans="1:16" x14ac:dyDescent="0.3">
      <c r="A282" s="19" t="str">
        <f t="shared" si="9"/>
        <v/>
      </c>
      <c r="K282" s="21" t="str">
        <f>IF(J282&lt;&gt;"",VLOOKUP(J282,HeadCount!A:I,2,0),"")</f>
        <v/>
      </c>
      <c r="L282" s="21" t="str">
        <f>IF(J282&lt;&gt;"",VLOOKUP(J282,HeadCount!A:I,5,0),"")</f>
        <v/>
      </c>
      <c r="P282" s="19" t="str">
        <f t="shared" si="10"/>
        <v/>
      </c>
    </row>
    <row r="283" spans="1:16" x14ac:dyDescent="0.3">
      <c r="A283" s="19" t="str">
        <f t="shared" si="9"/>
        <v/>
      </c>
      <c r="K283" s="21" t="str">
        <f>IF(J283&lt;&gt;"",VLOOKUP(J283,HeadCount!A:I,2,0),"")</f>
        <v/>
      </c>
      <c r="L283" s="21" t="str">
        <f>IF(J283&lt;&gt;"",VLOOKUP(J283,HeadCount!A:I,5,0),"")</f>
        <v/>
      </c>
      <c r="P283" s="19" t="str">
        <f t="shared" si="10"/>
        <v/>
      </c>
    </row>
    <row r="284" spans="1:16" x14ac:dyDescent="0.3">
      <c r="A284" s="19" t="str">
        <f t="shared" si="9"/>
        <v/>
      </c>
      <c r="K284" s="21" t="str">
        <f>IF(J284&lt;&gt;"",VLOOKUP(J284,HeadCount!A:I,2,0),"")</f>
        <v/>
      </c>
      <c r="L284" s="21" t="str">
        <f>IF(J284&lt;&gt;"",VLOOKUP(J284,HeadCount!A:I,5,0),"")</f>
        <v/>
      </c>
      <c r="P284" s="19" t="str">
        <f t="shared" si="10"/>
        <v/>
      </c>
    </row>
    <row r="285" spans="1:16" x14ac:dyDescent="0.3">
      <c r="A285" s="19" t="str">
        <f t="shared" si="9"/>
        <v/>
      </c>
      <c r="K285" s="21" t="str">
        <f>IF(J285&lt;&gt;"",VLOOKUP(J285,HeadCount!A:I,2,0),"")</f>
        <v/>
      </c>
      <c r="L285" s="21" t="str">
        <f>IF(J285&lt;&gt;"",VLOOKUP(J285,HeadCount!A:I,5,0),"")</f>
        <v/>
      </c>
      <c r="P285" s="19" t="str">
        <f t="shared" si="10"/>
        <v/>
      </c>
    </row>
    <row r="286" spans="1:16" x14ac:dyDescent="0.3">
      <c r="A286" s="19" t="str">
        <f t="shared" si="9"/>
        <v/>
      </c>
      <c r="K286" s="21" t="str">
        <f>IF(J286&lt;&gt;"",VLOOKUP(J286,HeadCount!A:I,2,0),"")</f>
        <v/>
      </c>
      <c r="L286" s="21" t="str">
        <f>IF(J286&lt;&gt;"",VLOOKUP(J286,HeadCount!A:I,5,0),"")</f>
        <v/>
      </c>
      <c r="P286" s="19" t="str">
        <f t="shared" si="10"/>
        <v/>
      </c>
    </row>
    <row r="287" spans="1:16" x14ac:dyDescent="0.3">
      <c r="A287" s="19" t="str">
        <f t="shared" si="9"/>
        <v/>
      </c>
      <c r="K287" s="21" t="str">
        <f>IF(J287&lt;&gt;"",VLOOKUP(J287,HeadCount!A:I,2,0),"")</f>
        <v/>
      </c>
      <c r="L287" s="21" t="str">
        <f>IF(J287&lt;&gt;"",VLOOKUP(J287,HeadCount!A:I,5,0),"")</f>
        <v/>
      </c>
      <c r="P287" s="19" t="str">
        <f t="shared" si="10"/>
        <v/>
      </c>
    </row>
    <row r="288" spans="1:16" x14ac:dyDescent="0.3">
      <c r="A288" s="19" t="str">
        <f t="shared" si="9"/>
        <v/>
      </c>
      <c r="K288" s="21" t="str">
        <f>IF(J288&lt;&gt;"",VLOOKUP(J288,HeadCount!A:I,2,0),"")</f>
        <v/>
      </c>
      <c r="L288" s="21" t="str">
        <f>IF(J288&lt;&gt;"",VLOOKUP(J288,HeadCount!A:I,5,0),"")</f>
        <v/>
      </c>
      <c r="P288" s="19" t="str">
        <f t="shared" si="10"/>
        <v/>
      </c>
    </row>
    <row r="289" spans="1:16" x14ac:dyDescent="0.3">
      <c r="A289" s="19" t="str">
        <f t="shared" si="9"/>
        <v/>
      </c>
      <c r="K289" s="21" t="str">
        <f>IF(J289&lt;&gt;"",VLOOKUP(J289,HeadCount!A:I,2,0),"")</f>
        <v/>
      </c>
      <c r="L289" s="21" t="str">
        <f>IF(J289&lt;&gt;"",VLOOKUP(J289,HeadCount!A:I,5,0),"")</f>
        <v/>
      </c>
      <c r="P289" s="19" t="str">
        <f t="shared" si="10"/>
        <v/>
      </c>
    </row>
    <row r="290" spans="1:16" x14ac:dyDescent="0.3">
      <c r="A290" s="19" t="str">
        <f t="shared" si="9"/>
        <v/>
      </c>
      <c r="K290" s="21" t="str">
        <f>IF(J290&lt;&gt;"",VLOOKUP(J290,HeadCount!A:I,2,0),"")</f>
        <v/>
      </c>
      <c r="L290" s="21" t="str">
        <f>IF(J290&lt;&gt;"",VLOOKUP(J290,HeadCount!A:I,5,0),"")</f>
        <v/>
      </c>
      <c r="P290" s="19" t="str">
        <f t="shared" si="10"/>
        <v/>
      </c>
    </row>
    <row r="291" spans="1:16" x14ac:dyDescent="0.3">
      <c r="A291" s="19" t="str">
        <f t="shared" si="9"/>
        <v/>
      </c>
      <c r="K291" s="21" t="str">
        <f>IF(J291&lt;&gt;"",VLOOKUP(J291,HeadCount!A:I,2,0),"")</f>
        <v/>
      </c>
      <c r="L291" s="21" t="str">
        <f>IF(J291&lt;&gt;"",VLOOKUP(J291,HeadCount!A:I,5,0),"")</f>
        <v/>
      </c>
      <c r="P291" s="19" t="str">
        <f t="shared" si="10"/>
        <v/>
      </c>
    </row>
    <row r="292" spans="1:16" x14ac:dyDescent="0.3">
      <c r="A292" s="19" t="str">
        <f t="shared" si="9"/>
        <v/>
      </c>
      <c r="K292" s="21" t="str">
        <f>IF(J292&lt;&gt;"",VLOOKUP(J292,HeadCount!A:I,2,0),"")</f>
        <v/>
      </c>
      <c r="L292" s="21" t="str">
        <f>IF(J292&lt;&gt;"",VLOOKUP(J292,HeadCount!A:I,5,0),"")</f>
        <v/>
      </c>
      <c r="P292" s="19" t="str">
        <f t="shared" si="10"/>
        <v/>
      </c>
    </row>
    <row r="293" spans="1:16" x14ac:dyDescent="0.3">
      <c r="A293" s="19" t="str">
        <f t="shared" si="9"/>
        <v/>
      </c>
      <c r="K293" s="21" t="str">
        <f>IF(J293&lt;&gt;"",VLOOKUP(J293,HeadCount!A:I,2,0),"")</f>
        <v/>
      </c>
      <c r="L293" s="21" t="str">
        <f>IF(J293&lt;&gt;"",VLOOKUP(J293,HeadCount!A:I,5,0),"")</f>
        <v/>
      </c>
      <c r="P293" s="19" t="str">
        <f t="shared" si="10"/>
        <v/>
      </c>
    </row>
    <row r="294" spans="1:16" x14ac:dyDescent="0.3">
      <c r="A294" s="19" t="str">
        <f t="shared" si="9"/>
        <v/>
      </c>
      <c r="K294" s="21" t="str">
        <f>IF(J294&lt;&gt;"",VLOOKUP(J294,HeadCount!A:I,2,0),"")</f>
        <v/>
      </c>
      <c r="L294" s="21" t="str">
        <f>IF(J294&lt;&gt;"",VLOOKUP(J294,HeadCount!A:I,5,0),"")</f>
        <v/>
      </c>
      <c r="P294" s="19" t="str">
        <f t="shared" si="10"/>
        <v/>
      </c>
    </row>
    <row r="295" spans="1:16" x14ac:dyDescent="0.3">
      <c r="A295" s="19" t="str">
        <f t="shared" si="9"/>
        <v/>
      </c>
      <c r="K295" s="21" t="str">
        <f>IF(J295&lt;&gt;"",VLOOKUP(J295,HeadCount!A:I,2,0),"")</f>
        <v/>
      </c>
      <c r="L295" s="21" t="str">
        <f>IF(J295&lt;&gt;"",VLOOKUP(J295,HeadCount!A:I,5,0),"")</f>
        <v/>
      </c>
      <c r="P295" s="19" t="str">
        <f t="shared" si="10"/>
        <v/>
      </c>
    </row>
    <row r="296" spans="1:16" x14ac:dyDescent="0.3">
      <c r="A296" s="19" t="str">
        <f t="shared" si="9"/>
        <v/>
      </c>
      <c r="K296" s="21" t="str">
        <f>IF(J296&lt;&gt;"",VLOOKUP(J296,HeadCount!A:I,2,0),"")</f>
        <v/>
      </c>
      <c r="L296" s="21" t="str">
        <f>IF(J296&lt;&gt;"",VLOOKUP(J296,HeadCount!A:I,5,0),"")</f>
        <v/>
      </c>
      <c r="P296" s="19" t="str">
        <f t="shared" si="10"/>
        <v/>
      </c>
    </row>
    <row r="297" spans="1:16" x14ac:dyDescent="0.3">
      <c r="A297" s="19" t="str">
        <f t="shared" si="9"/>
        <v/>
      </c>
      <c r="K297" s="21" t="str">
        <f>IF(J297&lt;&gt;"",VLOOKUP(J297,HeadCount!A:I,2,0),"")</f>
        <v/>
      </c>
      <c r="L297" s="21" t="str">
        <f>IF(J297&lt;&gt;"",VLOOKUP(J297,HeadCount!A:I,5,0),"")</f>
        <v/>
      </c>
      <c r="P297" s="19" t="str">
        <f t="shared" si="10"/>
        <v/>
      </c>
    </row>
    <row r="298" spans="1:16" x14ac:dyDescent="0.3">
      <c r="A298" s="19" t="str">
        <f t="shared" si="9"/>
        <v/>
      </c>
      <c r="K298" s="21" t="str">
        <f>IF(J298&lt;&gt;"",VLOOKUP(J298,HeadCount!A:I,2,0),"")</f>
        <v/>
      </c>
      <c r="L298" s="21" t="str">
        <f>IF(J298&lt;&gt;"",VLOOKUP(J298,HeadCount!A:I,5,0),"")</f>
        <v/>
      </c>
      <c r="P298" s="19" t="str">
        <f t="shared" si="10"/>
        <v/>
      </c>
    </row>
    <row r="299" spans="1:16" x14ac:dyDescent="0.3">
      <c r="A299" s="19" t="str">
        <f t="shared" si="9"/>
        <v/>
      </c>
      <c r="K299" s="21" t="str">
        <f>IF(J299&lt;&gt;"",VLOOKUP(J299,HeadCount!A:I,2,0),"")</f>
        <v/>
      </c>
      <c r="L299" s="21" t="str">
        <f>IF(J299&lt;&gt;"",VLOOKUP(J299,HeadCount!A:I,5,0),"")</f>
        <v/>
      </c>
      <c r="P299" s="19" t="str">
        <f t="shared" si="10"/>
        <v/>
      </c>
    </row>
    <row r="300" spans="1:16" x14ac:dyDescent="0.3">
      <c r="A300" s="19" t="str">
        <f t="shared" si="9"/>
        <v/>
      </c>
      <c r="K300" s="21" t="str">
        <f>IF(J300&lt;&gt;"",VLOOKUP(J300,HeadCount!A:I,2,0),"")</f>
        <v/>
      </c>
      <c r="L300" s="21" t="str">
        <f>IF(J300&lt;&gt;"",VLOOKUP(J300,HeadCount!A:I,5,0),"")</f>
        <v/>
      </c>
      <c r="P300" s="19" t="str">
        <f t="shared" si="10"/>
        <v/>
      </c>
    </row>
    <row r="301" spans="1:16" x14ac:dyDescent="0.3">
      <c r="A301" s="19" t="str">
        <f t="shared" si="9"/>
        <v/>
      </c>
      <c r="K301" s="21" t="str">
        <f>IF(J301&lt;&gt;"",VLOOKUP(J301,HeadCount!A:I,2,0),"")</f>
        <v/>
      </c>
      <c r="L301" s="21" t="str">
        <f>IF(J301&lt;&gt;"",VLOOKUP(J301,HeadCount!A:I,5,0),"")</f>
        <v/>
      </c>
      <c r="P301" s="19" t="str">
        <f t="shared" si="10"/>
        <v/>
      </c>
    </row>
    <row r="302" spans="1:16" x14ac:dyDescent="0.3">
      <c r="A302" s="19" t="str">
        <f t="shared" si="9"/>
        <v/>
      </c>
      <c r="K302" s="21" t="str">
        <f>IF(J302&lt;&gt;"",VLOOKUP(J302,HeadCount!A:I,2,0),"")</f>
        <v/>
      </c>
      <c r="L302" s="21" t="str">
        <f>IF(J302&lt;&gt;"",VLOOKUP(J302,HeadCount!A:I,5,0),"")</f>
        <v/>
      </c>
      <c r="P302" s="19" t="str">
        <f t="shared" si="10"/>
        <v/>
      </c>
    </row>
    <row r="303" spans="1:16" x14ac:dyDescent="0.3">
      <c r="A303" s="19" t="str">
        <f t="shared" si="9"/>
        <v/>
      </c>
      <c r="K303" s="21" t="str">
        <f>IF(J303&lt;&gt;"",VLOOKUP(J303,HeadCount!A:I,2,0),"")</f>
        <v/>
      </c>
      <c r="L303" s="21" t="str">
        <f>IF(J303&lt;&gt;"",VLOOKUP(J303,HeadCount!A:I,5,0),"")</f>
        <v/>
      </c>
      <c r="P303" s="19" t="str">
        <f t="shared" si="10"/>
        <v/>
      </c>
    </row>
    <row r="304" spans="1:16" x14ac:dyDescent="0.3">
      <c r="A304" s="19" t="str">
        <f t="shared" si="9"/>
        <v/>
      </c>
      <c r="K304" s="21" t="str">
        <f>IF(J304&lt;&gt;"",VLOOKUP(J304,HeadCount!A:I,2,0),"")</f>
        <v/>
      </c>
      <c r="L304" s="21" t="str">
        <f>IF(J304&lt;&gt;"",VLOOKUP(J304,HeadCount!A:I,5,0),"")</f>
        <v/>
      </c>
      <c r="P304" s="19" t="str">
        <f t="shared" si="10"/>
        <v/>
      </c>
    </row>
    <row r="305" spans="1:16" x14ac:dyDescent="0.3">
      <c r="A305" s="19" t="str">
        <f t="shared" si="9"/>
        <v/>
      </c>
      <c r="K305" s="21" t="str">
        <f>IF(J305&lt;&gt;"",VLOOKUP(J305,HeadCount!A:I,2,0),"")</f>
        <v/>
      </c>
      <c r="L305" s="21" t="str">
        <f>IF(J305&lt;&gt;"",VLOOKUP(J305,HeadCount!A:I,5,0),"")</f>
        <v/>
      </c>
      <c r="P305" s="19" t="str">
        <f t="shared" si="10"/>
        <v/>
      </c>
    </row>
    <row r="306" spans="1:16" x14ac:dyDescent="0.3">
      <c r="A306" s="19" t="str">
        <f t="shared" si="9"/>
        <v/>
      </c>
      <c r="K306" s="21" t="str">
        <f>IF(J306&lt;&gt;"",VLOOKUP(J306,HeadCount!A:I,2,0),"")</f>
        <v/>
      </c>
      <c r="L306" s="21" t="str">
        <f>IF(J306&lt;&gt;"",VLOOKUP(J306,HeadCount!A:I,5,0),"")</f>
        <v/>
      </c>
      <c r="P306" s="19" t="str">
        <f t="shared" si="10"/>
        <v/>
      </c>
    </row>
    <row r="307" spans="1:16" x14ac:dyDescent="0.3">
      <c r="A307" s="19" t="str">
        <f t="shared" si="9"/>
        <v/>
      </c>
      <c r="K307" s="21" t="str">
        <f>IF(J307&lt;&gt;"",VLOOKUP(J307,HeadCount!A:I,2,0),"")</f>
        <v/>
      </c>
      <c r="L307" s="21" t="str">
        <f>IF(J307&lt;&gt;"",VLOOKUP(J307,HeadCount!A:I,5,0),"")</f>
        <v/>
      </c>
      <c r="P307" s="19" t="str">
        <f t="shared" si="10"/>
        <v/>
      </c>
    </row>
    <row r="308" spans="1:16" x14ac:dyDescent="0.3">
      <c r="A308" s="19" t="str">
        <f t="shared" si="9"/>
        <v/>
      </c>
      <c r="K308" s="21" t="str">
        <f>IF(J308&lt;&gt;"",VLOOKUP(J308,HeadCount!A:I,2,0),"")</f>
        <v/>
      </c>
      <c r="L308" s="21" t="str">
        <f>IF(J308&lt;&gt;"",VLOOKUP(J308,HeadCount!A:I,5,0),"")</f>
        <v/>
      </c>
      <c r="P308" s="19" t="str">
        <f t="shared" si="10"/>
        <v/>
      </c>
    </row>
    <row r="309" spans="1:16" x14ac:dyDescent="0.3">
      <c r="A309" s="19" t="str">
        <f t="shared" si="9"/>
        <v/>
      </c>
      <c r="K309" s="21" t="str">
        <f>IF(J309&lt;&gt;"",VLOOKUP(J309,HeadCount!A:I,2,0),"")</f>
        <v/>
      </c>
      <c r="L309" s="21" t="str">
        <f>IF(J309&lt;&gt;"",VLOOKUP(J309,HeadCount!A:I,5,0),"")</f>
        <v/>
      </c>
      <c r="P309" s="19" t="str">
        <f t="shared" si="10"/>
        <v/>
      </c>
    </row>
    <row r="310" spans="1:16" x14ac:dyDescent="0.3">
      <c r="A310" s="19" t="str">
        <f t="shared" si="9"/>
        <v/>
      </c>
      <c r="K310" s="21" t="str">
        <f>IF(J310&lt;&gt;"",VLOOKUP(J310,HeadCount!A:I,2,0),"")</f>
        <v/>
      </c>
      <c r="L310" s="21" t="str">
        <f>IF(J310&lt;&gt;"",VLOOKUP(J310,HeadCount!A:I,5,0),"")</f>
        <v/>
      </c>
      <c r="P310" s="19" t="str">
        <f t="shared" si="10"/>
        <v/>
      </c>
    </row>
    <row r="311" spans="1:16" x14ac:dyDescent="0.3">
      <c r="A311" s="19" t="str">
        <f t="shared" si="9"/>
        <v/>
      </c>
      <c r="K311" s="21" t="str">
        <f>IF(J311&lt;&gt;"",VLOOKUP(J311,HeadCount!A:I,2,0),"")</f>
        <v/>
      </c>
      <c r="L311" s="21" t="str">
        <f>IF(J311&lt;&gt;"",VLOOKUP(J311,HeadCount!A:I,5,0),"")</f>
        <v/>
      </c>
      <c r="P311" s="19" t="str">
        <f t="shared" si="10"/>
        <v/>
      </c>
    </row>
    <row r="312" spans="1:16" x14ac:dyDescent="0.3">
      <c r="A312" s="19" t="str">
        <f t="shared" si="9"/>
        <v/>
      </c>
      <c r="K312" s="21" t="str">
        <f>IF(J312&lt;&gt;"",VLOOKUP(J312,HeadCount!A:I,2,0),"")</f>
        <v/>
      </c>
      <c r="L312" s="21" t="str">
        <f>IF(J312&lt;&gt;"",VLOOKUP(J312,HeadCount!A:I,5,0),"")</f>
        <v/>
      </c>
      <c r="P312" s="19" t="str">
        <f t="shared" si="10"/>
        <v/>
      </c>
    </row>
    <row r="313" spans="1:16" x14ac:dyDescent="0.3">
      <c r="A313" s="19" t="str">
        <f t="shared" si="9"/>
        <v/>
      </c>
      <c r="K313" s="21" t="str">
        <f>IF(J313&lt;&gt;"",VLOOKUP(J313,HeadCount!A:I,2,0),"")</f>
        <v/>
      </c>
      <c r="L313" s="21" t="str">
        <f>IF(J313&lt;&gt;"",VLOOKUP(J313,HeadCount!A:I,5,0),"")</f>
        <v/>
      </c>
      <c r="P313" s="19" t="str">
        <f t="shared" si="10"/>
        <v/>
      </c>
    </row>
    <row r="314" spans="1:16" x14ac:dyDescent="0.3">
      <c r="A314" s="19" t="str">
        <f t="shared" si="9"/>
        <v/>
      </c>
      <c r="K314" s="21" t="str">
        <f>IF(J314&lt;&gt;"",VLOOKUP(J314,HeadCount!A:I,2,0),"")</f>
        <v/>
      </c>
      <c r="L314" s="21" t="str">
        <f>IF(J314&lt;&gt;"",VLOOKUP(J314,HeadCount!A:I,5,0),"")</f>
        <v/>
      </c>
      <c r="P314" s="19" t="str">
        <f t="shared" si="10"/>
        <v/>
      </c>
    </row>
    <row r="315" spans="1:16" x14ac:dyDescent="0.3">
      <c r="A315" s="19" t="str">
        <f t="shared" si="9"/>
        <v/>
      </c>
      <c r="K315" s="21" t="str">
        <f>IF(J315&lt;&gt;"",VLOOKUP(J315,HeadCount!A:I,2,0),"")</f>
        <v/>
      </c>
      <c r="L315" s="21" t="str">
        <f>IF(J315&lt;&gt;"",VLOOKUP(J315,HeadCount!A:I,5,0),"")</f>
        <v/>
      </c>
      <c r="P315" s="19" t="str">
        <f t="shared" si="10"/>
        <v/>
      </c>
    </row>
    <row r="316" spans="1:16" x14ac:dyDescent="0.3">
      <c r="A316" s="19" t="str">
        <f t="shared" si="9"/>
        <v/>
      </c>
      <c r="K316" s="21" t="str">
        <f>IF(J316&lt;&gt;"",VLOOKUP(J316,HeadCount!A:I,2,0),"")</f>
        <v/>
      </c>
      <c r="L316" s="21" t="str">
        <f>IF(J316&lt;&gt;"",VLOOKUP(J316,HeadCount!A:I,5,0),"")</f>
        <v/>
      </c>
      <c r="P316" s="19" t="str">
        <f t="shared" si="10"/>
        <v/>
      </c>
    </row>
    <row r="317" spans="1:16" x14ac:dyDescent="0.3">
      <c r="A317" s="19" t="str">
        <f t="shared" si="9"/>
        <v/>
      </c>
      <c r="K317" s="21" t="str">
        <f>IF(J317&lt;&gt;"",VLOOKUP(J317,HeadCount!A:I,2,0),"")</f>
        <v/>
      </c>
      <c r="L317" s="21" t="str">
        <f>IF(J317&lt;&gt;"",VLOOKUP(J317,HeadCount!A:I,5,0),"")</f>
        <v/>
      </c>
      <c r="P317" s="19" t="str">
        <f t="shared" si="10"/>
        <v/>
      </c>
    </row>
    <row r="318" spans="1:16" x14ac:dyDescent="0.3">
      <c r="A318" s="19" t="str">
        <f t="shared" si="9"/>
        <v/>
      </c>
      <c r="K318" s="21" t="str">
        <f>IF(J318&lt;&gt;"",VLOOKUP(J318,HeadCount!A:I,2,0),"")</f>
        <v/>
      </c>
      <c r="L318" s="21" t="str">
        <f>IF(J318&lt;&gt;"",VLOOKUP(J318,HeadCount!A:I,5,0),"")</f>
        <v/>
      </c>
      <c r="P318" s="19" t="str">
        <f t="shared" si="10"/>
        <v/>
      </c>
    </row>
    <row r="319" spans="1:16" x14ac:dyDescent="0.3">
      <c r="A319" s="19" t="str">
        <f t="shared" si="9"/>
        <v/>
      </c>
      <c r="K319" s="21" t="str">
        <f>IF(J319&lt;&gt;"",VLOOKUP(J319,HeadCount!A:I,2,0),"")</f>
        <v/>
      </c>
      <c r="L319" s="21" t="str">
        <f>IF(J319&lt;&gt;"",VLOOKUP(J319,HeadCount!A:I,5,0),"")</f>
        <v/>
      </c>
      <c r="P319" s="19" t="str">
        <f t="shared" si="10"/>
        <v/>
      </c>
    </row>
    <row r="320" spans="1:16" x14ac:dyDescent="0.3">
      <c r="A320" s="19" t="str">
        <f t="shared" si="9"/>
        <v/>
      </c>
      <c r="K320" s="21" t="str">
        <f>IF(J320&lt;&gt;"",VLOOKUP(J320,HeadCount!A:I,2,0),"")</f>
        <v/>
      </c>
      <c r="L320" s="21" t="str">
        <f>IF(J320&lt;&gt;"",VLOOKUP(J320,HeadCount!A:I,5,0),"")</f>
        <v/>
      </c>
      <c r="P320" s="19" t="str">
        <f t="shared" si="10"/>
        <v/>
      </c>
    </row>
    <row r="321" spans="1:16" x14ac:dyDescent="0.3">
      <c r="A321" s="19" t="str">
        <f t="shared" si="9"/>
        <v/>
      </c>
      <c r="K321" s="21" t="str">
        <f>IF(J321&lt;&gt;"",VLOOKUP(J321,HeadCount!A:I,2,0),"")</f>
        <v/>
      </c>
      <c r="L321" s="21" t="str">
        <f>IF(J321&lt;&gt;"",VLOOKUP(J321,HeadCount!A:I,5,0),"")</f>
        <v/>
      </c>
      <c r="P321" s="19" t="str">
        <f t="shared" si="10"/>
        <v/>
      </c>
    </row>
    <row r="322" spans="1:16" x14ac:dyDescent="0.3">
      <c r="A322" s="19" t="str">
        <f t="shared" ref="A322:A385" si="11">IF(C322&lt;&gt;"",ROW(A321),"")</f>
        <v/>
      </c>
      <c r="K322" s="21" t="str">
        <f>IF(J322&lt;&gt;"",VLOOKUP(J322,HeadCount!A:I,2,0),"")</f>
        <v/>
      </c>
      <c r="L322" s="21" t="str">
        <f>IF(J322&lt;&gt;"",VLOOKUP(J322,HeadCount!A:I,5,0),"")</f>
        <v/>
      </c>
      <c r="P322" s="19" t="str">
        <f t="shared" si="10"/>
        <v/>
      </c>
    </row>
    <row r="323" spans="1:16" x14ac:dyDescent="0.3">
      <c r="A323" s="19" t="str">
        <f t="shared" si="11"/>
        <v/>
      </c>
      <c r="K323" s="21" t="str">
        <f>IF(J323&lt;&gt;"",VLOOKUP(J323,HeadCount!A:I,2,0),"")</f>
        <v/>
      </c>
      <c r="L323" s="21" t="str">
        <f>IF(J323&lt;&gt;"",VLOOKUP(J323,HeadCount!A:I,5,0),"")</f>
        <v/>
      </c>
      <c r="P323" s="19" t="str">
        <f t="shared" ref="P323:P386" si="12">IF(N323="","",(O323-N323)+1)</f>
        <v/>
      </c>
    </row>
    <row r="324" spans="1:16" x14ac:dyDescent="0.3">
      <c r="A324" s="19" t="str">
        <f t="shared" si="11"/>
        <v/>
      </c>
      <c r="K324" s="21" t="str">
        <f>IF(J324&lt;&gt;"",VLOOKUP(J324,HeadCount!A:I,2,0),"")</f>
        <v/>
      </c>
      <c r="L324" s="21" t="str">
        <f>IF(J324&lt;&gt;"",VLOOKUP(J324,HeadCount!A:I,5,0),"")</f>
        <v/>
      </c>
      <c r="P324" s="19" t="str">
        <f t="shared" si="12"/>
        <v/>
      </c>
    </row>
    <row r="325" spans="1:16" x14ac:dyDescent="0.3">
      <c r="A325" s="19" t="str">
        <f t="shared" si="11"/>
        <v/>
      </c>
      <c r="K325" s="21" t="str">
        <f>IF(J325&lt;&gt;"",VLOOKUP(J325,HeadCount!A:I,2,0),"")</f>
        <v/>
      </c>
      <c r="L325" s="21" t="str">
        <f>IF(J325&lt;&gt;"",VLOOKUP(J325,HeadCount!A:I,5,0),"")</f>
        <v/>
      </c>
      <c r="P325" s="19" t="str">
        <f t="shared" si="12"/>
        <v/>
      </c>
    </row>
    <row r="326" spans="1:16" x14ac:dyDescent="0.3">
      <c r="A326" s="19" t="str">
        <f t="shared" si="11"/>
        <v/>
      </c>
      <c r="K326" s="21" t="str">
        <f>IF(J326&lt;&gt;"",VLOOKUP(J326,HeadCount!A:I,2,0),"")</f>
        <v/>
      </c>
      <c r="L326" s="21" t="str">
        <f>IF(J326&lt;&gt;"",VLOOKUP(J326,HeadCount!A:I,5,0),"")</f>
        <v/>
      </c>
      <c r="P326" s="19" t="str">
        <f t="shared" si="12"/>
        <v/>
      </c>
    </row>
    <row r="327" spans="1:16" x14ac:dyDescent="0.3">
      <c r="A327" s="19" t="str">
        <f t="shared" si="11"/>
        <v/>
      </c>
      <c r="K327" s="21" t="str">
        <f>IF(J327&lt;&gt;"",VLOOKUP(J327,HeadCount!A:I,2,0),"")</f>
        <v/>
      </c>
      <c r="L327" s="21" t="str">
        <f>IF(J327&lt;&gt;"",VLOOKUP(J327,HeadCount!A:I,5,0),"")</f>
        <v/>
      </c>
      <c r="P327" s="19" t="str">
        <f t="shared" si="12"/>
        <v/>
      </c>
    </row>
    <row r="328" spans="1:16" x14ac:dyDescent="0.3">
      <c r="A328" s="19" t="str">
        <f t="shared" si="11"/>
        <v/>
      </c>
      <c r="K328" s="21" t="str">
        <f>IF(J328&lt;&gt;"",VLOOKUP(J328,HeadCount!A:I,2,0),"")</f>
        <v/>
      </c>
      <c r="L328" s="21" t="str">
        <f>IF(J328&lt;&gt;"",VLOOKUP(J328,HeadCount!A:I,5,0),"")</f>
        <v/>
      </c>
      <c r="P328" s="19" t="str">
        <f t="shared" si="12"/>
        <v/>
      </c>
    </row>
    <row r="329" spans="1:16" x14ac:dyDescent="0.3">
      <c r="A329" s="19" t="str">
        <f t="shared" si="11"/>
        <v/>
      </c>
      <c r="K329" s="21" t="str">
        <f>IF(J329&lt;&gt;"",VLOOKUP(J329,HeadCount!A:I,2,0),"")</f>
        <v/>
      </c>
      <c r="L329" s="21" t="str">
        <f>IF(J329&lt;&gt;"",VLOOKUP(J329,HeadCount!A:I,5,0),"")</f>
        <v/>
      </c>
      <c r="P329" s="19" t="str">
        <f t="shared" si="12"/>
        <v/>
      </c>
    </row>
    <row r="330" spans="1:16" x14ac:dyDescent="0.3">
      <c r="A330" s="19" t="str">
        <f t="shared" si="11"/>
        <v/>
      </c>
      <c r="K330" s="21" t="str">
        <f>IF(J330&lt;&gt;"",VLOOKUP(J330,HeadCount!A:I,2,0),"")</f>
        <v/>
      </c>
      <c r="L330" s="21" t="str">
        <f>IF(J330&lt;&gt;"",VLOOKUP(J330,HeadCount!A:I,5,0),"")</f>
        <v/>
      </c>
      <c r="P330" s="19" t="str">
        <f t="shared" si="12"/>
        <v/>
      </c>
    </row>
    <row r="331" spans="1:16" x14ac:dyDescent="0.3">
      <c r="A331" s="19" t="str">
        <f t="shared" si="11"/>
        <v/>
      </c>
      <c r="K331" s="21" t="str">
        <f>IF(J331&lt;&gt;"",VLOOKUP(J331,HeadCount!A:I,2,0),"")</f>
        <v/>
      </c>
      <c r="L331" s="21" t="str">
        <f>IF(J331&lt;&gt;"",VLOOKUP(J331,HeadCount!A:I,5,0),"")</f>
        <v/>
      </c>
      <c r="P331" s="19" t="str">
        <f t="shared" si="12"/>
        <v/>
      </c>
    </row>
    <row r="332" spans="1:16" x14ac:dyDescent="0.3">
      <c r="A332" s="19" t="str">
        <f t="shared" si="11"/>
        <v/>
      </c>
      <c r="K332" s="21" t="str">
        <f>IF(J332&lt;&gt;"",VLOOKUP(J332,HeadCount!A:I,2,0),"")</f>
        <v/>
      </c>
      <c r="L332" s="21" t="str">
        <f>IF(J332&lt;&gt;"",VLOOKUP(J332,HeadCount!A:I,5,0),"")</f>
        <v/>
      </c>
      <c r="P332" s="19" t="str">
        <f t="shared" si="12"/>
        <v/>
      </c>
    </row>
    <row r="333" spans="1:16" x14ac:dyDescent="0.3">
      <c r="A333" s="19" t="str">
        <f t="shared" si="11"/>
        <v/>
      </c>
      <c r="K333" s="21" t="str">
        <f>IF(J333&lt;&gt;"",VLOOKUP(J333,HeadCount!A:I,2,0),"")</f>
        <v/>
      </c>
      <c r="L333" s="21" t="str">
        <f>IF(J333&lt;&gt;"",VLOOKUP(J333,HeadCount!A:I,5,0),"")</f>
        <v/>
      </c>
      <c r="P333" s="19" t="str">
        <f t="shared" si="12"/>
        <v/>
      </c>
    </row>
    <row r="334" spans="1:16" x14ac:dyDescent="0.3">
      <c r="A334" s="19" t="str">
        <f t="shared" si="11"/>
        <v/>
      </c>
      <c r="K334" s="21" t="str">
        <f>IF(J334&lt;&gt;"",VLOOKUP(J334,HeadCount!A:I,2,0),"")</f>
        <v/>
      </c>
      <c r="L334" s="21" t="str">
        <f>IF(J334&lt;&gt;"",VLOOKUP(J334,HeadCount!A:I,5,0),"")</f>
        <v/>
      </c>
      <c r="P334" s="19" t="str">
        <f t="shared" si="12"/>
        <v/>
      </c>
    </row>
    <row r="335" spans="1:16" x14ac:dyDescent="0.3">
      <c r="A335" s="19" t="str">
        <f t="shared" si="11"/>
        <v/>
      </c>
      <c r="K335" s="21" t="str">
        <f>IF(J335&lt;&gt;"",VLOOKUP(J335,HeadCount!A:I,2,0),"")</f>
        <v/>
      </c>
      <c r="L335" s="21" t="str">
        <f>IF(J335&lt;&gt;"",VLOOKUP(J335,HeadCount!A:I,5,0),"")</f>
        <v/>
      </c>
      <c r="P335" s="19" t="str">
        <f t="shared" si="12"/>
        <v/>
      </c>
    </row>
    <row r="336" spans="1:16" x14ac:dyDescent="0.3">
      <c r="A336" s="19" t="str">
        <f t="shared" si="11"/>
        <v/>
      </c>
      <c r="K336" s="21" t="str">
        <f>IF(J336&lt;&gt;"",VLOOKUP(J336,HeadCount!A:I,2,0),"")</f>
        <v/>
      </c>
      <c r="L336" s="21" t="str">
        <f>IF(J336&lt;&gt;"",VLOOKUP(J336,HeadCount!A:I,5,0),"")</f>
        <v/>
      </c>
      <c r="P336" s="19" t="str">
        <f t="shared" si="12"/>
        <v/>
      </c>
    </row>
    <row r="337" spans="1:16" x14ac:dyDescent="0.3">
      <c r="A337" s="19" t="str">
        <f t="shared" si="11"/>
        <v/>
      </c>
      <c r="K337" s="21" t="str">
        <f>IF(J337&lt;&gt;"",VLOOKUP(J337,HeadCount!A:I,2,0),"")</f>
        <v/>
      </c>
      <c r="L337" s="21" t="str">
        <f>IF(J337&lt;&gt;"",VLOOKUP(J337,HeadCount!A:I,5,0),"")</f>
        <v/>
      </c>
      <c r="P337" s="19" t="str">
        <f t="shared" si="12"/>
        <v/>
      </c>
    </row>
    <row r="338" spans="1:16" x14ac:dyDescent="0.3">
      <c r="A338" s="19" t="str">
        <f t="shared" si="11"/>
        <v/>
      </c>
      <c r="K338" s="21" t="str">
        <f>IF(J338&lt;&gt;"",VLOOKUP(J338,HeadCount!A:I,2,0),"")</f>
        <v/>
      </c>
      <c r="L338" s="21" t="str">
        <f>IF(J338&lt;&gt;"",VLOOKUP(J338,HeadCount!A:I,5,0),"")</f>
        <v/>
      </c>
      <c r="P338" s="19" t="str">
        <f t="shared" si="12"/>
        <v/>
      </c>
    </row>
    <row r="339" spans="1:16" x14ac:dyDescent="0.3">
      <c r="A339" s="19" t="str">
        <f t="shared" si="11"/>
        <v/>
      </c>
      <c r="K339" s="21" t="str">
        <f>IF(J339&lt;&gt;"",VLOOKUP(J339,HeadCount!A:I,2,0),"")</f>
        <v/>
      </c>
      <c r="L339" s="21" t="str">
        <f>IF(J339&lt;&gt;"",VLOOKUP(J339,HeadCount!A:I,5,0),"")</f>
        <v/>
      </c>
      <c r="P339" s="19" t="str">
        <f t="shared" si="12"/>
        <v/>
      </c>
    </row>
    <row r="340" spans="1:16" x14ac:dyDescent="0.3">
      <c r="A340" s="19" t="str">
        <f t="shared" si="11"/>
        <v/>
      </c>
      <c r="K340" s="21" t="str">
        <f>IF(J340&lt;&gt;"",VLOOKUP(J340,HeadCount!A:I,2,0),"")</f>
        <v/>
      </c>
      <c r="L340" s="21" t="str">
        <f>IF(J340&lt;&gt;"",VLOOKUP(J340,HeadCount!A:I,5,0),"")</f>
        <v/>
      </c>
      <c r="P340" s="19" t="str">
        <f t="shared" si="12"/>
        <v/>
      </c>
    </row>
    <row r="341" spans="1:16" x14ac:dyDescent="0.3">
      <c r="A341" s="19" t="str">
        <f t="shared" si="11"/>
        <v/>
      </c>
      <c r="K341" s="21" t="str">
        <f>IF(J341&lt;&gt;"",VLOOKUP(J341,HeadCount!A:I,2,0),"")</f>
        <v/>
      </c>
      <c r="L341" s="21" t="str">
        <f>IF(J341&lt;&gt;"",VLOOKUP(J341,HeadCount!A:I,5,0),"")</f>
        <v/>
      </c>
      <c r="P341" s="19" t="str">
        <f t="shared" si="12"/>
        <v/>
      </c>
    </row>
    <row r="342" spans="1:16" x14ac:dyDescent="0.3">
      <c r="A342" s="19" t="str">
        <f t="shared" si="11"/>
        <v/>
      </c>
      <c r="K342" s="21" t="str">
        <f>IF(J342&lt;&gt;"",VLOOKUP(J342,HeadCount!A:I,2,0),"")</f>
        <v/>
      </c>
      <c r="L342" s="21" t="str">
        <f>IF(J342&lt;&gt;"",VLOOKUP(J342,HeadCount!A:I,5,0),"")</f>
        <v/>
      </c>
      <c r="P342" s="19" t="str">
        <f t="shared" si="12"/>
        <v/>
      </c>
    </row>
    <row r="343" spans="1:16" x14ac:dyDescent="0.3">
      <c r="A343" s="19" t="str">
        <f t="shared" si="11"/>
        <v/>
      </c>
      <c r="K343" s="21" t="str">
        <f>IF(J343&lt;&gt;"",VLOOKUP(J343,HeadCount!A:I,2,0),"")</f>
        <v/>
      </c>
      <c r="L343" s="21" t="str">
        <f>IF(J343&lt;&gt;"",VLOOKUP(J343,HeadCount!A:I,5,0),"")</f>
        <v/>
      </c>
      <c r="P343" s="19" t="str">
        <f t="shared" si="12"/>
        <v/>
      </c>
    </row>
    <row r="344" spans="1:16" x14ac:dyDescent="0.3">
      <c r="A344" s="19" t="str">
        <f t="shared" si="11"/>
        <v/>
      </c>
      <c r="K344" s="21" t="str">
        <f>IF(J344&lt;&gt;"",VLOOKUP(J344,HeadCount!A:I,2,0),"")</f>
        <v/>
      </c>
      <c r="L344" s="21" t="str">
        <f>IF(J344&lt;&gt;"",VLOOKUP(J344,HeadCount!A:I,5,0),"")</f>
        <v/>
      </c>
      <c r="P344" s="19" t="str">
        <f t="shared" si="12"/>
        <v/>
      </c>
    </row>
    <row r="345" spans="1:16" x14ac:dyDescent="0.3">
      <c r="A345" s="19" t="str">
        <f t="shared" si="11"/>
        <v/>
      </c>
      <c r="K345" s="21" t="str">
        <f>IF(J345&lt;&gt;"",VLOOKUP(J345,HeadCount!A:I,2,0),"")</f>
        <v/>
      </c>
      <c r="L345" s="21" t="str">
        <f>IF(J345&lt;&gt;"",VLOOKUP(J345,HeadCount!A:I,5,0),"")</f>
        <v/>
      </c>
      <c r="P345" s="19" t="str">
        <f t="shared" si="12"/>
        <v/>
      </c>
    </row>
    <row r="346" spans="1:16" x14ac:dyDescent="0.3">
      <c r="A346" s="19" t="str">
        <f t="shared" si="11"/>
        <v/>
      </c>
      <c r="K346" s="21" t="str">
        <f>IF(J346&lt;&gt;"",VLOOKUP(J346,HeadCount!A:I,2,0),"")</f>
        <v/>
      </c>
      <c r="L346" s="21" t="str">
        <f>IF(J346&lt;&gt;"",VLOOKUP(J346,HeadCount!A:I,5,0),"")</f>
        <v/>
      </c>
      <c r="P346" s="19" t="str">
        <f t="shared" si="12"/>
        <v/>
      </c>
    </row>
    <row r="347" spans="1:16" x14ac:dyDescent="0.3">
      <c r="A347" s="19" t="str">
        <f t="shared" si="11"/>
        <v/>
      </c>
      <c r="K347" s="21" t="str">
        <f>IF(J347&lt;&gt;"",VLOOKUP(J347,HeadCount!A:I,2,0),"")</f>
        <v/>
      </c>
      <c r="L347" s="21" t="str">
        <f>IF(J347&lt;&gt;"",VLOOKUP(J347,HeadCount!A:I,5,0),"")</f>
        <v/>
      </c>
      <c r="P347" s="19" t="str">
        <f t="shared" si="12"/>
        <v/>
      </c>
    </row>
    <row r="348" spans="1:16" x14ac:dyDescent="0.3">
      <c r="A348" s="19" t="str">
        <f t="shared" si="11"/>
        <v/>
      </c>
      <c r="K348" s="21" t="str">
        <f>IF(J348&lt;&gt;"",VLOOKUP(J348,HeadCount!A:I,2,0),"")</f>
        <v/>
      </c>
      <c r="L348" s="21" t="str">
        <f>IF(J348&lt;&gt;"",VLOOKUP(J348,HeadCount!A:I,5,0),"")</f>
        <v/>
      </c>
      <c r="P348" s="19" t="str">
        <f t="shared" si="12"/>
        <v/>
      </c>
    </row>
    <row r="349" spans="1:16" x14ac:dyDescent="0.3">
      <c r="A349" s="19" t="str">
        <f t="shared" si="11"/>
        <v/>
      </c>
      <c r="K349" s="21" t="str">
        <f>IF(J349&lt;&gt;"",VLOOKUP(J349,HeadCount!A:I,2,0),"")</f>
        <v/>
      </c>
      <c r="L349" s="21" t="str">
        <f>IF(J349&lt;&gt;"",VLOOKUP(J349,HeadCount!A:I,5,0),"")</f>
        <v/>
      </c>
      <c r="P349" s="19" t="str">
        <f t="shared" si="12"/>
        <v/>
      </c>
    </row>
    <row r="350" spans="1:16" x14ac:dyDescent="0.3">
      <c r="A350" s="19" t="str">
        <f t="shared" si="11"/>
        <v/>
      </c>
      <c r="K350" s="21" t="str">
        <f>IF(J350&lt;&gt;"",VLOOKUP(J350,HeadCount!A:I,2,0),"")</f>
        <v/>
      </c>
      <c r="L350" s="21" t="str">
        <f>IF(J350&lt;&gt;"",VLOOKUP(J350,HeadCount!A:I,5,0),"")</f>
        <v/>
      </c>
      <c r="P350" s="19" t="str">
        <f t="shared" si="12"/>
        <v/>
      </c>
    </row>
    <row r="351" spans="1:16" x14ac:dyDescent="0.3">
      <c r="A351" s="19" t="str">
        <f t="shared" si="11"/>
        <v/>
      </c>
    </row>
    <row r="352" spans="1:16" x14ac:dyDescent="0.3">
      <c r="A352" s="19" t="str">
        <f t="shared" si="11"/>
        <v/>
      </c>
    </row>
    <row r="353" spans="1:16" x14ac:dyDescent="0.3">
      <c r="A353" s="19" t="str">
        <f t="shared" si="11"/>
        <v/>
      </c>
    </row>
    <row r="354" spans="1:16" x14ac:dyDescent="0.3">
      <c r="A354" s="19" t="str">
        <f t="shared" si="11"/>
        <v/>
      </c>
    </row>
    <row r="355" spans="1:16" x14ac:dyDescent="0.3">
      <c r="A355" s="19" t="str">
        <f t="shared" si="11"/>
        <v/>
      </c>
    </row>
    <row r="356" spans="1:16" x14ac:dyDescent="0.3">
      <c r="A356" s="19" t="str">
        <f t="shared" si="11"/>
        <v/>
      </c>
    </row>
    <row r="357" spans="1:16" x14ac:dyDescent="0.3">
      <c r="A357" s="19" t="str">
        <f t="shared" si="11"/>
        <v/>
      </c>
    </row>
    <row r="358" spans="1:16" x14ac:dyDescent="0.3">
      <c r="A358" s="19" t="str">
        <f t="shared" si="11"/>
        <v/>
      </c>
    </row>
    <row r="359" spans="1:16" x14ac:dyDescent="0.3">
      <c r="A359" s="19" t="str">
        <f t="shared" si="11"/>
        <v/>
      </c>
      <c r="K359" s="21" t="str">
        <f>IF(J359&lt;&gt;"",VLOOKUP(J359,HeadCount!A:I,2,0),"")</f>
        <v/>
      </c>
      <c r="L359" s="21" t="str">
        <f>IF(J359&lt;&gt;"",VLOOKUP(J359,HeadCount!A:I,5,0),"")</f>
        <v/>
      </c>
      <c r="P359" s="19" t="str">
        <f t="shared" si="12"/>
        <v/>
      </c>
    </row>
    <row r="360" spans="1:16" x14ac:dyDescent="0.3">
      <c r="A360" s="19" t="str">
        <f t="shared" si="11"/>
        <v/>
      </c>
      <c r="K360" s="21" t="str">
        <f>IF(J360&lt;&gt;"",VLOOKUP(J360,HeadCount!A:I,2,0),"")</f>
        <v/>
      </c>
      <c r="L360" s="21" t="str">
        <f>IF(J360&lt;&gt;"",VLOOKUP(J360,HeadCount!A:I,5,0),"")</f>
        <v/>
      </c>
      <c r="P360" s="19" t="str">
        <f t="shared" si="12"/>
        <v/>
      </c>
    </row>
    <row r="361" spans="1:16" x14ac:dyDescent="0.3">
      <c r="A361" s="19" t="str">
        <f t="shared" si="11"/>
        <v/>
      </c>
      <c r="K361" s="21" t="str">
        <f>IF(J361&lt;&gt;"",VLOOKUP(J361,HeadCount!A:I,2,0),"")</f>
        <v/>
      </c>
      <c r="L361" s="21" t="str">
        <f>IF(J361&lt;&gt;"",VLOOKUP(J361,HeadCount!A:I,5,0),"")</f>
        <v/>
      </c>
      <c r="P361" s="19" t="str">
        <f t="shared" si="12"/>
        <v/>
      </c>
    </row>
    <row r="362" spans="1:16" x14ac:dyDescent="0.3">
      <c r="A362" s="19" t="str">
        <f t="shared" si="11"/>
        <v/>
      </c>
      <c r="K362" s="21" t="str">
        <f>IF(J362&lt;&gt;"",VLOOKUP(J362,HeadCount!A:I,2,0),"")</f>
        <v/>
      </c>
      <c r="L362" s="21" t="str">
        <f>IF(J362&lt;&gt;"",VLOOKUP(J362,HeadCount!A:I,5,0),"")</f>
        <v/>
      </c>
      <c r="P362" s="19" t="str">
        <f t="shared" si="12"/>
        <v/>
      </c>
    </row>
    <row r="363" spans="1:16" x14ac:dyDescent="0.3">
      <c r="A363" s="19" t="str">
        <f t="shared" si="11"/>
        <v/>
      </c>
      <c r="K363" s="21" t="str">
        <f>IF(J363&lt;&gt;"",VLOOKUP(J363,HeadCount!A:I,2,0),"")</f>
        <v/>
      </c>
      <c r="L363" s="21" t="str">
        <f>IF(J363&lt;&gt;"",VLOOKUP(J363,HeadCount!A:I,5,0),"")</f>
        <v/>
      </c>
      <c r="P363" s="19" t="str">
        <f t="shared" si="12"/>
        <v/>
      </c>
    </row>
    <row r="364" spans="1:16" x14ac:dyDescent="0.3">
      <c r="A364" s="19" t="str">
        <f t="shared" si="11"/>
        <v/>
      </c>
      <c r="K364" s="21" t="str">
        <f>IF(J364&lt;&gt;"",VLOOKUP(J364,HeadCount!A:I,2,0),"")</f>
        <v/>
      </c>
      <c r="L364" s="21" t="str">
        <f>IF(J364&lt;&gt;"",VLOOKUP(J364,HeadCount!A:I,5,0),"")</f>
        <v/>
      </c>
      <c r="P364" s="19" t="str">
        <f t="shared" si="12"/>
        <v/>
      </c>
    </row>
    <row r="365" spans="1:16" x14ac:dyDescent="0.3">
      <c r="A365" s="19" t="str">
        <f t="shared" si="11"/>
        <v/>
      </c>
      <c r="K365" s="21" t="str">
        <f>IF(J365&lt;&gt;"",VLOOKUP(J365,HeadCount!A:I,2,0),"")</f>
        <v/>
      </c>
      <c r="L365" s="21" t="str">
        <f>IF(J365&lt;&gt;"",VLOOKUP(J365,HeadCount!A:I,5,0),"")</f>
        <v/>
      </c>
      <c r="P365" s="19" t="str">
        <f t="shared" si="12"/>
        <v/>
      </c>
    </row>
    <row r="366" spans="1:16" x14ac:dyDescent="0.3">
      <c r="A366" s="19" t="str">
        <f t="shared" si="11"/>
        <v/>
      </c>
      <c r="K366" s="21" t="str">
        <f>IF(J366&lt;&gt;"",VLOOKUP(J366,HeadCount!A:I,2,0),"")</f>
        <v/>
      </c>
      <c r="L366" s="21" t="str">
        <f>IF(J366&lt;&gt;"",VLOOKUP(J366,HeadCount!A:I,5,0),"")</f>
        <v/>
      </c>
      <c r="P366" s="19" t="str">
        <f t="shared" si="12"/>
        <v/>
      </c>
    </row>
    <row r="367" spans="1:16" x14ac:dyDescent="0.3">
      <c r="A367" s="19" t="str">
        <f t="shared" si="11"/>
        <v/>
      </c>
      <c r="K367" s="21" t="str">
        <f>IF(J367&lt;&gt;"",VLOOKUP(J367,HeadCount!A:I,2,0),"")</f>
        <v/>
      </c>
      <c r="L367" s="21" t="str">
        <f>IF(J367&lt;&gt;"",VLOOKUP(J367,HeadCount!A:I,5,0),"")</f>
        <v/>
      </c>
      <c r="P367" s="19" t="str">
        <f t="shared" si="12"/>
        <v/>
      </c>
    </row>
    <row r="368" spans="1:16" x14ac:dyDescent="0.3">
      <c r="A368" s="19" t="str">
        <f t="shared" si="11"/>
        <v/>
      </c>
      <c r="K368" s="21" t="str">
        <f>IF(J368&lt;&gt;"",VLOOKUP(J368,HeadCount!A:I,2,0),"")</f>
        <v/>
      </c>
      <c r="L368" s="21" t="str">
        <f>IF(J368&lt;&gt;"",VLOOKUP(J368,HeadCount!A:I,5,0),"")</f>
        <v/>
      </c>
      <c r="P368" s="19" t="str">
        <f t="shared" si="12"/>
        <v/>
      </c>
    </row>
    <row r="369" spans="1:16" x14ac:dyDescent="0.3">
      <c r="A369" s="19" t="str">
        <f t="shared" si="11"/>
        <v/>
      </c>
      <c r="K369" s="21" t="str">
        <f>IF(J369&lt;&gt;"",VLOOKUP(J369,HeadCount!A:I,2,0),"")</f>
        <v/>
      </c>
      <c r="L369" s="21" t="str">
        <f>IF(J369&lt;&gt;"",VLOOKUP(J369,HeadCount!A:I,5,0),"")</f>
        <v/>
      </c>
      <c r="P369" s="19" t="str">
        <f t="shared" si="12"/>
        <v/>
      </c>
    </row>
    <row r="370" spans="1:16" x14ac:dyDescent="0.3">
      <c r="A370" s="19" t="str">
        <f t="shared" si="11"/>
        <v/>
      </c>
      <c r="K370" s="21" t="str">
        <f>IF(J370&lt;&gt;"",VLOOKUP(J370,HeadCount!A:I,2,0),"")</f>
        <v/>
      </c>
      <c r="L370" s="21" t="str">
        <f>IF(J370&lt;&gt;"",VLOOKUP(J370,HeadCount!A:I,5,0),"")</f>
        <v/>
      </c>
      <c r="P370" s="19" t="str">
        <f t="shared" si="12"/>
        <v/>
      </c>
    </row>
    <row r="371" spans="1:16" x14ac:dyDescent="0.3">
      <c r="A371" s="19" t="str">
        <f t="shared" si="11"/>
        <v/>
      </c>
      <c r="K371" s="21" t="str">
        <f>IF(J371&lt;&gt;"",VLOOKUP(J371,HeadCount!A:I,2,0),"")</f>
        <v/>
      </c>
      <c r="L371" s="21" t="str">
        <f>IF(J371&lt;&gt;"",VLOOKUP(J371,HeadCount!A:I,5,0),"")</f>
        <v/>
      </c>
      <c r="P371" s="19" t="str">
        <f t="shared" si="12"/>
        <v/>
      </c>
    </row>
    <row r="372" spans="1:16" x14ac:dyDescent="0.3">
      <c r="A372" s="19" t="str">
        <f t="shared" si="11"/>
        <v/>
      </c>
      <c r="K372" s="21" t="str">
        <f>IF(J372&lt;&gt;"",VLOOKUP(J372,HeadCount!A:I,2,0),"")</f>
        <v/>
      </c>
      <c r="L372" s="21" t="str">
        <f>IF(J372&lt;&gt;"",VLOOKUP(J372,HeadCount!A:I,5,0),"")</f>
        <v/>
      </c>
      <c r="P372" s="19" t="str">
        <f t="shared" si="12"/>
        <v/>
      </c>
    </row>
    <row r="373" spans="1:16" x14ac:dyDescent="0.3">
      <c r="A373" s="19" t="str">
        <f t="shared" si="11"/>
        <v/>
      </c>
      <c r="K373" s="21" t="str">
        <f>IF(J373&lt;&gt;"",VLOOKUP(J373,HeadCount!A:I,2,0),"")</f>
        <v/>
      </c>
      <c r="L373" s="21" t="str">
        <f>IF(J373&lt;&gt;"",VLOOKUP(J373,HeadCount!A:I,5,0),"")</f>
        <v/>
      </c>
      <c r="P373" s="19" t="str">
        <f t="shared" si="12"/>
        <v/>
      </c>
    </row>
    <row r="374" spans="1:16" x14ac:dyDescent="0.3">
      <c r="A374" s="19" t="str">
        <f t="shared" si="11"/>
        <v/>
      </c>
      <c r="K374" s="21" t="str">
        <f>IF(J374&lt;&gt;"",VLOOKUP(J374,HeadCount!A:I,2,0),"")</f>
        <v/>
      </c>
      <c r="L374" s="21" t="str">
        <f>IF(J374&lt;&gt;"",VLOOKUP(J374,HeadCount!A:I,5,0),"")</f>
        <v/>
      </c>
      <c r="P374" s="19" t="str">
        <f t="shared" si="12"/>
        <v/>
      </c>
    </row>
    <row r="375" spans="1:16" x14ac:dyDescent="0.3">
      <c r="A375" s="19" t="str">
        <f t="shared" si="11"/>
        <v/>
      </c>
      <c r="K375" s="21" t="str">
        <f>IF(J375&lt;&gt;"",VLOOKUP(J375,HeadCount!A:I,2,0),"")</f>
        <v/>
      </c>
      <c r="L375" s="21" t="str">
        <f>IF(J375&lt;&gt;"",VLOOKUP(J375,HeadCount!A:I,5,0),"")</f>
        <v/>
      </c>
      <c r="P375" s="19" t="str">
        <f t="shared" si="12"/>
        <v/>
      </c>
    </row>
    <row r="376" spans="1:16" x14ac:dyDescent="0.3">
      <c r="A376" s="19" t="str">
        <f t="shared" si="11"/>
        <v/>
      </c>
      <c r="K376" s="21" t="str">
        <f>IF(J376&lt;&gt;"",VLOOKUP(J376,HeadCount!A:I,2,0),"")</f>
        <v/>
      </c>
      <c r="L376" s="21" t="str">
        <f>IF(J376&lt;&gt;"",VLOOKUP(J376,HeadCount!A:I,5,0),"")</f>
        <v/>
      </c>
      <c r="P376" s="19" t="str">
        <f t="shared" si="12"/>
        <v/>
      </c>
    </row>
    <row r="377" spans="1:16" x14ac:dyDescent="0.3">
      <c r="A377" s="19" t="str">
        <f t="shared" si="11"/>
        <v/>
      </c>
      <c r="K377" s="21" t="str">
        <f>IF(J377&lt;&gt;"",VLOOKUP(J377,HeadCount!A:I,2,0),"")</f>
        <v/>
      </c>
      <c r="L377" s="21" t="str">
        <f>IF(J377&lt;&gt;"",VLOOKUP(J377,HeadCount!A:I,5,0),"")</f>
        <v/>
      </c>
      <c r="P377" s="19" t="str">
        <f t="shared" si="12"/>
        <v/>
      </c>
    </row>
    <row r="378" spans="1:16" x14ac:dyDescent="0.3">
      <c r="A378" s="19" t="str">
        <f t="shared" si="11"/>
        <v/>
      </c>
      <c r="K378" s="21" t="str">
        <f>IF(J378&lt;&gt;"",VLOOKUP(J378,HeadCount!A:I,2,0),"")</f>
        <v/>
      </c>
      <c r="L378" s="21" t="str">
        <f>IF(J378&lt;&gt;"",VLOOKUP(J378,HeadCount!A:I,5,0),"")</f>
        <v/>
      </c>
      <c r="P378" s="19" t="str">
        <f t="shared" si="12"/>
        <v/>
      </c>
    </row>
    <row r="379" spans="1:16" x14ac:dyDescent="0.3">
      <c r="A379" s="19" t="str">
        <f t="shared" si="11"/>
        <v/>
      </c>
      <c r="K379" s="21" t="str">
        <f>IF(J379&lt;&gt;"",VLOOKUP(J379,HeadCount!A:I,2,0),"")</f>
        <v/>
      </c>
      <c r="L379" s="21" t="str">
        <f>IF(J379&lt;&gt;"",VLOOKUP(J379,HeadCount!A:I,5,0),"")</f>
        <v/>
      </c>
      <c r="P379" s="19" t="str">
        <f t="shared" si="12"/>
        <v/>
      </c>
    </row>
    <row r="380" spans="1:16" x14ac:dyDescent="0.3">
      <c r="A380" s="19" t="str">
        <f t="shared" si="11"/>
        <v/>
      </c>
      <c r="K380" s="21" t="str">
        <f>IF(J380&lt;&gt;"",VLOOKUP(J380,HeadCount!A:I,2,0),"")</f>
        <v/>
      </c>
      <c r="L380" s="21" t="str">
        <f>IF(J380&lt;&gt;"",VLOOKUP(J380,HeadCount!A:I,5,0),"")</f>
        <v/>
      </c>
      <c r="P380" s="19" t="str">
        <f t="shared" si="12"/>
        <v/>
      </c>
    </row>
    <row r="381" spans="1:16" x14ac:dyDescent="0.3">
      <c r="A381" s="19" t="str">
        <f t="shared" si="11"/>
        <v/>
      </c>
      <c r="K381" s="21" t="str">
        <f>IF(J381&lt;&gt;"",VLOOKUP(J381,HeadCount!A:I,2,0),"")</f>
        <v/>
      </c>
      <c r="L381" s="21" t="str">
        <f>IF(J381&lt;&gt;"",VLOOKUP(J381,HeadCount!A:I,5,0),"")</f>
        <v/>
      </c>
      <c r="P381" s="19" t="str">
        <f t="shared" si="12"/>
        <v/>
      </c>
    </row>
    <row r="382" spans="1:16" x14ac:dyDescent="0.3">
      <c r="A382" s="19" t="str">
        <f t="shared" si="11"/>
        <v/>
      </c>
      <c r="K382" s="21" t="str">
        <f>IF(J382&lt;&gt;"",VLOOKUP(J382,HeadCount!A:I,2,0),"")</f>
        <v/>
      </c>
      <c r="L382" s="21" t="str">
        <f>IF(J382&lt;&gt;"",VLOOKUP(J382,HeadCount!A:I,5,0),"")</f>
        <v/>
      </c>
      <c r="P382" s="19" t="str">
        <f t="shared" si="12"/>
        <v/>
      </c>
    </row>
    <row r="383" spans="1:16" x14ac:dyDescent="0.3">
      <c r="A383" s="19" t="str">
        <f t="shared" si="11"/>
        <v/>
      </c>
      <c r="K383" s="21" t="str">
        <f>IF(J383&lt;&gt;"",VLOOKUP(J383,HeadCount!A:I,2,0),"")</f>
        <v/>
      </c>
      <c r="L383" s="21" t="str">
        <f>IF(J383&lt;&gt;"",VLOOKUP(J383,HeadCount!A:I,5,0),"")</f>
        <v/>
      </c>
      <c r="P383" s="19" t="str">
        <f t="shared" si="12"/>
        <v/>
      </c>
    </row>
    <row r="384" spans="1:16" x14ac:dyDescent="0.3">
      <c r="A384" s="19" t="str">
        <f t="shared" si="11"/>
        <v/>
      </c>
      <c r="K384" s="21" t="str">
        <f>IF(J384&lt;&gt;"",VLOOKUP(J384,HeadCount!A:I,2,0),"")</f>
        <v/>
      </c>
      <c r="L384" s="21" t="str">
        <f>IF(J384&lt;&gt;"",VLOOKUP(J384,HeadCount!A:I,5,0),"")</f>
        <v/>
      </c>
      <c r="P384" s="19" t="str">
        <f t="shared" si="12"/>
        <v/>
      </c>
    </row>
    <row r="385" spans="1:16" x14ac:dyDescent="0.3">
      <c r="A385" s="19" t="str">
        <f t="shared" si="11"/>
        <v/>
      </c>
      <c r="K385" s="21" t="str">
        <f>IF(J385&lt;&gt;"",VLOOKUP(J385,HeadCount!A:I,2,0),"")</f>
        <v/>
      </c>
      <c r="L385" s="21" t="str">
        <f>IF(J385&lt;&gt;"",VLOOKUP(J385,HeadCount!A:I,5,0),"")</f>
        <v/>
      </c>
      <c r="P385" s="19" t="str">
        <f t="shared" si="12"/>
        <v/>
      </c>
    </row>
    <row r="386" spans="1:16" x14ac:dyDescent="0.3">
      <c r="A386" s="19" t="str">
        <f t="shared" ref="A386:A449" si="13">IF(C386&lt;&gt;"",ROW(A385),"")</f>
        <v/>
      </c>
      <c r="K386" s="21" t="str">
        <f>IF(J386&lt;&gt;"",VLOOKUP(J386,HeadCount!A:I,2,0),"")</f>
        <v/>
      </c>
      <c r="L386" s="21" t="str">
        <f>IF(J386&lt;&gt;"",VLOOKUP(J386,HeadCount!A:I,5,0),"")</f>
        <v/>
      </c>
      <c r="P386" s="19" t="str">
        <f t="shared" si="12"/>
        <v/>
      </c>
    </row>
    <row r="387" spans="1:16" x14ac:dyDescent="0.3">
      <c r="A387" s="19" t="str">
        <f t="shared" si="13"/>
        <v/>
      </c>
      <c r="K387" s="21" t="str">
        <f>IF(J387&lt;&gt;"",VLOOKUP(J387,HeadCount!A:I,2,0),"")</f>
        <v/>
      </c>
      <c r="L387" s="21" t="str">
        <f>IF(J387&lt;&gt;"",VLOOKUP(J387,HeadCount!A:I,5,0),"")</f>
        <v/>
      </c>
      <c r="P387" s="19" t="str">
        <f t="shared" ref="P387:P450" si="14">IF(N387="","",(O387-N387)+1)</f>
        <v/>
      </c>
    </row>
    <row r="388" spans="1:16" x14ac:dyDescent="0.3">
      <c r="A388" s="19" t="str">
        <f t="shared" si="13"/>
        <v/>
      </c>
      <c r="K388" s="21" t="str">
        <f>IF(J388&lt;&gt;"",VLOOKUP(J388,HeadCount!A:I,2,0),"")</f>
        <v/>
      </c>
      <c r="L388" s="21" t="str">
        <f>IF(J388&lt;&gt;"",VLOOKUP(J388,HeadCount!A:I,5,0),"")</f>
        <v/>
      </c>
      <c r="P388" s="19" t="str">
        <f t="shared" si="14"/>
        <v/>
      </c>
    </row>
    <row r="389" spans="1:16" ht="15.6" x14ac:dyDescent="0.3">
      <c r="A389" s="19" t="str">
        <f t="shared" si="13"/>
        <v/>
      </c>
      <c r="E389" s="28"/>
      <c r="K389" s="21" t="str">
        <f>IF(J389&lt;&gt;"",VLOOKUP(J389,HeadCount!A:I,2,0),"")</f>
        <v/>
      </c>
      <c r="L389" s="21" t="str">
        <f>IF(J389&lt;&gt;"",VLOOKUP(J389,HeadCount!A:I,5,0),"")</f>
        <v/>
      </c>
      <c r="P389" s="19" t="str">
        <f t="shared" si="14"/>
        <v/>
      </c>
    </row>
    <row r="390" spans="1:16" x14ac:dyDescent="0.3">
      <c r="A390" s="19" t="str">
        <f t="shared" si="13"/>
        <v/>
      </c>
      <c r="K390" s="21" t="str">
        <f>IF(J390&lt;&gt;"",VLOOKUP(J390,HeadCount!A:I,2,0),"")</f>
        <v/>
      </c>
      <c r="L390" s="21" t="str">
        <f>IF(J390&lt;&gt;"",VLOOKUP(J390,HeadCount!A:I,5,0),"")</f>
        <v/>
      </c>
      <c r="P390" s="19" t="str">
        <f t="shared" si="14"/>
        <v/>
      </c>
    </row>
    <row r="391" spans="1:16" x14ac:dyDescent="0.3">
      <c r="A391" s="19" t="str">
        <f t="shared" si="13"/>
        <v/>
      </c>
      <c r="K391" s="21" t="str">
        <f>IF(J391&lt;&gt;"",VLOOKUP(J391,HeadCount!A:I,2,0),"")</f>
        <v/>
      </c>
      <c r="L391" s="21" t="str">
        <f>IF(J391&lt;&gt;"",VLOOKUP(J391,HeadCount!A:I,5,0),"")</f>
        <v/>
      </c>
      <c r="P391" s="19" t="str">
        <f t="shared" si="14"/>
        <v/>
      </c>
    </row>
    <row r="392" spans="1:16" x14ac:dyDescent="0.3">
      <c r="A392" s="19" t="str">
        <f t="shared" si="13"/>
        <v/>
      </c>
      <c r="K392" s="21" t="str">
        <f>IF(J392&lt;&gt;"",VLOOKUP(J392,HeadCount!A:I,2,0),"")</f>
        <v/>
      </c>
      <c r="L392" s="21" t="str">
        <f>IF(J392&lt;&gt;"",VLOOKUP(J392,HeadCount!A:I,5,0),"")</f>
        <v/>
      </c>
      <c r="P392" s="19" t="str">
        <f t="shared" si="14"/>
        <v/>
      </c>
    </row>
    <row r="393" spans="1:16" x14ac:dyDescent="0.3">
      <c r="A393" s="19" t="str">
        <f t="shared" si="13"/>
        <v/>
      </c>
      <c r="K393" s="21" t="str">
        <f>IF(J393&lt;&gt;"",VLOOKUP(J393,HeadCount!A:I,2,0),"")</f>
        <v/>
      </c>
      <c r="L393" s="21" t="str">
        <f>IF(J393&lt;&gt;"",VLOOKUP(J393,HeadCount!A:I,5,0),"")</f>
        <v/>
      </c>
      <c r="P393" s="19" t="str">
        <f t="shared" si="14"/>
        <v/>
      </c>
    </row>
    <row r="394" spans="1:16" x14ac:dyDescent="0.3">
      <c r="A394" s="19" t="str">
        <f t="shared" si="13"/>
        <v/>
      </c>
      <c r="K394" s="21" t="str">
        <f>IF(J394&lt;&gt;"",VLOOKUP(J394,HeadCount!A:I,2,0),"")</f>
        <v/>
      </c>
      <c r="L394" s="21" t="str">
        <f>IF(J394&lt;&gt;"",VLOOKUP(J394,HeadCount!A:I,5,0),"")</f>
        <v/>
      </c>
      <c r="P394" s="19" t="str">
        <f t="shared" si="14"/>
        <v/>
      </c>
    </row>
    <row r="395" spans="1:16" x14ac:dyDescent="0.3">
      <c r="A395" s="19" t="str">
        <f t="shared" si="13"/>
        <v/>
      </c>
      <c r="K395" s="21" t="str">
        <f>IF(J395&lt;&gt;"",VLOOKUP(J395,HeadCount!A:I,2,0),"")</f>
        <v/>
      </c>
      <c r="L395" s="21" t="str">
        <f>IF(J395&lt;&gt;"",VLOOKUP(J395,HeadCount!A:I,5,0),"")</f>
        <v/>
      </c>
      <c r="P395" s="19" t="str">
        <f t="shared" si="14"/>
        <v/>
      </c>
    </row>
    <row r="396" spans="1:16" x14ac:dyDescent="0.3">
      <c r="A396" s="19" t="str">
        <f t="shared" si="13"/>
        <v/>
      </c>
      <c r="K396" s="21" t="str">
        <f>IF(J396&lt;&gt;"",VLOOKUP(J396,HeadCount!A:I,2,0),"")</f>
        <v/>
      </c>
      <c r="L396" s="21" t="str">
        <f>IF(J396&lt;&gt;"",VLOOKUP(J396,HeadCount!A:I,5,0),"")</f>
        <v/>
      </c>
      <c r="P396" s="19" t="str">
        <f t="shared" si="14"/>
        <v/>
      </c>
    </row>
    <row r="397" spans="1:16" x14ac:dyDescent="0.3">
      <c r="A397" s="19" t="str">
        <f t="shared" si="13"/>
        <v/>
      </c>
      <c r="K397" s="21" t="str">
        <f>IF(J397&lt;&gt;"",VLOOKUP(J397,HeadCount!A:I,2,0),"")</f>
        <v/>
      </c>
      <c r="L397" s="21" t="str">
        <f>IF(J397&lt;&gt;"",VLOOKUP(J397,HeadCount!A:I,5,0),"")</f>
        <v/>
      </c>
      <c r="P397" s="19" t="str">
        <f t="shared" si="14"/>
        <v/>
      </c>
    </row>
    <row r="398" spans="1:16" x14ac:dyDescent="0.3">
      <c r="A398" s="19" t="str">
        <f t="shared" si="13"/>
        <v/>
      </c>
      <c r="K398" s="21" t="str">
        <f>IF(J398&lt;&gt;"",VLOOKUP(J398,HeadCount!A:I,2,0),"")</f>
        <v/>
      </c>
      <c r="L398" s="21" t="str">
        <f>IF(J398&lt;&gt;"",VLOOKUP(J398,HeadCount!A:I,5,0),"")</f>
        <v/>
      </c>
      <c r="P398" s="19" t="str">
        <f t="shared" si="14"/>
        <v/>
      </c>
    </row>
    <row r="399" spans="1:16" x14ac:dyDescent="0.3">
      <c r="A399" s="19" t="str">
        <f t="shared" si="13"/>
        <v/>
      </c>
      <c r="K399" s="21" t="str">
        <f>IF(J399&lt;&gt;"",VLOOKUP(J399,HeadCount!A:I,2,0),"")</f>
        <v/>
      </c>
      <c r="L399" s="21" t="str">
        <f>IF(J399&lt;&gt;"",VLOOKUP(J399,HeadCount!A:I,5,0),"")</f>
        <v/>
      </c>
      <c r="P399" s="19" t="str">
        <f t="shared" si="14"/>
        <v/>
      </c>
    </row>
    <row r="400" spans="1:16" x14ac:dyDescent="0.3">
      <c r="A400" s="19" t="str">
        <f t="shared" si="13"/>
        <v/>
      </c>
      <c r="K400" s="21" t="str">
        <f>IF(J400&lt;&gt;"",VLOOKUP(J400,HeadCount!A:I,2,0),"")</f>
        <v/>
      </c>
      <c r="L400" s="21" t="str">
        <f>IF(J400&lt;&gt;"",VLOOKUP(J400,HeadCount!A:I,5,0),"")</f>
        <v/>
      </c>
      <c r="P400" s="19" t="str">
        <f t="shared" si="14"/>
        <v/>
      </c>
    </row>
    <row r="401" spans="1:16" x14ac:dyDescent="0.3">
      <c r="A401" s="19" t="str">
        <f t="shared" si="13"/>
        <v/>
      </c>
      <c r="K401" s="21" t="str">
        <f>IF(J401&lt;&gt;"",VLOOKUP(J401,HeadCount!A:I,2,0),"")</f>
        <v/>
      </c>
      <c r="L401" s="21" t="str">
        <f>IF(J401&lt;&gt;"",VLOOKUP(J401,HeadCount!A:I,5,0),"")</f>
        <v/>
      </c>
      <c r="P401" s="19" t="str">
        <f t="shared" si="14"/>
        <v/>
      </c>
    </row>
    <row r="402" spans="1:16" x14ac:dyDescent="0.3">
      <c r="A402" s="19" t="str">
        <f t="shared" si="13"/>
        <v/>
      </c>
      <c r="K402" s="21" t="str">
        <f>IF(J402&lt;&gt;"",VLOOKUP(J402,HeadCount!A:I,2,0),"")</f>
        <v/>
      </c>
      <c r="L402" s="21" t="str">
        <f>IF(J402&lt;&gt;"",VLOOKUP(J402,HeadCount!A:I,5,0),"")</f>
        <v/>
      </c>
      <c r="P402" s="19" t="str">
        <f t="shared" si="14"/>
        <v/>
      </c>
    </row>
    <row r="403" spans="1:16" x14ac:dyDescent="0.3">
      <c r="A403" s="19" t="str">
        <f t="shared" si="13"/>
        <v/>
      </c>
      <c r="K403" s="21" t="str">
        <f>IF(J403&lt;&gt;"",VLOOKUP(J403,HeadCount!A:I,2,0),"")</f>
        <v/>
      </c>
      <c r="L403" s="21" t="str">
        <f>IF(J403&lt;&gt;"",VLOOKUP(J403,HeadCount!A:I,5,0),"")</f>
        <v/>
      </c>
      <c r="P403" s="19" t="str">
        <f t="shared" si="14"/>
        <v/>
      </c>
    </row>
    <row r="404" spans="1:16" x14ac:dyDescent="0.3">
      <c r="A404" s="19" t="str">
        <f t="shared" si="13"/>
        <v/>
      </c>
      <c r="K404" s="21" t="str">
        <f>IF(J404&lt;&gt;"",VLOOKUP(J404,HeadCount!A:I,2,0),"")</f>
        <v/>
      </c>
      <c r="L404" s="21" t="str">
        <f>IF(J404&lt;&gt;"",VLOOKUP(J404,HeadCount!A:I,5,0),"")</f>
        <v/>
      </c>
      <c r="P404" s="19" t="str">
        <f t="shared" si="14"/>
        <v/>
      </c>
    </row>
    <row r="405" spans="1:16" x14ac:dyDescent="0.3">
      <c r="A405" s="19" t="str">
        <f t="shared" si="13"/>
        <v/>
      </c>
      <c r="K405" s="21" t="str">
        <f>IF(J405&lt;&gt;"",VLOOKUP(J405,HeadCount!A:I,2,0),"")</f>
        <v/>
      </c>
      <c r="L405" s="21" t="str">
        <f>IF(J405&lt;&gt;"",VLOOKUP(J405,HeadCount!A:I,5,0),"")</f>
        <v/>
      </c>
      <c r="P405" s="19" t="str">
        <f t="shared" si="14"/>
        <v/>
      </c>
    </row>
    <row r="406" spans="1:16" x14ac:dyDescent="0.3">
      <c r="A406" s="19" t="str">
        <f t="shared" si="13"/>
        <v/>
      </c>
      <c r="K406" s="21" t="str">
        <f>IF(J406&lt;&gt;"",VLOOKUP(J406,HeadCount!A:I,2,0),"")</f>
        <v/>
      </c>
      <c r="L406" s="21" t="str">
        <f>IF(J406&lt;&gt;"",VLOOKUP(J406,HeadCount!A:I,5,0),"")</f>
        <v/>
      </c>
      <c r="P406" s="19" t="str">
        <f t="shared" si="14"/>
        <v/>
      </c>
    </row>
    <row r="407" spans="1:16" x14ac:dyDescent="0.3">
      <c r="A407" s="19" t="str">
        <f t="shared" si="13"/>
        <v/>
      </c>
      <c r="K407" s="21" t="str">
        <f>IF(J407&lt;&gt;"",VLOOKUP(J407,HeadCount!A:I,2,0),"")</f>
        <v/>
      </c>
      <c r="L407" s="21" t="str">
        <f>IF(J407&lt;&gt;"",VLOOKUP(J407,HeadCount!A:I,5,0),"")</f>
        <v/>
      </c>
      <c r="P407" s="19" t="str">
        <f t="shared" si="14"/>
        <v/>
      </c>
    </row>
    <row r="408" spans="1:16" x14ac:dyDescent="0.3">
      <c r="A408" s="19" t="str">
        <f t="shared" si="13"/>
        <v/>
      </c>
      <c r="K408" s="21" t="str">
        <f>IF(J408&lt;&gt;"",VLOOKUP(J408,HeadCount!A:I,2,0),"")</f>
        <v/>
      </c>
      <c r="L408" s="21" t="str">
        <f>IF(J408&lt;&gt;"",VLOOKUP(J408,HeadCount!A:I,5,0),"")</f>
        <v/>
      </c>
      <c r="P408" s="19" t="str">
        <f t="shared" si="14"/>
        <v/>
      </c>
    </row>
    <row r="409" spans="1:16" x14ac:dyDescent="0.3">
      <c r="A409" s="19" t="str">
        <f t="shared" si="13"/>
        <v/>
      </c>
      <c r="K409" s="21" t="str">
        <f>IF(J409&lt;&gt;"",VLOOKUP(J409,HeadCount!A:I,2,0),"")</f>
        <v/>
      </c>
      <c r="L409" s="21" t="str">
        <f>IF(J409&lt;&gt;"",VLOOKUP(J409,HeadCount!A:I,5,0),"")</f>
        <v/>
      </c>
      <c r="P409" s="19" t="str">
        <f t="shared" si="14"/>
        <v/>
      </c>
    </row>
    <row r="410" spans="1:16" x14ac:dyDescent="0.3">
      <c r="A410" s="19" t="str">
        <f t="shared" si="13"/>
        <v/>
      </c>
      <c r="K410" s="21" t="str">
        <f>IF(J410&lt;&gt;"",VLOOKUP(J410,HeadCount!A:I,2,0),"")</f>
        <v/>
      </c>
      <c r="L410" s="21" t="str">
        <f>IF(J410&lt;&gt;"",VLOOKUP(J410,HeadCount!A:I,5,0),"")</f>
        <v/>
      </c>
      <c r="P410" s="19" t="str">
        <f t="shared" si="14"/>
        <v/>
      </c>
    </row>
    <row r="411" spans="1:16" x14ac:dyDescent="0.3">
      <c r="A411" s="19" t="str">
        <f t="shared" si="13"/>
        <v/>
      </c>
      <c r="K411" s="21" t="str">
        <f>IF(J411&lt;&gt;"",VLOOKUP(J411,HeadCount!A:I,2,0),"")</f>
        <v/>
      </c>
      <c r="L411" s="21" t="str">
        <f>IF(J411&lt;&gt;"",VLOOKUP(J411,HeadCount!A:I,5,0),"")</f>
        <v/>
      </c>
      <c r="P411" s="19" t="str">
        <f t="shared" si="14"/>
        <v/>
      </c>
    </row>
    <row r="412" spans="1:16" x14ac:dyDescent="0.3">
      <c r="A412" s="19" t="str">
        <f t="shared" si="13"/>
        <v/>
      </c>
      <c r="K412" s="21" t="str">
        <f>IF(J412&lt;&gt;"",VLOOKUP(J412,HeadCount!A:I,2,0),"")</f>
        <v/>
      </c>
      <c r="L412" s="21" t="str">
        <f>IF(J412&lt;&gt;"",VLOOKUP(J412,HeadCount!A:I,5,0),"")</f>
        <v/>
      </c>
      <c r="P412" s="19" t="str">
        <f t="shared" si="14"/>
        <v/>
      </c>
    </row>
    <row r="413" spans="1:16" x14ac:dyDescent="0.3">
      <c r="A413" s="19" t="str">
        <f t="shared" si="13"/>
        <v/>
      </c>
      <c r="K413" s="21" t="str">
        <f>IF(J413&lt;&gt;"",VLOOKUP(J413,HeadCount!A:I,2,0),"")</f>
        <v/>
      </c>
      <c r="L413" s="21" t="str">
        <f>IF(J413&lt;&gt;"",VLOOKUP(J413,HeadCount!A:I,5,0),"")</f>
        <v/>
      </c>
      <c r="P413" s="19" t="str">
        <f t="shared" si="14"/>
        <v/>
      </c>
    </row>
    <row r="414" spans="1:16" x14ac:dyDescent="0.3">
      <c r="A414" s="19" t="str">
        <f t="shared" si="13"/>
        <v/>
      </c>
      <c r="K414" s="21" t="str">
        <f>IF(J414&lt;&gt;"",VLOOKUP(J414,HeadCount!A:I,2,0),"")</f>
        <v/>
      </c>
      <c r="L414" s="21" t="str">
        <f>IF(J414&lt;&gt;"",VLOOKUP(J414,HeadCount!A:I,5,0),"")</f>
        <v/>
      </c>
      <c r="P414" s="19" t="str">
        <f t="shared" si="14"/>
        <v/>
      </c>
    </row>
    <row r="415" spans="1:16" x14ac:dyDescent="0.3">
      <c r="A415" s="19" t="str">
        <f t="shared" si="13"/>
        <v/>
      </c>
      <c r="K415" s="21" t="str">
        <f>IF(J415&lt;&gt;"",VLOOKUP(J415,HeadCount!A:I,2,0),"")</f>
        <v/>
      </c>
      <c r="L415" s="21" t="str">
        <f>IF(J415&lt;&gt;"",VLOOKUP(J415,HeadCount!A:I,5,0),"")</f>
        <v/>
      </c>
      <c r="P415" s="19" t="str">
        <f t="shared" si="14"/>
        <v/>
      </c>
    </row>
    <row r="416" spans="1:16" x14ac:dyDescent="0.3">
      <c r="A416" s="19" t="str">
        <f t="shared" si="13"/>
        <v/>
      </c>
      <c r="K416" s="21" t="str">
        <f>IF(J416&lt;&gt;"",VLOOKUP(J416,HeadCount!A:I,2,0),"")</f>
        <v/>
      </c>
      <c r="L416" s="21" t="str">
        <f>IF(J416&lt;&gt;"",VLOOKUP(J416,HeadCount!A:I,5,0),"")</f>
        <v/>
      </c>
      <c r="P416" s="19" t="str">
        <f t="shared" si="14"/>
        <v/>
      </c>
    </row>
    <row r="417" spans="1:16" x14ac:dyDescent="0.3">
      <c r="A417" s="19" t="str">
        <f t="shared" si="13"/>
        <v/>
      </c>
      <c r="K417" s="21" t="str">
        <f>IF(J417&lt;&gt;"",VLOOKUP(J417,HeadCount!A:I,2,0),"")</f>
        <v/>
      </c>
      <c r="L417" s="21" t="str">
        <f>IF(J417&lt;&gt;"",VLOOKUP(J417,HeadCount!A:I,5,0),"")</f>
        <v/>
      </c>
      <c r="P417" s="19" t="str">
        <f t="shared" si="14"/>
        <v/>
      </c>
    </row>
    <row r="418" spans="1:16" x14ac:dyDescent="0.3">
      <c r="A418" s="19" t="str">
        <f t="shared" si="13"/>
        <v/>
      </c>
      <c r="K418" s="21" t="str">
        <f>IF(J418&lt;&gt;"",VLOOKUP(J418,HeadCount!A:I,2,0),"")</f>
        <v/>
      </c>
      <c r="L418" s="21" t="str">
        <f>IF(J418&lt;&gt;"",VLOOKUP(J418,HeadCount!A:I,5,0),"")</f>
        <v/>
      </c>
      <c r="P418" s="19" t="str">
        <f t="shared" si="14"/>
        <v/>
      </c>
    </row>
    <row r="419" spans="1:16" x14ac:dyDescent="0.3">
      <c r="A419" s="19" t="str">
        <f t="shared" si="13"/>
        <v/>
      </c>
      <c r="K419" s="21" t="str">
        <f>IF(J419&lt;&gt;"",VLOOKUP(J419,HeadCount!A:I,2,0),"")</f>
        <v/>
      </c>
      <c r="L419" s="21" t="str">
        <f>IF(J419&lt;&gt;"",VLOOKUP(J419,HeadCount!A:I,5,0),"")</f>
        <v/>
      </c>
      <c r="P419" s="19" t="str">
        <f t="shared" si="14"/>
        <v/>
      </c>
    </row>
    <row r="420" spans="1:16" x14ac:dyDescent="0.3">
      <c r="A420" s="19" t="str">
        <f t="shared" si="13"/>
        <v/>
      </c>
      <c r="K420" s="21" t="str">
        <f>IF(J420&lt;&gt;"",VLOOKUP(J420,HeadCount!A:I,2,0),"")</f>
        <v/>
      </c>
      <c r="L420" s="21" t="str">
        <f>IF(J420&lt;&gt;"",VLOOKUP(J420,HeadCount!A:I,5,0),"")</f>
        <v/>
      </c>
      <c r="P420" s="19" t="str">
        <f t="shared" si="14"/>
        <v/>
      </c>
    </row>
    <row r="421" spans="1:16" x14ac:dyDescent="0.3">
      <c r="A421" s="19" t="str">
        <f t="shared" si="13"/>
        <v/>
      </c>
      <c r="K421" s="21" t="str">
        <f>IF(J421&lt;&gt;"",VLOOKUP(J421,HeadCount!A:I,2,0),"")</f>
        <v/>
      </c>
      <c r="L421" s="21" t="str">
        <f>IF(J421&lt;&gt;"",VLOOKUP(J421,HeadCount!A:I,5,0),"")</f>
        <v/>
      </c>
      <c r="P421" s="19" t="str">
        <f t="shared" si="14"/>
        <v/>
      </c>
    </row>
    <row r="422" spans="1:16" x14ac:dyDescent="0.3">
      <c r="A422" s="19" t="str">
        <f t="shared" si="13"/>
        <v/>
      </c>
      <c r="K422" s="21" t="str">
        <f>IF(J422&lt;&gt;"",VLOOKUP(J422,HeadCount!A:I,2,0),"")</f>
        <v/>
      </c>
      <c r="L422" s="21" t="str">
        <f>IF(J422&lt;&gt;"",VLOOKUP(J422,HeadCount!A:I,5,0),"")</f>
        <v/>
      </c>
      <c r="P422" s="19" t="str">
        <f t="shared" si="14"/>
        <v/>
      </c>
    </row>
    <row r="423" spans="1:16" x14ac:dyDescent="0.3">
      <c r="A423" s="19" t="str">
        <f t="shared" si="13"/>
        <v/>
      </c>
      <c r="K423" s="21" t="str">
        <f>IF(J423&lt;&gt;"",VLOOKUP(J423,HeadCount!A:I,2,0),"")</f>
        <v/>
      </c>
      <c r="L423" s="21" t="str">
        <f>IF(J423&lt;&gt;"",VLOOKUP(J423,HeadCount!A:I,5,0),"")</f>
        <v/>
      </c>
      <c r="P423" s="19" t="str">
        <f t="shared" si="14"/>
        <v/>
      </c>
    </row>
    <row r="424" spans="1:16" x14ac:dyDescent="0.3">
      <c r="A424" s="19" t="str">
        <f t="shared" si="13"/>
        <v/>
      </c>
      <c r="K424" s="21" t="str">
        <f>IF(J424&lt;&gt;"",VLOOKUP(J424,HeadCount!A:I,2,0),"")</f>
        <v/>
      </c>
      <c r="L424" s="21" t="str">
        <f>IF(J424&lt;&gt;"",VLOOKUP(J424,HeadCount!A:I,5,0),"")</f>
        <v/>
      </c>
      <c r="P424" s="19" t="str">
        <f t="shared" si="14"/>
        <v/>
      </c>
    </row>
    <row r="425" spans="1:16" x14ac:dyDescent="0.3">
      <c r="A425" s="19" t="str">
        <f t="shared" si="13"/>
        <v/>
      </c>
      <c r="K425" s="21" t="str">
        <f>IF(J425&lt;&gt;"",VLOOKUP(J425,HeadCount!A:I,2,0),"")</f>
        <v/>
      </c>
      <c r="L425" s="21" t="str">
        <f>IF(J425&lt;&gt;"",VLOOKUP(J425,HeadCount!A:I,5,0),"")</f>
        <v/>
      </c>
      <c r="P425" s="19" t="str">
        <f t="shared" si="14"/>
        <v/>
      </c>
    </row>
    <row r="426" spans="1:16" x14ac:dyDescent="0.3">
      <c r="A426" s="19" t="str">
        <f t="shared" si="13"/>
        <v/>
      </c>
      <c r="K426" s="21" t="str">
        <f>IF(J426&lt;&gt;"",VLOOKUP(J426,HeadCount!A:I,2,0),"")</f>
        <v/>
      </c>
      <c r="L426" s="21" t="str">
        <f>IF(J426&lt;&gt;"",VLOOKUP(J426,HeadCount!A:I,5,0),"")</f>
        <v/>
      </c>
      <c r="P426" s="19" t="str">
        <f t="shared" si="14"/>
        <v/>
      </c>
    </row>
    <row r="427" spans="1:16" x14ac:dyDescent="0.3">
      <c r="A427" s="19" t="str">
        <f t="shared" si="13"/>
        <v/>
      </c>
      <c r="K427" s="21" t="str">
        <f>IF(J427&lt;&gt;"",VLOOKUP(J427,HeadCount!A:I,2,0),"")</f>
        <v/>
      </c>
      <c r="L427" s="21" t="str">
        <f>IF(J427&lt;&gt;"",VLOOKUP(J427,HeadCount!A:I,5,0),"")</f>
        <v/>
      </c>
      <c r="P427" s="19" t="str">
        <f t="shared" si="14"/>
        <v/>
      </c>
    </row>
    <row r="428" spans="1:16" x14ac:dyDescent="0.3">
      <c r="A428" s="19" t="str">
        <f t="shared" si="13"/>
        <v/>
      </c>
      <c r="K428" s="21" t="str">
        <f>IF(J428&lt;&gt;"",VLOOKUP(J428,HeadCount!A:I,2,0),"")</f>
        <v/>
      </c>
      <c r="L428" s="21" t="str">
        <f>IF(J428&lt;&gt;"",VLOOKUP(J428,HeadCount!A:I,5,0),"")</f>
        <v/>
      </c>
      <c r="P428" s="19" t="str">
        <f t="shared" si="14"/>
        <v/>
      </c>
    </row>
    <row r="429" spans="1:16" x14ac:dyDescent="0.3">
      <c r="A429" s="19" t="str">
        <f t="shared" si="13"/>
        <v/>
      </c>
      <c r="K429" s="21" t="str">
        <f>IF(J429&lt;&gt;"",VLOOKUP(J429,HeadCount!A:I,2,0),"")</f>
        <v/>
      </c>
      <c r="L429" s="21" t="str">
        <f>IF(J429&lt;&gt;"",VLOOKUP(J429,HeadCount!A:I,5,0),"")</f>
        <v/>
      </c>
      <c r="P429" s="19" t="str">
        <f t="shared" si="14"/>
        <v/>
      </c>
    </row>
    <row r="430" spans="1:16" x14ac:dyDescent="0.3">
      <c r="A430" s="19" t="str">
        <f t="shared" si="13"/>
        <v/>
      </c>
      <c r="K430" s="21" t="str">
        <f>IF(J430&lt;&gt;"",VLOOKUP(J430,HeadCount!A:I,2,0),"")</f>
        <v/>
      </c>
      <c r="L430" s="21" t="str">
        <f>IF(J430&lt;&gt;"",VLOOKUP(J430,HeadCount!A:I,5,0),"")</f>
        <v/>
      </c>
      <c r="P430" s="19" t="str">
        <f t="shared" si="14"/>
        <v/>
      </c>
    </row>
    <row r="431" spans="1:16" x14ac:dyDescent="0.3">
      <c r="A431" s="19" t="str">
        <f t="shared" si="13"/>
        <v/>
      </c>
      <c r="K431" s="21" t="str">
        <f>IF(J431&lt;&gt;"",VLOOKUP(J431,HeadCount!A:I,2,0),"")</f>
        <v/>
      </c>
      <c r="L431" s="21" t="str">
        <f>IF(J431&lt;&gt;"",VLOOKUP(J431,HeadCount!A:I,5,0),"")</f>
        <v/>
      </c>
      <c r="P431" s="19" t="str">
        <f t="shared" si="14"/>
        <v/>
      </c>
    </row>
    <row r="432" spans="1:16" x14ac:dyDescent="0.3">
      <c r="A432" s="19" t="str">
        <f t="shared" si="13"/>
        <v/>
      </c>
      <c r="K432" s="21" t="str">
        <f>IF(J432&lt;&gt;"",VLOOKUP(J432,HeadCount!A:I,2,0),"")</f>
        <v/>
      </c>
      <c r="L432" s="21" t="str">
        <f>IF(J432&lt;&gt;"",VLOOKUP(J432,HeadCount!A:I,5,0),"")</f>
        <v/>
      </c>
      <c r="P432" s="19" t="str">
        <f t="shared" si="14"/>
        <v/>
      </c>
    </row>
    <row r="433" spans="1:16" x14ac:dyDescent="0.3">
      <c r="A433" s="19" t="str">
        <f t="shared" si="13"/>
        <v/>
      </c>
      <c r="K433" s="21" t="str">
        <f>IF(J433&lt;&gt;"",VLOOKUP(J433,HeadCount!A:I,2,0),"")</f>
        <v/>
      </c>
      <c r="L433" s="21" t="str">
        <f>IF(J433&lt;&gt;"",VLOOKUP(J433,HeadCount!A:I,5,0),"")</f>
        <v/>
      </c>
      <c r="P433" s="19" t="str">
        <f t="shared" si="14"/>
        <v/>
      </c>
    </row>
    <row r="434" spans="1:16" x14ac:dyDescent="0.3">
      <c r="A434" s="19" t="str">
        <f t="shared" si="13"/>
        <v/>
      </c>
      <c r="K434" s="21" t="str">
        <f>IF(J434&lt;&gt;"",VLOOKUP(J434,HeadCount!A:I,2,0),"")</f>
        <v/>
      </c>
      <c r="L434" s="21" t="str">
        <f>IF(J434&lt;&gt;"",VLOOKUP(J434,HeadCount!A:I,5,0),"")</f>
        <v/>
      </c>
      <c r="P434" s="19" t="str">
        <f t="shared" si="14"/>
        <v/>
      </c>
    </row>
    <row r="435" spans="1:16" x14ac:dyDescent="0.3">
      <c r="A435" s="19" t="str">
        <f t="shared" si="13"/>
        <v/>
      </c>
      <c r="K435" s="21" t="str">
        <f>IF(J435&lt;&gt;"",VLOOKUP(J435,HeadCount!A:I,2,0),"")</f>
        <v/>
      </c>
      <c r="L435" s="21" t="str">
        <f>IF(J435&lt;&gt;"",VLOOKUP(J435,HeadCount!A:I,5,0),"")</f>
        <v/>
      </c>
      <c r="P435" s="19" t="str">
        <f t="shared" si="14"/>
        <v/>
      </c>
    </row>
    <row r="436" spans="1:16" x14ac:dyDescent="0.3">
      <c r="A436" s="19" t="str">
        <f t="shared" si="13"/>
        <v/>
      </c>
      <c r="K436" s="21" t="str">
        <f>IF(J436&lt;&gt;"",VLOOKUP(J436,HeadCount!A:I,2,0),"")</f>
        <v/>
      </c>
      <c r="L436" s="21" t="str">
        <f>IF(J436&lt;&gt;"",VLOOKUP(J436,HeadCount!A:I,5,0),"")</f>
        <v/>
      </c>
      <c r="P436" s="19" t="str">
        <f t="shared" si="14"/>
        <v/>
      </c>
    </row>
    <row r="437" spans="1:16" x14ac:dyDescent="0.3">
      <c r="A437" s="19" t="str">
        <f t="shared" si="13"/>
        <v/>
      </c>
      <c r="K437" s="21" t="str">
        <f>IF(J437&lt;&gt;"",VLOOKUP(J437,HeadCount!A:I,2,0),"")</f>
        <v/>
      </c>
      <c r="L437" s="21" t="str">
        <f>IF(J437&lt;&gt;"",VLOOKUP(J437,HeadCount!A:I,5,0),"")</f>
        <v/>
      </c>
      <c r="P437" s="19" t="str">
        <f t="shared" si="14"/>
        <v/>
      </c>
    </row>
    <row r="438" spans="1:16" x14ac:dyDescent="0.3">
      <c r="A438" s="19" t="str">
        <f t="shared" si="13"/>
        <v/>
      </c>
      <c r="K438" s="21" t="str">
        <f>IF(J438&lt;&gt;"",VLOOKUP(J438,HeadCount!A:I,2,0),"")</f>
        <v/>
      </c>
      <c r="L438" s="21" t="str">
        <f>IF(J438&lt;&gt;"",VLOOKUP(J438,HeadCount!A:I,5,0),"")</f>
        <v/>
      </c>
      <c r="P438" s="19" t="str">
        <f t="shared" si="14"/>
        <v/>
      </c>
    </row>
    <row r="439" spans="1:16" x14ac:dyDescent="0.3">
      <c r="A439" s="19" t="str">
        <f t="shared" si="13"/>
        <v/>
      </c>
      <c r="K439" s="21" t="str">
        <f>IF(J439&lt;&gt;"",VLOOKUP(J439,HeadCount!A:I,2,0),"")</f>
        <v/>
      </c>
      <c r="L439" s="21" t="str">
        <f>IF(J439&lt;&gt;"",VLOOKUP(J439,HeadCount!A:I,5,0),"")</f>
        <v/>
      </c>
      <c r="P439" s="19" t="str">
        <f t="shared" si="14"/>
        <v/>
      </c>
    </row>
    <row r="440" spans="1:16" x14ac:dyDescent="0.3">
      <c r="A440" s="19" t="str">
        <f t="shared" si="13"/>
        <v/>
      </c>
      <c r="K440" s="21" t="str">
        <f>IF(J440&lt;&gt;"",VLOOKUP(J440,HeadCount!A:I,2,0),"")</f>
        <v/>
      </c>
      <c r="L440" s="21" t="str">
        <f>IF(J440&lt;&gt;"",VLOOKUP(J440,HeadCount!A:I,5,0),"")</f>
        <v/>
      </c>
      <c r="P440" s="19" t="str">
        <f t="shared" si="14"/>
        <v/>
      </c>
    </row>
    <row r="441" spans="1:16" x14ac:dyDescent="0.3">
      <c r="A441" s="19" t="str">
        <f t="shared" si="13"/>
        <v/>
      </c>
      <c r="K441" s="21" t="str">
        <f>IF(J441&lt;&gt;"",VLOOKUP(J441,HeadCount!A:I,2,0),"")</f>
        <v/>
      </c>
      <c r="L441" s="21" t="str">
        <f>IF(J441&lt;&gt;"",VLOOKUP(J441,HeadCount!A:I,5,0),"")</f>
        <v/>
      </c>
      <c r="P441" s="19" t="str">
        <f t="shared" si="14"/>
        <v/>
      </c>
    </row>
    <row r="442" spans="1:16" x14ac:dyDescent="0.3">
      <c r="A442" s="19" t="str">
        <f t="shared" si="13"/>
        <v/>
      </c>
      <c r="K442" s="21" t="str">
        <f>IF(J442&lt;&gt;"",VLOOKUP(J442,HeadCount!A:I,2,0),"")</f>
        <v/>
      </c>
      <c r="L442" s="21" t="str">
        <f>IF(J442&lt;&gt;"",VLOOKUP(J442,HeadCount!A:I,5,0),"")</f>
        <v/>
      </c>
      <c r="P442" s="19" t="str">
        <f t="shared" si="14"/>
        <v/>
      </c>
    </row>
    <row r="443" spans="1:16" x14ac:dyDescent="0.3">
      <c r="A443" s="19" t="str">
        <f t="shared" si="13"/>
        <v/>
      </c>
      <c r="K443" s="21" t="str">
        <f>IF(J443&lt;&gt;"",VLOOKUP(J443,HeadCount!A:I,2,0),"")</f>
        <v/>
      </c>
      <c r="L443" s="21" t="str">
        <f>IF(J443&lt;&gt;"",VLOOKUP(J443,HeadCount!A:I,5,0),"")</f>
        <v/>
      </c>
      <c r="P443" s="19" t="str">
        <f t="shared" si="14"/>
        <v/>
      </c>
    </row>
    <row r="444" spans="1:16" x14ac:dyDescent="0.3">
      <c r="A444" s="19" t="str">
        <f t="shared" si="13"/>
        <v/>
      </c>
      <c r="K444" s="21" t="str">
        <f>IF(J444&lt;&gt;"",VLOOKUP(J444,HeadCount!A:I,2,0),"")</f>
        <v/>
      </c>
      <c r="L444" s="21" t="str">
        <f>IF(J444&lt;&gt;"",VLOOKUP(J444,HeadCount!A:I,5,0),"")</f>
        <v/>
      </c>
      <c r="P444" s="19" t="str">
        <f t="shared" si="14"/>
        <v/>
      </c>
    </row>
    <row r="445" spans="1:16" x14ac:dyDescent="0.3">
      <c r="A445" s="19" t="str">
        <f t="shared" si="13"/>
        <v/>
      </c>
      <c r="K445" s="21" t="str">
        <f>IF(J445&lt;&gt;"",VLOOKUP(J445,HeadCount!A:I,2,0),"")</f>
        <v/>
      </c>
      <c r="L445" s="21" t="str">
        <f>IF(J445&lt;&gt;"",VLOOKUP(J445,HeadCount!A:I,5,0),"")</f>
        <v/>
      </c>
      <c r="P445" s="19" t="str">
        <f t="shared" si="14"/>
        <v/>
      </c>
    </row>
    <row r="446" spans="1:16" x14ac:dyDescent="0.3">
      <c r="A446" s="19" t="str">
        <f t="shared" si="13"/>
        <v/>
      </c>
      <c r="K446" s="21" t="str">
        <f>IF(J446&lt;&gt;"",VLOOKUP(J446,HeadCount!A:I,2,0),"")</f>
        <v/>
      </c>
      <c r="L446" s="21" t="str">
        <f>IF(J446&lt;&gt;"",VLOOKUP(J446,HeadCount!A:I,5,0),"")</f>
        <v/>
      </c>
      <c r="P446" s="19" t="str">
        <f t="shared" si="14"/>
        <v/>
      </c>
    </row>
    <row r="447" spans="1:16" x14ac:dyDescent="0.3">
      <c r="A447" s="19" t="str">
        <f t="shared" si="13"/>
        <v/>
      </c>
      <c r="K447" s="21" t="str">
        <f>IF(J447&lt;&gt;"",VLOOKUP(J447,HeadCount!A:I,2,0),"")</f>
        <v/>
      </c>
      <c r="L447" s="21" t="str">
        <f>IF(J447&lt;&gt;"",VLOOKUP(J447,HeadCount!A:I,5,0),"")</f>
        <v/>
      </c>
      <c r="P447" s="19" t="str">
        <f t="shared" si="14"/>
        <v/>
      </c>
    </row>
    <row r="448" spans="1:16" x14ac:dyDescent="0.3">
      <c r="A448" s="19" t="str">
        <f t="shared" si="13"/>
        <v/>
      </c>
      <c r="K448" s="21" t="str">
        <f>IF(J448&lt;&gt;"",VLOOKUP(J448,HeadCount!A:I,2,0),"")</f>
        <v/>
      </c>
      <c r="L448" s="21" t="str">
        <f>IF(J448&lt;&gt;"",VLOOKUP(J448,HeadCount!A:I,5,0),"")</f>
        <v/>
      </c>
      <c r="P448" s="19" t="str">
        <f t="shared" si="14"/>
        <v/>
      </c>
    </row>
    <row r="449" spans="1:16" x14ac:dyDescent="0.3">
      <c r="A449" s="19" t="str">
        <f t="shared" si="13"/>
        <v/>
      </c>
      <c r="K449" s="21" t="str">
        <f>IF(J449&lt;&gt;"",VLOOKUP(J449,HeadCount!A:I,2,0),"")</f>
        <v/>
      </c>
      <c r="L449" s="21" t="str">
        <f>IF(J449&lt;&gt;"",VLOOKUP(J449,HeadCount!A:I,5,0),"")</f>
        <v/>
      </c>
      <c r="P449" s="19" t="str">
        <f t="shared" si="14"/>
        <v/>
      </c>
    </row>
    <row r="450" spans="1:16" x14ac:dyDescent="0.3">
      <c r="A450" s="19" t="str">
        <f t="shared" ref="A450:A513" si="15">IF(C450&lt;&gt;"",ROW(A449),"")</f>
        <v/>
      </c>
      <c r="K450" s="21" t="str">
        <f>IF(J450&lt;&gt;"",VLOOKUP(J450,HeadCount!A:I,2,0),"")</f>
        <v/>
      </c>
      <c r="L450" s="21" t="str">
        <f>IF(J450&lt;&gt;"",VLOOKUP(J450,HeadCount!A:I,5,0),"")</f>
        <v/>
      </c>
      <c r="P450" s="19" t="str">
        <f t="shared" si="14"/>
        <v/>
      </c>
    </row>
    <row r="451" spans="1:16" x14ac:dyDescent="0.3">
      <c r="A451" s="19" t="str">
        <f t="shared" si="15"/>
        <v/>
      </c>
      <c r="K451" s="21" t="str">
        <f>IF(J451&lt;&gt;"",VLOOKUP(J451,HeadCount!A:I,2,0),"")</f>
        <v/>
      </c>
      <c r="L451" s="21" t="str">
        <f>IF(J451&lt;&gt;"",VLOOKUP(J451,HeadCount!A:I,5,0),"")</f>
        <v/>
      </c>
      <c r="P451" s="19" t="str">
        <f t="shared" ref="P451:P514" si="16">IF(N451="","",(O451-N451)+1)</f>
        <v/>
      </c>
    </row>
    <row r="452" spans="1:16" x14ac:dyDescent="0.3">
      <c r="A452" s="19" t="str">
        <f t="shared" si="15"/>
        <v/>
      </c>
      <c r="K452" s="21" t="str">
        <f>IF(J452&lt;&gt;"",VLOOKUP(J452,HeadCount!A:I,2,0),"")</f>
        <v/>
      </c>
      <c r="L452" s="21" t="str">
        <f>IF(J452&lt;&gt;"",VLOOKUP(J452,HeadCount!A:I,5,0),"")</f>
        <v/>
      </c>
      <c r="P452" s="19" t="str">
        <f t="shared" si="16"/>
        <v/>
      </c>
    </row>
    <row r="453" spans="1:16" x14ac:dyDescent="0.3">
      <c r="A453" s="19" t="str">
        <f t="shared" si="15"/>
        <v/>
      </c>
      <c r="K453" s="21" t="str">
        <f>IF(J453&lt;&gt;"",VLOOKUP(J453,HeadCount!A:I,2,0),"")</f>
        <v/>
      </c>
      <c r="L453" s="21" t="str">
        <f>IF(J453&lt;&gt;"",VLOOKUP(J453,HeadCount!A:I,5,0),"")</f>
        <v/>
      </c>
      <c r="P453" s="19" t="str">
        <f t="shared" si="16"/>
        <v/>
      </c>
    </row>
    <row r="454" spans="1:16" x14ac:dyDescent="0.3">
      <c r="A454" s="19" t="str">
        <f t="shared" si="15"/>
        <v/>
      </c>
      <c r="K454" s="21" t="str">
        <f>IF(J454&lt;&gt;"",VLOOKUP(J454,HeadCount!A:I,2,0),"")</f>
        <v/>
      </c>
      <c r="L454" s="21" t="str">
        <f>IF(J454&lt;&gt;"",VLOOKUP(J454,HeadCount!A:I,5,0),"")</f>
        <v/>
      </c>
      <c r="P454" s="19" t="str">
        <f t="shared" si="16"/>
        <v/>
      </c>
    </row>
    <row r="455" spans="1:16" x14ac:dyDescent="0.3">
      <c r="A455" s="19" t="str">
        <f t="shared" si="15"/>
        <v/>
      </c>
      <c r="K455" s="21" t="str">
        <f>IF(J455&lt;&gt;"",VLOOKUP(J455,HeadCount!A:I,2,0),"")</f>
        <v/>
      </c>
      <c r="L455" s="21" t="str">
        <f>IF(J455&lt;&gt;"",VLOOKUP(J455,HeadCount!A:I,5,0),"")</f>
        <v/>
      </c>
      <c r="P455" s="19" t="str">
        <f t="shared" si="16"/>
        <v/>
      </c>
    </row>
    <row r="456" spans="1:16" x14ac:dyDescent="0.3">
      <c r="A456" s="19" t="str">
        <f t="shared" si="15"/>
        <v/>
      </c>
      <c r="K456" s="21" t="str">
        <f>IF(J456&lt;&gt;"",VLOOKUP(J456,HeadCount!A:I,2,0),"")</f>
        <v/>
      </c>
      <c r="L456" s="21" t="str">
        <f>IF(J456&lt;&gt;"",VLOOKUP(J456,HeadCount!A:I,5,0),"")</f>
        <v/>
      </c>
      <c r="P456" s="19" t="str">
        <f t="shared" si="16"/>
        <v/>
      </c>
    </row>
    <row r="457" spans="1:16" x14ac:dyDescent="0.3">
      <c r="A457" s="19" t="str">
        <f t="shared" si="15"/>
        <v/>
      </c>
      <c r="K457" s="21" t="str">
        <f>IF(J457&lt;&gt;"",VLOOKUP(J457,HeadCount!A:I,2,0),"")</f>
        <v/>
      </c>
      <c r="L457" s="21" t="str">
        <f>IF(J457&lt;&gt;"",VLOOKUP(J457,HeadCount!A:I,5,0),"")</f>
        <v/>
      </c>
      <c r="P457" s="19" t="str">
        <f t="shared" si="16"/>
        <v/>
      </c>
    </row>
    <row r="458" spans="1:16" x14ac:dyDescent="0.3">
      <c r="A458" s="19" t="str">
        <f t="shared" si="15"/>
        <v/>
      </c>
      <c r="K458" s="21" t="str">
        <f>IF(J458&lt;&gt;"",VLOOKUP(J458,HeadCount!A:I,2,0),"")</f>
        <v/>
      </c>
      <c r="L458" s="21" t="str">
        <f>IF(J458&lt;&gt;"",VLOOKUP(J458,HeadCount!A:I,5,0),"")</f>
        <v/>
      </c>
      <c r="P458" s="19" t="str">
        <f t="shared" si="16"/>
        <v/>
      </c>
    </row>
    <row r="459" spans="1:16" x14ac:dyDescent="0.3">
      <c r="A459" s="19" t="str">
        <f t="shared" si="15"/>
        <v/>
      </c>
      <c r="K459" s="21" t="str">
        <f>IF(J459&lt;&gt;"",VLOOKUP(J459,HeadCount!A:I,2,0),"")</f>
        <v/>
      </c>
      <c r="L459" s="21" t="str">
        <f>IF(J459&lt;&gt;"",VLOOKUP(J459,HeadCount!A:I,5,0),"")</f>
        <v/>
      </c>
      <c r="P459" s="19" t="str">
        <f t="shared" si="16"/>
        <v/>
      </c>
    </row>
    <row r="460" spans="1:16" x14ac:dyDescent="0.3">
      <c r="A460" s="19" t="str">
        <f t="shared" si="15"/>
        <v/>
      </c>
      <c r="K460" s="21" t="str">
        <f>IF(J460&lt;&gt;"",VLOOKUP(J460,HeadCount!A:I,2,0),"")</f>
        <v/>
      </c>
      <c r="L460" s="21" t="str">
        <f>IF(J460&lt;&gt;"",VLOOKUP(J460,HeadCount!A:I,5,0),"")</f>
        <v/>
      </c>
      <c r="P460" s="19" t="str">
        <f t="shared" si="16"/>
        <v/>
      </c>
    </row>
    <row r="461" spans="1:16" x14ac:dyDescent="0.3">
      <c r="A461" s="19" t="str">
        <f t="shared" si="15"/>
        <v/>
      </c>
      <c r="K461" s="21" t="str">
        <f>IF(J461&lt;&gt;"",VLOOKUP(J461,HeadCount!A:I,2,0),"")</f>
        <v/>
      </c>
      <c r="L461" s="21" t="str">
        <f>IF(J461&lt;&gt;"",VLOOKUP(J461,HeadCount!A:I,5,0),"")</f>
        <v/>
      </c>
      <c r="P461" s="19" t="str">
        <f t="shared" si="16"/>
        <v/>
      </c>
    </row>
    <row r="462" spans="1:16" x14ac:dyDescent="0.3">
      <c r="A462" s="19" t="str">
        <f t="shared" si="15"/>
        <v/>
      </c>
      <c r="K462" s="21" t="str">
        <f>IF(J462&lt;&gt;"",VLOOKUP(J462,HeadCount!A:I,2,0),"")</f>
        <v/>
      </c>
      <c r="L462" s="21" t="str">
        <f>IF(J462&lt;&gt;"",VLOOKUP(J462,HeadCount!A:I,5,0),"")</f>
        <v/>
      </c>
      <c r="P462" s="19" t="str">
        <f t="shared" si="16"/>
        <v/>
      </c>
    </row>
    <row r="463" spans="1:16" x14ac:dyDescent="0.3">
      <c r="A463" s="19" t="str">
        <f t="shared" si="15"/>
        <v/>
      </c>
      <c r="K463" s="21" t="str">
        <f>IF(J463&lt;&gt;"",VLOOKUP(J463,HeadCount!A:I,2,0),"")</f>
        <v/>
      </c>
      <c r="L463" s="21" t="str">
        <f>IF(J463&lt;&gt;"",VLOOKUP(J463,HeadCount!A:I,5,0),"")</f>
        <v/>
      </c>
      <c r="P463" s="19" t="str">
        <f t="shared" si="16"/>
        <v/>
      </c>
    </row>
    <row r="464" spans="1:16" x14ac:dyDescent="0.3">
      <c r="A464" s="19" t="str">
        <f t="shared" si="15"/>
        <v/>
      </c>
      <c r="K464" s="21" t="str">
        <f>IF(J464&lt;&gt;"",VLOOKUP(J464,HeadCount!A:I,2,0),"")</f>
        <v/>
      </c>
      <c r="L464" s="21" t="str">
        <f>IF(J464&lt;&gt;"",VLOOKUP(J464,HeadCount!A:I,5,0),"")</f>
        <v/>
      </c>
      <c r="P464" s="19" t="str">
        <f t="shared" si="16"/>
        <v/>
      </c>
    </row>
    <row r="465" spans="1:16" x14ac:dyDescent="0.3">
      <c r="A465" s="19" t="str">
        <f t="shared" si="15"/>
        <v/>
      </c>
      <c r="K465" s="21" t="str">
        <f>IF(J465&lt;&gt;"",VLOOKUP(J465,HeadCount!A:I,2,0),"")</f>
        <v/>
      </c>
      <c r="L465" s="21" t="str">
        <f>IF(J465&lt;&gt;"",VLOOKUP(J465,HeadCount!A:I,5,0),"")</f>
        <v/>
      </c>
      <c r="P465" s="19" t="str">
        <f t="shared" si="16"/>
        <v/>
      </c>
    </row>
    <row r="466" spans="1:16" x14ac:dyDescent="0.3">
      <c r="A466" s="19" t="str">
        <f t="shared" si="15"/>
        <v/>
      </c>
      <c r="K466" s="21" t="str">
        <f>IF(J466&lt;&gt;"",VLOOKUP(J466,HeadCount!A:I,2,0),"")</f>
        <v/>
      </c>
      <c r="L466" s="21" t="str">
        <f>IF(J466&lt;&gt;"",VLOOKUP(J466,HeadCount!A:I,5,0),"")</f>
        <v/>
      </c>
      <c r="P466" s="19" t="str">
        <f t="shared" si="16"/>
        <v/>
      </c>
    </row>
    <row r="467" spans="1:16" x14ac:dyDescent="0.3">
      <c r="A467" s="19" t="str">
        <f t="shared" si="15"/>
        <v/>
      </c>
      <c r="K467" s="21" t="str">
        <f>IF(J467&lt;&gt;"",VLOOKUP(J467,HeadCount!A:I,2,0),"")</f>
        <v/>
      </c>
      <c r="L467" s="21" t="str">
        <f>IF(J467&lt;&gt;"",VLOOKUP(J467,HeadCount!A:I,5,0),"")</f>
        <v/>
      </c>
      <c r="P467" s="19" t="str">
        <f t="shared" si="16"/>
        <v/>
      </c>
    </row>
    <row r="468" spans="1:16" x14ac:dyDescent="0.3">
      <c r="A468" s="19" t="str">
        <f t="shared" si="15"/>
        <v/>
      </c>
      <c r="K468" s="21" t="str">
        <f>IF(J468&lt;&gt;"",VLOOKUP(J468,HeadCount!A:I,2,0),"")</f>
        <v/>
      </c>
      <c r="L468" s="21" t="str">
        <f>IF(J468&lt;&gt;"",VLOOKUP(J468,HeadCount!A:I,5,0),"")</f>
        <v/>
      </c>
      <c r="P468" s="19" t="str">
        <f t="shared" si="16"/>
        <v/>
      </c>
    </row>
    <row r="469" spans="1:16" x14ac:dyDescent="0.3">
      <c r="A469" s="19" t="str">
        <f t="shared" si="15"/>
        <v/>
      </c>
      <c r="K469" s="21" t="str">
        <f>IF(J469&lt;&gt;"",VLOOKUP(J469,HeadCount!A:I,2,0),"")</f>
        <v/>
      </c>
      <c r="L469" s="21" t="str">
        <f>IF(J469&lt;&gt;"",VLOOKUP(J469,HeadCount!A:I,5,0),"")</f>
        <v/>
      </c>
      <c r="P469" s="19" t="str">
        <f t="shared" si="16"/>
        <v/>
      </c>
    </row>
    <row r="470" spans="1:16" x14ac:dyDescent="0.3">
      <c r="A470" s="19" t="str">
        <f t="shared" si="15"/>
        <v/>
      </c>
      <c r="K470" s="21" t="str">
        <f>IF(J470&lt;&gt;"",VLOOKUP(J470,HeadCount!A:I,2,0),"")</f>
        <v/>
      </c>
      <c r="L470" s="21" t="str">
        <f>IF(J470&lt;&gt;"",VLOOKUP(J470,HeadCount!A:I,5,0),"")</f>
        <v/>
      </c>
      <c r="P470" s="19" t="str">
        <f t="shared" si="16"/>
        <v/>
      </c>
    </row>
    <row r="471" spans="1:16" x14ac:dyDescent="0.3">
      <c r="A471" s="19" t="str">
        <f t="shared" si="15"/>
        <v/>
      </c>
      <c r="K471" s="21" t="str">
        <f>IF(J471&lt;&gt;"",VLOOKUP(J471,HeadCount!A:I,2,0),"")</f>
        <v/>
      </c>
      <c r="L471" s="21" t="str">
        <f>IF(J471&lt;&gt;"",VLOOKUP(J471,HeadCount!A:I,5,0),"")</f>
        <v/>
      </c>
      <c r="P471" s="19" t="str">
        <f t="shared" si="16"/>
        <v/>
      </c>
    </row>
    <row r="472" spans="1:16" x14ac:dyDescent="0.3">
      <c r="A472" s="19" t="str">
        <f t="shared" si="15"/>
        <v/>
      </c>
      <c r="K472" s="21" t="str">
        <f>IF(J472&lt;&gt;"",VLOOKUP(J472,HeadCount!A:I,2,0),"")</f>
        <v/>
      </c>
      <c r="L472" s="21" t="str">
        <f>IF(J472&lt;&gt;"",VLOOKUP(J472,HeadCount!A:I,5,0),"")</f>
        <v/>
      </c>
      <c r="P472" s="19" t="str">
        <f t="shared" si="16"/>
        <v/>
      </c>
    </row>
    <row r="473" spans="1:16" x14ac:dyDescent="0.3">
      <c r="A473" s="19" t="str">
        <f t="shared" si="15"/>
        <v/>
      </c>
      <c r="K473" s="21" t="str">
        <f>IF(J473&lt;&gt;"",VLOOKUP(J473,HeadCount!A:I,2,0),"")</f>
        <v/>
      </c>
      <c r="L473" s="21" t="str">
        <f>IF(J473&lt;&gt;"",VLOOKUP(J473,HeadCount!A:I,5,0),"")</f>
        <v/>
      </c>
      <c r="P473" s="19" t="str">
        <f t="shared" si="16"/>
        <v/>
      </c>
    </row>
    <row r="474" spans="1:16" x14ac:dyDescent="0.3">
      <c r="A474" s="19" t="str">
        <f t="shared" si="15"/>
        <v/>
      </c>
      <c r="K474" s="21" t="str">
        <f>IF(J474&lt;&gt;"",VLOOKUP(J474,HeadCount!A:I,2,0),"")</f>
        <v/>
      </c>
      <c r="L474" s="21" t="str">
        <f>IF(J474&lt;&gt;"",VLOOKUP(J474,HeadCount!A:I,5,0),"")</f>
        <v/>
      </c>
      <c r="P474" s="19" t="str">
        <f t="shared" si="16"/>
        <v/>
      </c>
    </row>
    <row r="475" spans="1:16" x14ac:dyDescent="0.3">
      <c r="A475" s="19" t="str">
        <f t="shared" si="15"/>
        <v/>
      </c>
      <c r="K475" s="21" t="str">
        <f>IF(J475&lt;&gt;"",VLOOKUP(J475,HeadCount!A:I,2,0),"")</f>
        <v/>
      </c>
      <c r="L475" s="21" t="str">
        <f>IF(J475&lt;&gt;"",VLOOKUP(J475,HeadCount!A:I,5,0),"")</f>
        <v/>
      </c>
      <c r="P475" s="19" t="str">
        <f t="shared" si="16"/>
        <v/>
      </c>
    </row>
    <row r="476" spans="1:16" x14ac:dyDescent="0.3">
      <c r="A476" s="19" t="str">
        <f t="shared" si="15"/>
        <v/>
      </c>
      <c r="K476" s="21" t="str">
        <f>IF(J476&lt;&gt;"",VLOOKUP(J476,HeadCount!A:I,2,0),"")</f>
        <v/>
      </c>
      <c r="L476" s="21" t="str">
        <f>IF(J476&lt;&gt;"",VLOOKUP(J476,HeadCount!A:I,5,0),"")</f>
        <v/>
      </c>
      <c r="P476" s="19" t="str">
        <f t="shared" si="16"/>
        <v/>
      </c>
    </row>
    <row r="477" spans="1:16" x14ac:dyDescent="0.3">
      <c r="A477" s="19" t="str">
        <f t="shared" si="15"/>
        <v/>
      </c>
      <c r="K477" s="21" t="str">
        <f>IF(J477&lt;&gt;"",VLOOKUP(J477,HeadCount!A:I,2,0),"")</f>
        <v/>
      </c>
      <c r="L477" s="21" t="str">
        <f>IF(J477&lt;&gt;"",VLOOKUP(J477,HeadCount!A:I,5,0),"")</f>
        <v/>
      </c>
      <c r="P477" s="19" t="str">
        <f t="shared" si="16"/>
        <v/>
      </c>
    </row>
    <row r="478" spans="1:16" x14ac:dyDescent="0.3">
      <c r="A478" s="19" t="str">
        <f t="shared" si="15"/>
        <v/>
      </c>
      <c r="K478" s="21" t="str">
        <f>IF(J478&lt;&gt;"",VLOOKUP(J478,HeadCount!A:I,2,0),"")</f>
        <v/>
      </c>
      <c r="L478" s="21" t="str">
        <f>IF(J478&lt;&gt;"",VLOOKUP(J478,HeadCount!A:I,5,0),"")</f>
        <v/>
      </c>
      <c r="P478" s="19" t="str">
        <f t="shared" si="16"/>
        <v/>
      </c>
    </row>
    <row r="479" spans="1:16" x14ac:dyDescent="0.3">
      <c r="A479" s="19" t="str">
        <f t="shared" si="15"/>
        <v/>
      </c>
      <c r="K479" s="21" t="str">
        <f>IF(J479&lt;&gt;"",VLOOKUP(J479,HeadCount!A:I,2,0),"")</f>
        <v/>
      </c>
      <c r="L479" s="21" t="str">
        <f>IF(J479&lt;&gt;"",VLOOKUP(J479,HeadCount!A:I,5,0),"")</f>
        <v/>
      </c>
      <c r="P479" s="19" t="str">
        <f t="shared" si="16"/>
        <v/>
      </c>
    </row>
    <row r="480" spans="1:16" x14ac:dyDescent="0.3">
      <c r="A480" s="19" t="str">
        <f t="shared" si="15"/>
        <v/>
      </c>
      <c r="K480" s="21" t="str">
        <f>IF(J480&lt;&gt;"",VLOOKUP(J480,HeadCount!A:I,2,0),"")</f>
        <v/>
      </c>
      <c r="L480" s="21" t="str">
        <f>IF(J480&lt;&gt;"",VLOOKUP(J480,HeadCount!A:I,5,0),"")</f>
        <v/>
      </c>
      <c r="P480" s="19" t="str">
        <f t="shared" si="16"/>
        <v/>
      </c>
    </row>
    <row r="481" spans="1:16" x14ac:dyDescent="0.3">
      <c r="A481" s="19" t="str">
        <f t="shared" si="15"/>
        <v/>
      </c>
      <c r="K481" s="21" t="str">
        <f>IF(J481&lt;&gt;"",VLOOKUP(J481,HeadCount!A:I,2,0),"")</f>
        <v/>
      </c>
      <c r="L481" s="21" t="str">
        <f>IF(J481&lt;&gt;"",VLOOKUP(J481,HeadCount!A:I,5,0),"")</f>
        <v/>
      </c>
      <c r="P481" s="19" t="str">
        <f t="shared" si="16"/>
        <v/>
      </c>
    </row>
    <row r="482" spans="1:16" x14ac:dyDescent="0.3">
      <c r="A482" s="19" t="str">
        <f t="shared" si="15"/>
        <v/>
      </c>
      <c r="K482" s="21" t="str">
        <f>IF(J482&lt;&gt;"",VLOOKUP(J482,HeadCount!A:I,2,0),"")</f>
        <v/>
      </c>
      <c r="L482" s="21" t="str">
        <f>IF(J482&lt;&gt;"",VLOOKUP(J482,HeadCount!A:I,5,0),"")</f>
        <v/>
      </c>
      <c r="P482" s="19" t="str">
        <f t="shared" si="16"/>
        <v/>
      </c>
    </row>
    <row r="483" spans="1:16" x14ac:dyDescent="0.3">
      <c r="A483" s="19" t="str">
        <f t="shared" si="15"/>
        <v/>
      </c>
      <c r="K483" s="21" t="str">
        <f>IF(J483&lt;&gt;"",VLOOKUP(J483,HeadCount!A:I,2,0),"")</f>
        <v/>
      </c>
      <c r="L483" s="21" t="str">
        <f>IF(J483&lt;&gt;"",VLOOKUP(J483,HeadCount!A:I,5,0),"")</f>
        <v/>
      </c>
      <c r="P483" s="19" t="str">
        <f t="shared" si="16"/>
        <v/>
      </c>
    </row>
    <row r="484" spans="1:16" x14ac:dyDescent="0.3">
      <c r="A484" s="19" t="str">
        <f t="shared" si="15"/>
        <v/>
      </c>
      <c r="K484" s="21" t="str">
        <f>IF(J484&lt;&gt;"",VLOOKUP(J484,HeadCount!A:I,2,0),"")</f>
        <v/>
      </c>
      <c r="L484" s="21" t="str">
        <f>IF(J484&lt;&gt;"",VLOOKUP(J484,HeadCount!A:I,5,0),"")</f>
        <v/>
      </c>
      <c r="P484" s="19" t="str">
        <f t="shared" si="16"/>
        <v/>
      </c>
    </row>
    <row r="485" spans="1:16" x14ac:dyDescent="0.3">
      <c r="A485" s="19" t="str">
        <f t="shared" si="15"/>
        <v/>
      </c>
      <c r="K485" s="21" t="str">
        <f>IF(J485&lt;&gt;"",VLOOKUP(J485,HeadCount!A:I,2,0),"")</f>
        <v/>
      </c>
      <c r="L485" s="21" t="str">
        <f>IF(J485&lt;&gt;"",VLOOKUP(J485,HeadCount!A:I,5,0),"")</f>
        <v/>
      </c>
      <c r="P485" s="19" t="str">
        <f t="shared" si="16"/>
        <v/>
      </c>
    </row>
    <row r="486" spans="1:16" x14ac:dyDescent="0.3">
      <c r="A486" s="19" t="str">
        <f t="shared" si="15"/>
        <v/>
      </c>
      <c r="K486" s="21" t="str">
        <f>IF(J486&lt;&gt;"",VLOOKUP(J486,HeadCount!A:I,2,0),"")</f>
        <v/>
      </c>
      <c r="L486" s="21" t="str">
        <f>IF(J486&lt;&gt;"",VLOOKUP(J486,HeadCount!A:I,5,0),"")</f>
        <v/>
      </c>
      <c r="P486" s="19" t="str">
        <f t="shared" si="16"/>
        <v/>
      </c>
    </row>
    <row r="487" spans="1:16" x14ac:dyDescent="0.3">
      <c r="A487" s="19" t="str">
        <f t="shared" si="15"/>
        <v/>
      </c>
      <c r="K487" s="21" t="str">
        <f>IF(J487&lt;&gt;"",VLOOKUP(J487,HeadCount!A:I,2,0),"")</f>
        <v/>
      </c>
      <c r="L487" s="21" t="str">
        <f>IF(J487&lt;&gt;"",VLOOKUP(J487,HeadCount!A:I,5,0),"")</f>
        <v/>
      </c>
      <c r="P487" s="19" t="str">
        <f t="shared" si="16"/>
        <v/>
      </c>
    </row>
    <row r="488" spans="1:16" x14ac:dyDescent="0.3">
      <c r="A488" s="19" t="str">
        <f t="shared" si="15"/>
        <v/>
      </c>
      <c r="K488" s="21" t="str">
        <f>IF(J488&lt;&gt;"",VLOOKUP(J488,HeadCount!A:I,2,0),"")</f>
        <v/>
      </c>
      <c r="L488" s="21" t="str">
        <f>IF(J488&lt;&gt;"",VLOOKUP(J488,HeadCount!A:I,5,0),"")</f>
        <v/>
      </c>
      <c r="P488" s="19" t="str">
        <f t="shared" si="16"/>
        <v/>
      </c>
    </row>
    <row r="489" spans="1:16" x14ac:dyDescent="0.3">
      <c r="A489" s="19" t="str">
        <f t="shared" si="15"/>
        <v/>
      </c>
      <c r="K489" s="21" t="str">
        <f>IF(J489&lt;&gt;"",VLOOKUP(J489,HeadCount!A:I,2,0),"")</f>
        <v/>
      </c>
      <c r="L489" s="21" t="str">
        <f>IF(J489&lt;&gt;"",VLOOKUP(J489,HeadCount!A:I,5,0),"")</f>
        <v/>
      </c>
      <c r="P489" s="19" t="str">
        <f t="shared" si="16"/>
        <v/>
      </c>
    </row>
    <row r="490" spans="1:16" x14ac:dyDescent="0.3">
      <c r="A490" s="19" t="str">
        <f t="shared" si="15"/>
        <v/>
      </c>
      <c r="K490" s="21" t="str">
        <f>IF(J490&lt;&gt;"",VLOOKUP(J490,HeadCount!A:I,2,0),"")</f>
        <v/>
      </c>
      <c r="L490" s="21" t="str">
        <f>IF(J490&lt;&gt;"",VLOOKUP(J490,HeadCount!A:I,5,0),"")</f>
        <v/>
      </c>
      <c r="P490" s="19" t="str">
        <f t="shared" si="16"/>
        <v/>
      </c>
    </row>
    <row r="491" spans="1:16" x14ac:dyDescent="0.3">
      <c r="A491" s="19" t="str">
        <f t="shared" si="15"/>
        <v/>
      </c>
      <c r="K491" s="21" t="str">
        <f>IF(J491&lt;&gt;"",VLOOKUP(J491,HeadCount!A:I,2,0),"")</f>
        <v/>
      </c>
      <c r="L491" s="21" t="str">
        <f>IF(J491&lt;&gt;"",VLOOKUP(J491,HeadCount!A:I,5,0),"")</f>
        <v/>
      </c>
      <c r="P491" s="19" t="str">
        <f t="shared" si="16"/>
        <v/>
      </c>
    </row>
    <row r="492" spans="1:16" x14ac:dyDescent="0.3">
      <c r="A492" s="19" t="str">
        <f t="shared" si="15"/>
        <v/>
      </c>
      <c r="K492" s="21" t="str">
        <f>IF(J492&lt;&gt;"",VLOOKUP(J492,HeadCount!A:I,2,0),"")</f>
        <v/>
      </c>
      <c r="L492" s="21" t="str">
        <f>IF(J492&lt;&gt;"",VLOOKUP(J492,HeadCount!A:I,5,0),"")</f>
        <v/>
      </c>
      <c r="P492" s="19" t="str">
        <f t="shared" si="16"/>
        <v/>
      </c>
    </row>
    <row r="493" spans="1:16" x14ac:dyDescent="0.3">
      <c r="A493" s="19" t="str">
        <f t="shared" si="15"/>
        <v/>
      </c>
      <c r="K493" s="21" t="str">
        <f>IF(J493&lt;&gt;"",VLOOKUP(J493,HeadCount!A:I,2,0),"")</f>
        <v/>
      </c>
      <c r="L493" s="21" t="str">
        <f>IF(J493&lt;&gt;"",VLOOKUP(J493,HeadCount!A:I,5,0),"")</f>
        <v/>
      </c>
      <c r="P493" s="19" t="str">
        <f t="shared" si="16"/>
        <v/>
      </c>
    </row>
    <row r="494" spans="1:16" x14ac:dyDescent="0.3">
      <c r="A494" s="19" t="str">
        <f t="shared" si="15"/>
        <v/>
      </c>
      <c r="K494" s="21" t="str">
        <f>IF(J494&lt;&gt;"",VLOOKUP(J494,HeadCount!A:I,2,0),"")</f>
        <v/>
      </c>
      <c r="L494" s="21" t="str">
        <f>IF(J494&lt;&gt;"",VLOOKUP(J494,HeadCount!A:I,5,0),"")</f>
        <v/>
      </c>
      <c r="P494" s="19" t="str">
        <f t="shared" si="16"/>
        <v/>
      </c>
    </row>
    <row r="495" spans="1:16" x14ac:dyDescent="0.3">
      <c r="A495" s="19" t="str">
        <f t="shared" si="15"/>
        <v/>
      </c>
      <c r="K495" s="21" t="str">
        <f>IF(J495&lt;&gt;"",VLOOKUP(J495,HeadCount!A:I,2,0),"")</f>
        <v/>
      </c>
      <c r="L495" s="21" t="str">
        <f>IF(J495&lt;&gt;"",VLOOKUP(J495,HeadCount!A:I,5,0),"")</f>
        <v/>
      </c>
      <c r="P495" s="19" t="str">
        <f t="shared" si="16"/>
        <v/>
      </c>
    </row>
    <row r="496" spans="1:16" x14ac:dyDescent="0.3">
      <c r="A496" s="19" t="str">
        <f t="shared" si="15"/>
        <v/>
      </c>
      <c r="K496" s="21" t="str">
        <f>IF(J496&lt;&gt;"",VLOOKUP(J496,HeadCount!A:I,2,0),"")</f>
        <v/>
      </c>
      <c r="L496" s="21" t="str">
        <f>IF(J496&lt;&gt;"",VLOOKUP(J496,HeadCount!A:I,5,0),"")</f>
        <v/>
      </c>
      <c r="P496" s="19" t="str">
        <f t="shared" si="16"/>
        <v/>
      </c>
    </row>
    <row r="497" spans="1:16" x14ac:dyDescent="0.3">
      <c r="A497" s="19" t="str">
        <f t="shared" si="15"/>
        <v/>
      </c>
      <c r="K497" s="21" t="str">
        <f>IF(J497&lt;&gt;"",VLOOKUP(J497,HeadCount!A:I,2,0),"")</f>
        <v/>
      </c>
      <c r="L497" s="21" t="str">
        <f>IF(J497&lt;&gt;"",VLOOKUP(J497,HeadCount!A:I,5,0),"")</f>
        <v/>
      </c>
      <c r="P497" s="19" t="str">
        <f t="shared" si="16"/>
        <v/>
      </c>
    </row>
    <row r="498" spans="1:16" x14ac:dyDescent="0.3">
      <c r="A498" s="19" t="str">
        <f t="shared" si="15"/>
        <v/>
      </c>
      <c r="K498" s="21" t="str">
        <f>IF(J498&lt;&gt;"",VLOOKUP(J498,HeadCount!A:I,2,0),"")</f>
        <v/>
      </c>
      <c r="L498" s="21" t="str">
        <f>IF(J498&lt;&gt;"",VLOOKUP(J498,HeadCount!A:I,5,0),"")</f>
        <v/>
      </c>
      <c r="P498" s="19" t="str">
        <f t="shared" si="16"/>
        <v/>
      </c>
    </row>
    <row r="499" spans="1:16" x14ac:dyDescent="0.3">
      <c r="A499" s="19" t="str">
        <f t="shared" si="15"/>
        <v/>
      </c>
      <c r="K499" s="21" t="str">
        <f>IF(J499&lt;&gt;"",VLOOKUP(J499,HeadCount!A:I,2,0),"")</f>
        <v/>
      </c>
      <c r="L499" s="21" t="str">
        <f>IF(J499&lt;&gt;"",VLOOKUP(J499,HeadCount!A:I,5,0),"")</f>
        <v/>
      </c>
      <c r="P499" s="19" t="str">
        <f t="shared" si="16"/>
        <v/>
      </c>
    </row>
    <row r="500" spans="1:16" x14ac:dyDescent="0.3">
      <c r="A500" s="19" t="str">
        <f t="shared" si="15"/>
        <v/>
      </c>
      <c r="K500" s="21" t="str">
        <f>IF(J500&lt;&gt;"",VLOOKUP(J500,HeadCount!A:I,2,0),"")</f>
        <v/>
      </c>
      <c r="L500" s="21" t="str">
        <f>IF(J500&lt;&gt;"",VLOOKUP(J500,HeadCount!A:I,5,0),"")</f>
        <v/>
      </c>
      <c r="P500" s="19" t="str">
        <f t="shared" si="16"/>
        <v/>
      </c>
    </row>
    <row r="501" spans="1:16" x14ac:dyDescent="0.3">
      <c r="A501" s="19" t="str">
        <f t="shared" si="15"/>
        <v/>
      </c>
      <c r="K501" s="21" t="str">
        <f>IF(J501&lt;&gt;"",VLOOKUP(J501,HeadCount!A:I,2,0),"")</f>
        <v/>
      </c>
      <c r="L501" s="21" t="str">
        <f>IF(J501&lt;&gt;"",VLOOKUP(J501,HeadCount!A:I,5,0),"")</f>
        <v/>
      </c>
      <c r="P501" s="19" t="str">
        <f t="shared" si="16"/>
        <v/>
      </c>
    </row>
    <row r="502" spans="1:16" x14ac:dyDescent="0.3">
      <c r="A502" s="19" t="str">
        <f t="shared" si="15"/>
        <v/>
      </c>
      <c r="K502" s="21" t="str">
        <f>IF(J502&lt;&gt;"",VLOOKUP(J502,HeadCount!A:I,2,0),"")</f>
        <v/>
      </c>
      <c r="L502" s="21" t="str">
        <f>IF(J502&lt;&gt;"",VLOOKUP(J502,HeadCount!A:I,5,0),"")</f>
        <v/>
      </c>
      <c r="P502" s="19" t="str">
        <f t="shared" si="16"/>
        <v/>
      </c>
    </row>
    <row r="503" spans="1:16" x14ac:dyDescent="0.3">
      <c r="A503" s="19" t="str">
        <f t="shared" si="15"/>
        <v/>
      </c>
      <c r="K503" s="21" t="str">
        <f>IF(J503&lt;&gt;"",VLOOKUP(J503,HeadCount!A:I,2,0),"")</f>
        <v/>
      </c>
      <c r="L503" s="21" t="str">
        <f>IF(J503&lt;&gt;"",VLOOKUP(J503,HeadCount!A:I,5,0),"")</f>
        <v/>
      </c>
      <c r="P503" s="19" t="str">
        <f t="shared" si="16"/>
        <v/>
      </c>
    </row>
    <row r="504" spans="1:16" x14ac:dyDescent="0.3">
      <c r="A504" s="19" t="str">
        <f t="shared" si="15"/>
        <v/>
      </c>
      <c r="K504" s="21" t="str">
        <f>IF(J504&lt;&gt;"",VLOOKUP(J504,HeadCount!A:I,2,0),"")</f>
        <v/>
      </c>
      <c r="L504" s="21" t="str">
        <f>IF(J504&lt;&gt;"",VLOOKUP(J504,HeadCount!A:I,5,0),"")</f>
        <v/>
      </c>
      <c r="P504" s="19" t="str">
        <f t="shared" si="16"/>
        <v/>
      </c>
    </row>
    <row r="505" spans="1:16" x14ac:dyDescent="0.3">
      <c r="A505" s="19" t="str">
        <f t="shared" si="15"/>
        <v/>
      </c>
      <c r="K505" s="21" t="str">
        <f>IF(J505&lt;&gt;"",VLOOKUP(J505,HeadCount!A:I,2,0),"")</f>
        <v/>
      </c>
      <c r="L505" s="21" t="str">
        <f>IF(J505&lt;&gt;"",VLOOKUP(J505,HeadCount!A:I,5,0),"")</f>
        <v/>
      </c>
      <c r="P505" s="19" t="str">
        <f t="shared" si="16"/>
        <v/>
      </c>
    </row>
    <row r="506" spans="1:16" x14ac:dyDescent="0.3">
      <c r="A506" s="19" t="str">
        <f t="shared" si="15"/>
        <v/>
      </c>
      <c r="K506" s="21" t="str">
        <f>IF(J506&lt;&gt;"",VLOOKUP(J506,HeadCount!A:I,2,0),"")</f>
        <v/>
      </c>
      <c r="L506" s="21" t="str">
        <f>IF(J506&lt;&gt;"",VLOOKUP(J506,HeadCount!A:I,5,0),"")</f>
        <v/>
      </c>
      <c r="P506" s="19" t="str">
        <f t="shared" si="16"/>
        <v/>
      </c>
    </row>
    <row r="507" spans="1:16" x14ac:dyDescent="0.3">
      <c r="A507" s="19" t="str">
        <f t="shared" si="15"/>
        <v/>
      </c>
      <c r="K507" s="21" t="str">
        <f>IF(J507&lt;&gt;"",VLOOKUP(J507,HeadCount!A:I,2,0),"")</f>
        <v/>
      </c>
      <c r="L507" s="21" t="str">
        <f>IF(J507&lt;&gt;"",VLOOKUP(J507,HeadCount!A:I,5,0),"")</f>
        <v/>
      </c>
      <c r="P507" s="19" t="str">
        <f t="shared" si="16"/>
        <v/>
      </c>
    </row>
    <row r="508" spans="1:16" x14ac:dyDescent="0.3">
      <c r="A508" s="19" t="str">
        <f t="shared" si="15"/>
        <v/>
      </c>
      <c r="K508" s="21" t="str">
        <f>IF(J508&lt;&gt;"",VLOOKUP(J508,HeadCount!A:I,2,0),"")</f>
        <v/>
      </c>
      <c r="L508" s="21" t="str">
        <f>IF(J508&lt;&gt;"",VLOOKUP(J508,HeadCount!A:I,5,0),"")</f>
        <v/>
      </c>
      <c r="P508" s="19" t="str">
        <f t="shared" si="16"/>
        <v/>
      </c>
    </row>
    <row r="509" spans="1:16" x14ac:dyDescent="0.3">
      <c r="A509" s="19" t="str">
        <f t="shared" si="15"/>
        <v/>
      </c>
      <c r="K509" s="21" t="str">
        <f>IF(J509&lt;&gt;"",VLOOKUP(J509,HeadCount!A:I,2,0),"")</f>
        <v/>
      </c>
      <c r="L509" s="21" t="str">
        <f>IF(J509&lt;&gt;"",VLOOKUP(J509,HeadCount!A:I,5,0),"")</f>
        <v/>
      </c>
      <c r="P509" s="19" t="str">
        <f t="shared" si="16"/>
        <v/>
      </c>
    </row>
    <row r="510" spans="1:16" x14ac:dyDescent="0.3">
      <c r="A510" s="19" t="str">
        <f t="shared" si="15"/>
        <v/>
      </c>
      <c r="K510" s="21" t="str">
        <f>IF(J510&lt;&gt;"",VLOOKUP(J510,HeadCount!A:I,2,0),"")</f>
        <v/>
      </c>
      <c r="L510" s="21" t="str">
        <f>IF(J510&lt;&gt;"",VLOOKUP(J510,HeadCount!A:I,5,0),"")</f>
        <v/>
      </c>
      <c r="P510" s="19" t="str">
        <f t="shared" si="16"/>
        <v/>
      </c>
    </row>
    <row r="511" spans="1:16" x14ac:dyDescent="0.3">
      <c r="A511" s="19" t="str">
        <f t="shared" si="15"/>
        <v/>
      </c>
      <c r="K511" s="21" t="str">
        <f>IF(J511&lt;&gt;"",VLOOKUP(J511,HeadCount!A:I,2,0),"")</f>
        <v/>
      </c>
      <c r="L511" s="21" t="str">
        <f>IF(J511&lt;&gt;"",VLOOKUP(J511,HeadCount!A:I,5,0),"")</f>
        <v/>
      </c>
      <c r="P511" s="19" t="str">
        <f t="shared" si="16"/>
        <v/>
      </c>
    </row>
    <row r="512" spans="1:16" x14ac:dyDescent="0.3">
      <c r="A512" s="19" t="str">
        <f t="shared" si="15"/>
        <v/>
      </c>
      <c r="K512" s="21" t="str">
        <f>IF(J512&lt;&gt;"",VLOOKUP(J512,HeadCount!A:I,2,0),"")</f>
        <v/>
      </c>
      <c r="L512" s="21" t="str">
        <f>IF(J512&lt;&gt;"",VLOOKUP(J512,HeadCount!A:I,5,0),"")</f>
        <v/>
      </c>
      <c r="P512" s="19" t="str">
        <f t="shared" si="16"/>
        <v/>
      </c>
    </row>
    <row r="513" spans="1:16" x14ac:dyDescent="0.3">
      <c r="A513" s="19" t="str">
        <f t="shared" si="15"/>
        <v/>
      </c>
      <c r="K513" s="21" t="str">
        <f>IF(J513&lt;&gt;"",VLOOKUP(J513,HeadCount!A:I,2,0),"")</f>
        <v/>
      </c>
      <c r="L513" s="21" t="str">
        <f>IF(J513&lt;&gt;"",VLOOKUP(J513,HeadCount!A:I,5,0),"")</f>
        <v/>
      </c>
      <c r="P513" s="19" t="str">
        <f t="shared" si="16"/>
        <v/>
      </c>
    </row>
    <row r="514" spans="1:16" x14ac:dyDescent="0.3">
      <c r="A514" s="19" t="str">
        <f t="shared" ref="A514:A577" si="17">IF(C514&lt;&gt;"",ROW(A513),"")</f>
        <v/>
      </c>
      <c r="K514" s="21" t="str">
        <f>IF(J514&lt;&gt;"",VLOOKUP(J514,HeadCount!A:I,2,0),"")</f>
        <v/>
      </c>
      <c r="L514" s="21" t="str">
        <f>IF(J514&lt;&gt;"",VLOOKUP(J514,HeadCount!A:I,5,0),"")</f>
        <v/>
      </c>
      <c r="P514" s="19" t="str">
        <f t="shared" si="16"/>
        <v/>
      </c>
    </row>
    <row r="515" spans="1:16" x14ac:dyDescent="0.3">
      <c r="A515" s="19" t="str">
        <f t="shared" si="17"/>
        <v/>
      </c>
      <c r="K515" s="21" t="str">
        <f>IF(J515&lt;&gt;"",VLOOKUP(J515,HeadCount!A:I,2,0),"")</f>
        <v/>
      </c>
      <c r="L515" s="21" t="str">
        <f>IF(J515&lt;&gt;"",VLOOKUP(J515,HeadCount!A:I,5,0),"")</f>
        <v/>
      </c>
      <c r="P515" s="19" t="str">
        <f t="shared" ref="P515:P578" si="18">IF(N515="","",(O515-N515)+1)</f>
        <v/>
      </c>
    </row>
    <row r="516" spans="1:16" x14ac:dyDescent="0.3">
      <c r="A516" s="19" t="str">
        <f t="shared" si="17"/>
        <v/>
      </c>
      <c r="K516" s="21" t="str">
        <f>IF(J516&lt;&gt;"",VLOOKUP(J516,HeadCount!A:I,2,0),"")</f>
        <v/>
      </c>
      <c r="L516" s="21" t="str">
        <f>IF(J516&lt;&gt;"",VLOOKUP(J516,HeadCount!A:I,5,0),"")</f>
        <v/>
      </c>
      <c r="P516" s="19" t="str">
        <f t="shared" si="18"/>
        <v/>
      </c>
    </row>
    <row r="517" spans="1:16" x14ac:dyDescent="0.3">
      <c r="A517" s="19" t="str">
        <f t="shared" si="17"/>
        <v/>
      </c>
      <c r="K517" s="21" t="str">
        <f>IF(J517&lt;&gt;"",VLOOKUP(J517,HeadCount!A:I,2,0),"")</f>
        <v/>
      </c>
      <c r="L517" s="21" t="str">
        <f>IF(J517&lt;&gt;"",VLOOKUP(J517,HeadCount!A:I,5,0),"")</f>
        <v/>
      </c>
      <c r="P517" s="19" t="str">
        <f t="shared" si="18"/>
        <v/>
      </c>
    </row>
    <row r="518" spans="1:16" x14ac:dyDescent="0.3">
      <c r="A518" s="19" t="str">
        <f t="shared" si="17"/>
        <v/>
      </c>
      <c r="K518" s="21" t="str">
        <f>IF(J518&lt;&gt;"",VLOOKUP(J518,HeadCount!A:I,2,0),"")</f>
        <v/>
      </c>
      <c r="L518" s="21" t="str">
        <f>IF(J518&lt;&gt;"",VLOOKUP(J518,HeadCount!A:I,5,0),"")</f>
        <v/>
      </c>
      <c r="P518" s="19" t="str">
        <f t="shared" si="18"/>
        <v/>
      </c>
    </row>
    <row r="519" spans="1:16" x14ac:dyDescent="0.3">
      <c r="A519" s="19" t="str">
        <f t="shared" si="17"/>
        <v/>
      </c>
      <c r="K519" s="21" t="str">
        <f>IF(J519&lt;&gt;"",VLOOKUP(J519,HeadCount!A:I,2,0),"")</f>
        <v/>
      </c>
      <c r="L519" s="21" t="str">
        <f>IF(J519&lt;&gt;"",VLOOKUP(J519,HeadCount!A:I,5,0),"")</f>
        <v/>
      </c>
      <c r="P519" s="19" t="str">
        <f t="shared" si="18"/>
        <v/>
      </c>
    </row>
    <row r="520" spans="1:16" x14ac:dyDescent="0.3">
      <c r="A520" s="19" t="str">
        <f t="shared" si="17"/>
        <v/>
      </c>
      <c r="K520" s="21" t="str">
        <f>IF(J520&lt;&gt;"",VLOOKUP(J520,HeadCount!A:I,2,0),"")</f>
        <v/>
      </c>
      <c r="L520" s="21" t="str">
        <f>IF(J520&lt;&gt;"",VLOOKUP(J520,HeadCount!A:I,5,0),"")</f>
        <v/>
      </c>
      <c r="P520" s="19" t="str">
        <f t="shared" si="18"/>
        <v/>
      </c>
    </row>
    <row r="521" spans="1:16" x14ac:dyDescent="0.3">
      <c r="A521" s="19" t="str">
        <f t="shared" si="17"/>
        <v/>
      </c>
      <c r="K521" s="21" t="str">
        <f>IF(J521&lt;&gt;"",VLOOKUP(J521,HeadCount!A:I,2,0),"")</f>
        <v/>
      </c>
      <c r="L521" s="21" t="str">
        <f>IF(J521&lt;&gt;"",VLOOKUP(J521,HeadCount!A:I,5,0),"")</f>
        <v/>
      </c>
      <c r="P521" s="19" t="str">
        <f t="shared" si="18"/>
        <v/>
      </c>
    </row>
    <row r="522" spans="1:16" x14ac:dyDescent="0.3">
      <c r="A522" s="19" t="str">
        <f t="shared" si="17"/>
        <v/>
      </c>
      <c r="K522" s="21" t="str">
        <f>IF(J522&lt;&gt;"",VLOOKUP(J522,HeadCount!A:I,2,0),"")</f>
        <v/>
      </c>
      <c r="L522" s="21" t="str">
        <f>IF(J522&lt;&gt;"",VLOOKUP(J522,HeadCount!A:I,5,0),"")</f>
        <v/>
      </c>
      <c r="P522" s="19" t="str">
        <f t="shared" si="18"/>
        <v/>
      </c>
    </row>
    <row r="523" spans="1:16" x14ac:dyDescent="0.3">
      <c r="A523" s="19" t="str">
        <f t="shared" si="17"/>
        <v/>
      </c>
      <c r="K523" s="21" t="str">
        <f>IF(J523&lt;&gt;"",VLOOKUP(J523,HeadCount!A:I,2,0),"")</f>
        <v/>
      </c>
      <c r="L523" s="21" t="str">
        <f>IF(J523&lt;&gt;"",VLOOKUP(J523,HeadCount!A:I,5,0),"")</f>
        <v/>
      </c>
      <c r="P523" s="19" t="str">
        <f t="shared" si="18"/>
        <v/>
      </c>
    </row>
    <row r="524" spans="1:16" x14ac:dyDescent="0.3">
      <c r="A524" s="19" t="str">
        <f t="shared" si="17"/>
        <v/>
      </c>
      <c r="K524" s="21" t="str">
        <f>IF(J524&lt;&gt;"",VLOOKUP(J524,HeadCount!A:I,2,0),"")</f>
        <v/>
      </c>
      <c r="L524" s="21" t="str">
        <f>IF(J524&lt;&gt;"",VLOOKUP(J524,HeadCount!A:I,5,0),"")</f>
        <v/>
      </c>
      <c r="P524" s="19" t="str">
        <f t="shared" si="18"/>
        <v/>
      </c>
    </row>
    <row r="525" spans="1:16" x14ac:dyDescent="0.3">
      <c r="A525" s="19" t="str">
        <f t="shared" si="17"/>
        <v/>
      </c>
      <c r="K525" s="21" t="str">
        <f>IF(J525&lt;&gt;"",VLOOKUP(J525,HeadCount!A:I,2,0),"")</f>
        <v/>
      </c>
      <c r="L525" s="21" t="str">
        <f>IF(J525&lt;&gt;"",VLOOKUP(J525,HeadCount!A:I,5,0),"")</f>
        <v/>
      </c>
      <c r="P525" s="19" t="str">
        <f t="shared" si="18"/>
        <v/>
      </c>
    </row>
    <row r="526" spans="1:16" x14ac:dyDescent="0.3">
      <c r="A526" s="19" t="str">
        <f t="shared" si="17"/>
        <v/>
      </c>
      <c r="K526" s="21" t="str">
        <f>IF(J526&lt;&gt;"",VLOOKUP(J526,HeadCount!A:I,2,0),"")</f>
        <v/>
      </c>
      <c r="L526" s="21" t="str">
        <f>IF(J526&lt;&gt;"",VLOOKUP(J526,HeadCount!A:I,5,0),"")</f>
        <v/>
      </c>
      <c r="P526" s="19" t="str">
        <f t="shared" si="18"/>
        <v/>
      </c>
    </row>
    <row r="527" spans="1:16" x14ac:dyDescent="0.3">
      <c r="A527" s="19" t="str">
        <f t="shared" si="17"/>
        <v/>
      </c>
      <c r="K527" s="21" t="str">
        <f>IF(J527&lt;&gt;"",VLOOKUP(J527,HeadCount!A:I,2,0),"")</f>
        <v/>
      </c>
      <c r="L527" s="21" t="str">
        <f>IF(J527&lt;&gt;"",VLOOKUP(J527,HeadCount!A:I,5,0),"")</f>
        <v/>
      </c>
      <c r="P527" s="19" t="str">
        <f t="shared" si="18"/>
        <v/>
      </c>
    </row>
    <row r="528" spans="1:16" x14ac:dyDescent="0.3">
      <c r="A528" s="19" t="str">
        <f t="shared" si="17"/>
        <v/>
      </c>
      <c r="K528" s="21" t="str">
        <f>IF(J528&lt;&gt;"",VLOOKUP(J528,HeadCount!A:I,2,0),"")</f>
        <v/>
      </c>
      <c r="L528" s="21" t="str">
        <f>IF(J528&lt;&gt;"",VLOOKUP(J528,HeadCount!A:I,5,0),"")</f>
        <v/>
      </c>
      <c r="P528" s="19" t="str">
        <f t="shared" si="18"/>
        <v/>
      </c>
    </row>
    <row r="529" spans="1:16" x14ac:dyDescent="0.3">
      <c r="A529" s="19" t="str">
        <f t="shared" si="17"/>
        <v/>
      </c>
      <c r="K529" s="21" t="str">
        <f>IF(J529&lt;&gt;"",VLOOKUP(J529,HeadCount!A:I,2,0),"")</f>
        <v/>
      </c>
      <c r="L529" s="21" t="str">
        <f>IF(J529&lt;&gt;"",VLOOKUP(J529,HeadCount!A:I,5,0),"")</f>
        <v/>
      </c>
      <c r="P529" s="19" t="str">
        <f t="shared" si="18"/>
        <v/>
      </c>
    </row>
    <row r="530" spans="1:16" x14ac:dyDescent="0.3">
      <c r="A530" s="19" t="str">
        <f t="shared" si="17"/>
        <v/>
      </c>
      <c r="K530" s="21" t="str">
        <f>IF(J530&lt;&gt;"",VLOOKUP(J530,HeadCount!A:I,2,0),"")</f>
        <v/>
      </c>
      <c r="L530" s="21" t="str">
        <f>IF(J530&lt;&gt;"",VLOOKUP(J530,HeadCount!A:I,5,0),"")</f>
        <v/>
      </c>
      <c r="P530" s="19" t="str">
        <f t="shared" si="18"/>
        <v/>
      </c>
    </row>
    <row r="531" spans="1:16" x14ac:dyDescent="0.3">
      <c r="A531" s="19" t="str">
        <f t="shared" si="17"/>
        <v/>
      </c>
      <c r="K531" s="21" t="str">
        <f>IF(J531&lt;&gt;"",VLOOKUP(J531,HeadCount!A:I,2,0),"")</f>
        <v/>
      </c>
      <c r="L531" s="21" t="str">
        <f>IF(J531&lt;&gt;"",VLOOKUP(J531,HeadCount!A:I,5,0),"")</f>
        <v/>
      </c>
      <c r="P531" s="19" t="str">
        <f t="shared" si="18"/>
        <v/>
      </c>
    </row>
    <row r="532" spans="1:16" x14ac:dyDescent="0.3">
      <c r="A532" s="19" t="str">
        <f t="shared" si="17"/>
        <v/>
      </c>
      <c r="K532" s="21" t="str">
        <f>IF(J532&lt;&gt;"",VLOOKUP(J532,HeadCount!A:I,2,0),"")</f>
        <v/>
      </c>
      <c r="L532" s="21" t="str">
        <f>IF(J532&lt;&gt;"",VLOOKUP(J532,HeadCount!A:I,5,0),"")</f>
        <v/>
      </c>
      <c r="P532" s="19" t="str">
        <f t="shared" si="18"/>
        <v/>
      </c>
    </row>
    <row r="533" spans="1:16" x14ac:dyDescent="0.3">
      <c r="A533" s="19" t="str">
        <f t="shared" si="17"/>
        <v/>
      </c>
      <c r="K533" s="21" t="str">
        <f>IF(J533&lt;&gt;"",VLOOKUP(J533,HeadCount!A:I,2,0),"")</f>
        <v/>
      </c>
      <c r="L533" s="21" t="str">
        <f>IF(J533&lt;&gt;"",VLOOKUP(J533,HeadCount!A:I,5,0),"")</f>
        <v/>
      </c>
      <c r="P533" s="19" t="str">
        <f t="shared" si="18"/>
        <v/>
      </c>
    </row>
    <row r="534" spans="1:16" x14ac:dyDescent="0.3">
      <c r="A534" s="19" t="str">
        <f t="shared" si="17"/>
        <v/>
      </c>
      <c r="K534" s="21" t="str">
        <f>IF(J534&lt;&gt;"",VLOOKUP(J534,HeadCount!A:I,2,0),"")</f>
        <v/>
      </c>
      <c r="L534" s="21" t="str">
        <f>IF(J534&lt;&gt;"",VLOOKUP(J534,HeadCount!A:I,5,0),"")</f>
        <v/>
      </c>
      <c r="P534" s="19" t="str">
        <f t="shared" si="18"/>
        <v/>
      </c>
    </row>
    <row r="535" spans="1:16" x14ac:dyDescent="0.3">
      <c r="A535" s="19" t="str">
        <f t="shared" si="17"/>
        <v/>
      </c>
      <c r="K535" s="21" t="str">
        <f>IF(J535&lt;&gt;"",VLOOKUP(J535,HeadCount!A:I,2,0),"")</f>
        <v/>
      </c>
      <c r="L535" s="21" t="str">
        <f>IF(J535&lt;&gt;"",VLOOKUP(J535,HeadCount!A:I,5,0),"")</f>
        <v/>
      </c>
      <c r="P535" s="19" t="str">
        <f t="shared" si="18"/>
        <v/>
      </c>
    </row>
    <row r="536" spans="1:16" x14ac:dyDescent="0.3">
      <c r="A536" s="19" t="str">
        <f t="shared" si="17"/>
        <v/>
      </c>
      <c r="K536" s="21" t="str">
        <f>IF(J536&lt;&gt;"",VLOOKUP(J536,HeadCount!A:I,2,0),"")</f>
        <v/>
      </c>
      <c r="L536" s="21" t="str">
        <f>IF(J536&lt;&gt;"",VLOOKUP(J536,HeadCount!A:I,5,0),"")</f>
        <v/>
      </c>
      <c r="P536" s="19" t="str">
        <f t="shared" si="18"/>
        <v/>
      </c>
    </row>
    <row r="537" spans="1:16" x14ac:dyDescent="0.3">
      <c r="A537" s="19" t="str">
        <f t="shared" si="17"/>
        <v/>
      </c>
      <c r="K537" s="21" t="str">
        <f>IF(J537&lt;&gt;"",VLOOKUP(J537,HeadCount!A:I,2,0),"")</f>
        <v/>
      </c>
      <c r="L537" s="21" t="str">
        <f>IF(J537&lt;&gt;"",VLOOKUP(J537,HeadCount!A:I,5,0),"")</f>
        <v/>
      </c>
      <c r="P537" s="19" t="str">
        <f t="shared" si="18"/>
        <v/>
      </c>
    </row>
    <row r="538" spans="1:16" x14ac:dyDescent="0.3">
      <c r="A538" s="19" t="str">
        <f t="shared" si="17"/>
        <v/>
      </c>
      <c r="K538" s="21" t="str">
        <f>IF(J538&lt;&gt;"",VLOOKUP(J538,HeadCount!A:I,2,0),"")</f>
        <v/>
      </c>
      <c r="L538" s="21" t="str">
        <f>IF(J538&lt;&gt;"",VLOOKUP(J538,HeadCount!A:I,5,0),"")</f>
        <v/>
      </c>
      <c r="P538" s="19" t="str">
        <f t="shared" si="18"/>
        <v/>
      </c>
    </row>
    <row r="539" spans="1:16" x14ac:dyDescent="0.3">
      <c r="A539" s="19" t="str">
        <f t="shared" si="17"/>
        <v/>
      </c>
      <c r="K539" s="21" t="str">
        <f>IF(J539&lt;&gt;"",VLOOKUP(J539,HeadCount!A:I,2,0),"")</f>
        <v/>
      </c>
      <c r="L539" s="21" t="str">
        <f>IF(J539&lt;&gt;"",VLOOKUP(J539,HeadCount!A:I,5,0),"")</f>
        <v/>
      </c>
      <c r="P539" s="19" t="str">
        <f t="shared" si="18"/>
        <v/>
      </c>
    </row>
    <row r="540" spans="1:16" x14ac:dyDescent="0.3">
      <c r="A540" s="19" t="str">
        <f t="shared" si="17"/>
        <v/>
      </c>
      <c r="K540" s="21" t="str">
        <f>IF(J540&lt;&gt;"",VLOOKUP(J540,HeadCount!A:I,2,0),"")</f>
        <v/>
      </c>
      <c r="L540" s="21" t="str">
        <f>IF(J540&lt;&gt;"",VLOOKUP(J540,HeadCount!A:I,5,0),"")</f>
        <v/>
      </c>
      <c r="P540" s="19" t="str">
        <f t="shared" si="18"/>
        <v/>
      </c>
    </row>
    <row r="541" spans="1:16" x14ac:dyDescent="0.3">
      <c r="A541" s="19" t="str">
        <f t="shared" si="17"/>
        <v/>
      </c>
      <c r="K541" s="21" t="str">
        <f>IF(J541&lt;&gt;"",VLOOKUP(J541,HeadCount!A:I,2,0),"")</f>
        <v/>
      </c>
      <c r="L541" s="21" t="str">
        <f>IF(J541&lt;&gt;"",VLOOKUP(J541,HeadCount!A:I,5,0),"")</f>
        <v/>
      </c>
      <c r="P541" s="19" t="str">
        <f t="shared" si="18"/>
        <v/>
      </c>
    </row>
    <row r="542" spans="1:16" x14ac:dyDescent="0.3">
      <c r="A542" s="19" t="str">
        <f t="shared" si="17"/>
        <v/>
      </c>
      <c r="K542" s="21" t="str">
        <f>IF(J542&lt;&gt;"",VLOOKUP(J542,HeadCount!A:I,2,0),"")</f>
        <v/>
      </c>
      <c r="L542" s="21" t="str">
        <f>IF(J542&lt;&gt;"",VLOOKUP(J542,HeadCount!A:I,5,0),"")</f>
        <v/>
      </c>
      <c r="P542" s="19" t="str">
        <f t="shared" si="18"/>
        <v/>
      </c>
    </row>
    <row r="543" spans="1:16" x14ac:dyDescent="0.3">
      <c r="A543" s="19" t="str">
        <f t="shared" si="17"/>
        <v/>
      </c>
      <c r="K543" s="21" t="str">
        <f>IF(J543&lt;&gt;"",VLOOKUP(J543,HeadCount!A:I,2,0),"")</f>
        <v/>
      </c>
      <c r="L543" s="21" t="str">
        <f>IF(J543&lt;&gt;"",VLOOKUP(J543,HeadCount!A:I,5,0),"")</f>
        <v/>
      </c>
      <c r="P543" s="19" t="str">
        <f t="shared" si="18"/>
        <v/>
      </c>
    </row>
    <row r="544" spans="1:16" x14ac:dyDescent="0.3">
      <c r="A544" s="19" t="str">
        <f t="shared" si="17"/>
        <v/>
      </c>
      <c r="K544" s="21" t="str">
        <f>IF(J544&lt;&gt;"",VLOOKUP(J544,HeadCount!A:I,2,0),"")</f>
        <v/>
      </c>
      <c r="L544" s="21" t="str">
        <f>IF(J544&lt;&gt;"",VLOOKUP(J544,HeadCount!A:I,5,0),"")</f>
        <v/>
      </c>
      <c r="P544" s="19" t="str">
        <f t="shared" si="18"/>
        <v/>
      </c>
    </row>
    <row r="545" spans="1:16" x14ac:dyDescent="0.3">
      <c r="A545" s="19" t="str">
        <f t="shared" si="17"/>
        <v/>
      </c>
      <c r="K545" s="21" t="str">
        <f>IF(J545&lt;&gt;"",VLOOKUP(J545,HeadCount!A:I,2,0),"")</f>
        <v/>
      </c>
      <c r="L545" s="21" t="str">
        <f>IF(J545&lt;&gt;"",VLOOKUP(J545,HeadCount!A:I,5,0),"")</f>
        <v/>
      </c>
      <c r="P545" s="19" t="str">
        <f t="shared" si="18"/>
        <v/>
      </c>
    </row>
    <row r="546" spans="1:16" x14ac:dyDescent="0.3">
      <c r="A546" s="19" t="str">
        <f t="shared" si="17"/>
        <v/>
      </c>
      <c r="K546" s="21" t="str">
        <f>IF(J546&lt;&gt;"",VLOOKUP(J546,HeadCount!A:I,2,0),"")</f>
        <v/>
      </c>
      <c r="L546" s="21" t="str">
        <f>IF(J546&lt;&gt;"",VLOOKUP(J546,HeadCount!A:I,5,0),"")</f>
        <v/>
      </c>
      <c r="P546" s="19" t="str">
        <f t="shared" si="18"/>
        <v/>
      </c>
    </row>
    <row r="547" spans="1:16" x14ac:dyDescent="0.3">
      <c r="A547" s="19" t="str">
        <f t="shared" si="17"/>
        <v/>
      </c>
      <c r="K547" s="21" t="str">
        <f>IF(J547&lt;&gt;"",VLOOKUP(J547,HeadCount!A:I,2,0),"")</f>
        <v/>
      </c>
      <c r="L547" s="21" t="str">
        <f>IF(J547&lt;&gt;"",VLOOKUP(J547,HeadCount!A:I,5,0),"")</f>
        <v/>
      </c>
      <c r="P547" s="19" t="str">
        <f t="shared" si="18"/>
        <v/>
      </c>
    </row>
    <row r="548" spans="1:16" x14ac:dyDescent="0.3">
      <c r="A548" s="19" t="str">
        <f t="shared" si="17"/>
        <v/>
      </c>
      <c r="K548" s="21" t="str">
        <f>IF(J548&lt;&gt;"",VLOOKUP(J548,HeadCount!A:I,2,0),"")</f>
        <v/>
      </c>
      <c r="L548" s="21" t="str">
        <f>IF(J548&lt;&gt;"",VLOOKUP(J548,HeadCount!A:I,5,0),"")</f>
        <v/>
      </c>
      <c r="P548" s="19" t="str">
        <f t="shared" si="18"/>
        <v/>
      </c>
    </row>
    <row r="549" spans="1:16" x14ac:dyDescent="0.3">
      <c r="A549" s="19" t="str">
        <f t="shared" si="17"/>
        <v/>
      </c>
      <c r="K549" s="21" t="str">
        <f>IF(J549&lt;&gt;"",VLOOKUP(J549,HeadCount!A:I,2,0),"")</f>
        <v/>
      </c>
      <c r="L549" s="21" t="str">
        <f>IF(J549&lt;&gt;"",VLOOKUP(J549,HeadCount!A:I,5,0),"")</f>
        <v/>
      </c>
      <c r="P549" s="19" t="str">
        <f t="shared" si="18"/>
        <v/>
      </c>
    </row>
    <row r="550" spans="1:16" x14ac:dyDescent="0.3">
      <c r="A550" s="19" t="str">
        <f t="shared" si="17"/>
        <v/>
      </c>
      <c r="K550" s="21" t="str">
        <f>IF(J550&lt;&gt;"",VLOOKUP(J550,HeadCount!A:I,2,0),"")</f>
        <v/>
      </c>
      <c r="L550" s="21" t="str">
        <f>IF(J550&lt;&gt;"",VLOOKUP(J550,HeadCount!A:I,5,0),"")</f>
        <v/>
      </c>
      <c r="P550" s="19" t="str">
        <f t="shared" si="18"/>
        <v/>
      </c>
    </row>
    <row r="551" spans="1:16" x14ac:dyDescent="0.3">
      <c r="A551" s="19" t="str">
        <f t="shared" si="17"/>
        <v/>
      </c>
      <c r="K551" s="21" t="str">
        <f>IF(J551&lt;&gt;"",VLOOKUP(J551,HeadCount!A:I,2,0),"")</f>
        <v/>
      </c>
      <c r="L551" s="21" t="str">
        <f>IF(J551&lt;&gt;"",VLOOKUP(J551,HeadCount!A:I,5,0),"")</f>
        <v/>
      </c>
      <c r="P551" s="19" t="str">
        <f t="shared" si="18"/>
        <v/>
      </c>
    </row>
    <row r="552" spans="1:16" x14ac:dyDescent="0.3">
      <c r="A552" s="19" t="str">
        <f t="shared" si="17"/>
        <v/>
      </c>
      <c r="K552" s="21" t="str">
        <f>IF(J552&lt;&gt;"",VLOOKUP(J552,HeadCount!A:I,2,0),"")</f>
        <v/>
      </c>
      <c r="L552" s="21" t="str">
        <f>IF(J552&lt;&gt;"",VLOOKUP(J552,HeadCount!A:I,5,0),"")</f>
        <v/>
      </c>
      <c r="P552" s="19" t="str">
        <f t="shared" si="18"/>
        <v/>
      </c>
    </row>
    <row r="553" spans="1:16" x14ac:dyDescent="0.3">
      <c r="A553" s="19" t="str">
        <f t="shared" si="17"/>
        <v/>
      </c>
      <c r="K553" s="21" t="str">
        <f>IF(J553&lt;&gt;"",VLOOKUP(J553,HeadCount!A:I,2,0),"")</f>
        <v/>
      </c>
      <c r="L553" s="21" t="str">
        <f>IF(J553&lt;&gt;"",VLOOKUP(J553,HeadCount!A:I,5,0),"")</f>
        <v/>
      </c>
      <c r="P553" s="19" t="str">
        <f t="shared" si="18"/>
        <v/>
      </c>
    </row>
    <row r="554" spans="1:16" x14ac:dyDescent="0.3">
      <c r="A554" s="19" t="str">
        <f t="shared" si="17"/>
        <v/>
      </c>
      <c r="K554" s="21" t="str">
        <f>IF(J554&lt;&gt;"",VLOOKUP(J554,HeadCount!A:I,2,0),"")</f>
        <v/>
      </c>
      <c r="L554" s="21" t="str">
        <f>IF(J554&lt;&gt;"",VLOOKUP(J554,HeadCount!A:I,5,0),"")</f>
        <v/>
      </c>
      <c r="P554" s="19" t="str">
        <f t="shared" si="18"/>
        <v/>
      </c>
    </row>
    <row r="555" spans="1:16" x14ac:dyDescent="0.3">
      <c r="A555" s="19" t="str">
        <f t="shared" si="17"/>
        <v/>
      </c>
      <c r="K555" s="21" t="str">
        <f>IF(J555&lt;&gt;"",VLOOKUP(J555,HeadCount!A:I,2,0),"")</f>
        <v/>
      </c>
      <c r="L555" s="21" t="str">
        <f>IF(J555&lt;&gt;"",VLOOKUP(J555,HeadCount!A:I,5,0),"")</f>
        <v/>
      </c>
      <c r="P555" s="19" t="str">
        <f t="shared" si="18"/>
        <v/>
      </c>
    </row>
    <row r="556" spans="1:16" x14ac:dyDescent="0.3">
      <c r="A556" s="19" t="str">
        <f t="shared" si="17"/>
        <v/>
      </c>
      <c r="K556" s="21" t="str">
        <f>IF(J556&lt;&gt;"",VLOOKUP(J556,HeadCount!A:I,2,0),"")</f>
        <v/>
      </c>
      <c r="L556" s="21" t="str">
        <f>IF(J556&lt;&gt;"",VLOOKUP(J556,HeadCount!A:I,5,0),"")</f>
        <v/>
      </c>
      <c r="P556" s="19" t="str">
        <f t="shared" si="18"/>
        <v/>
      </c>
    </row>
    <row r="557" spans="1:16" x14ac:dyDescent="0.3">
      <c r="A557" s="19" t="str">
        <f t="shared" si="17"/>
        <v/>
      </c>
      <c r="K557" s="21" t="str">
        <f>IF(J557&lt;&gt;"",VLOOKUP(J557,HeadCount!A:I,2,0),"")</f>
        <v/>
      </c>
      <c r="L557" s="21" t="str">
        <f>IF(J557&lt;&gt;"",VLOOKUP(J557,HeadCount!A:I,5,0),"")</f>
        <v/>
      </c>
      <c r="P557" s="19" t="str">
        <f t="shared" si="18"/>
        <v/>
      </c>
    </row>
    <row r="558" spans="1:16" x14ac:dyDescent="0.3">
      <c r="A558" s="19" t="str">
        <f t="shared" si="17"/>
        <v/>
      </c>
      <c r="K558" s="21" t="str">
        <f>IF(J558&lt;&gt;"",VLOOKUP(J558,HeadCount!A:I,2,0),"")</f>
        <v/>
      </c>
      <c r="L558" s="21" t="str">
        <f>IF(J558&lt;&gt;"",VLOOKUP(J558,HeadCount!A:I,5,0),"")</f>
        <v/>
      </c>
      <c r="P558" s="19" t="str">
        <f t="shared" si="18"/>
        <v/>
      </c>
    </row>
    <row r="559" spans="1:16" x14ac:dyDescent="0.3">
      <c r="A559" s="19" t="str">
        <f t="shared" si="17"/>
        <v/>
      </c>
      <c r="K559" s="21" t="str">
        <f>IF(J559&lt;&gt;"",VLOOKUP(J559,HeadCount!A:I,2,0),"")</f>
        <v/>
      </c>
      <c r="L559" s="21" t="str">
        <f>IF(J559&lt;&gt;"",VLOOKUP(J559,HeadCount!A:I,5,0),"")</f>
        <v/>
      </c>
      <c r="P559" s="19" t="str">
        <f t="shared" si="18"/>
        <v/>
      </c>
    </row>
    <row r="560" spans="1:16" x14ac:dyDescent="0.3">
      <c r="A560" s="19" t="str">
        <f t="shared" si="17"/>
        <v/>
      </c>
      <c r="K560" s="21" t="str">
        <f>IF(J560&lt;&gt;"",VLOOKUP(J560,HeadCount!A:I,2,0),"")</f>
        <v/>
      </c>
      <c r="L560" s="21" t="str">
        <f>IF(J560&lt;&gt;"",VLOOKUP(J560,HeadCount!A:I,5,0),"")</f>
        <v/>
      </c>
      <c r="P560" s="19" t="str">
        <f t="shared" si="18"/>
        <v/>
      </c>
    </row>
    <row r="561" spans="1:16" x14ac:dyDescent="0.3">
      <c r="A561" s="19" t="str">
        <f t="shared" si="17"/>
        <v/>
      </c>
      <c r="K561" s="21" t="str">
        <f>IF(J561&lt;&gt;"",VLOOKUP(J561,HeadCount!A:I,2,0),"")</f>
        <v/>
      </c>
      <c r="L561" s="21" t="str">
        <f>IF(J561&lt;&gt;"",VLOOKUP(J561,HeadCount!A:I,5,0),"")</f>
        <v/>
      </c>
      <c r="P561" s="19" t="str">
        <f t="shared" si="18"/>
        <v/>
      </c>
    </row>
    <row r="562" spans="1:16" x14ac:dyDescent="0.3">
      <c r="A562" s="19" t="str">
        <f t="shared" si="17"/>
        <v/>
      </c>
      <c r="K562" s="21" t="str">
        <f>IF(J562&lt;&gt;"",VLOOKUP(J562,HeadCount!A:I,2,0),"")</f>
        <v/>
      </c>
      <c r="L562" s="21" t="str">
        <f>IF(J562&lt;&gt;"",VLOOKUP(J562,HeadCount!A:I,5,0),"")</f>
        <v/>
      </c>
      <c r="P562" s="19" t="str">
        <f t="shared" si="18"/>
        <v/>
      </c>
    </row>
    <row r="563" spans="1:16" x14ac:dyDescent="0.3">
      <c r="A563" s="19" t="str">
        <f t="shared" si="17"/>
        <v/>
      </c>
      <c r="K563" s="21" t="str">
        <f>IF(J563&lt;&gt;"",VLOOKUP(J563,HeadCount!A:I,2,0),"")</f>
        <v/>
      </c>
      <c r="L563" s="21" t="str">
        <f>IF(J563&lt;&gt;"",VLOOKUP(J563,HeadCount!A:I,5,0),"")</f>
        <v/>
      </c>
      <c r="P563" s="19" t="str">
        <f t="shared" si="18"/>
        <v/>
      </c>
    </row>
    <row r="564" spans="1:16" x14ac:dyDescent="0.3">
      <c r="A564" s="19" t="str">
        <f t="shared" si="17"/>
        <v/>
      </c>
      <c r="K564" s="21" t="str">
        <f>IF(J564&lt;&gt;"",VLOOKUP(J564,HeadCount!A:I,2,0),"")</f>
        <v/>
      </c>
      <c r="L564" s="21" t="str">
        <f>IF(J564&lt;&gt;"",VLOOKUP(J564,HeadCount!A:I,5,0),"")</f>
        <v/>
      </c>
      <c r="P564" s="19" t="str">
        <f t="shared" si="18"/>
        <v/>
      </c>
    </row>
    <row r="565" spans="1:16" x14ac:dyDescent="0.3">
      <c r="A565" s="19" t="str">
        <f t="shared" si="17"/>
        <v/>
      </c>
      <c r="K565" s="21" t="str">
        <f>IF(J565&lt;&gt;"",VLOOKUP(J565,HeadCount!A:I,2,0),"")</f>
        <v/>
      </c>
      <c r="L565" s="21" t="str">
        <f>IF(J565&lt;&gt;"",VLOOKUP(J565,HeadCount!A:I,5,0),"")</f>
        <v/>
      </c>
      <c r="P565" s="19" t="str">
        <f t="shared" si="18"/>
        <v/>
      </c>
    </row>
    <row r="566" spans="1:16" x14ac:dyDescent="0.3">
      <c r="A566" s="19" t="str">
        <f t="shared" si="17"/>
        <v/>
      </c>
      <c r="K566" s="21" t="str">
        <f>IF(J566&lt;&gt;"",VLOOKUP(J566,HeadCount!A:I,2,0),"")</f>
        <v/>
      </c>
      <c r="L566" s="21" t="str">
        <f>IF(J566&lt;&gt;"",VLOOKUP(J566,HeadCount!A:I,5,0),"")</f>
        <v/>
      </c>
      <c r="P566" s="19" t="str">
        <f t="shared" si="18"/>
        <v/>
      </c>
    </row>
    <row r="567" spans="1:16" x14ac:dyDescent="0.3">
      <c r="A567" s="19" t="str">
        <f t="shared" si="17"/>
        <v/>
      </c>
      <c r="K567" s="21" t="str">
        <f>IF(J567&lt;&gt;"",VLOOKUP(J567,HeadCount!A:I,2,0),"")</f>
        <v/>
      </c>
      <c r="L567" s="21" t="str">
        <f>IF(J567&lt;&gt;"",VLOOKUP(J567,HeadCount!A:I,5,0),"")</f>
        <v/>
      </c>
      <c r="P567" s="19" t="str">
        <f t="shared" si="18"/>
        <v/>
      </c>
    </row>
    <row r="568" spans="1:16" x14ac:dyDescent="0.3">
      <c r="A568" s="19" t="str">
        <f t="shared" si="17"/>
        <v/>
      </c>
      <c r="K568" s="21" t="str">
        <f>IF(J568&lt;&gt;"",VLOOKUP(J568,HeadCount!A:I,2,0),"")</f>
        <v/>
      </c>
      <c r="L568" s="21" t="str">
        <f>IF(J568&lt;&gt;"",VLOOKUP(J568,HeadCount!A:I,5,0),"")</f>
        <v/>
      </c>
      <c r="P568" s="19" t="str">
        <f t="shared" si="18"/>
        <v/>
      </c>
    </row>
    <row r="569" spans="1:16" x14ac:dyDescent="0.3">
      <c r="A569" s="19" t="str">
        <f t="shared" si="17"/>
        <v/>
      </c>
      <c r="K569" s="21" t="str">
        <f>IF(J569&lt;&gt;"",VLOOKUP(J569,HeadCount!A:I,2,0),"")</f>
        <v/>
      </c>
      <c r="L569" s="21" t="str">
        <f>IF(J569&lt;&gt;"",VLOOKUP(J569,HeadCount!A:I,5,0),"")</f>
        <v/>
      </c>
      <c r="P569" s="19" t="str">
        <f t="shared" si="18"/>
        <v/>
      </c>
    </row>
    <row r="570" spans="1:16" x14ac:dyDescent="0.3">
      <c r="A570" s="19" t="str">
        <f t="shared" si="17"/>
        <v/>
      </c>
      <c r="K570" s="21" t="str">
        <f>IF(J570&lt;&gt;"",VLOOKUP(J570,HeadCount!A:I,2,0),"")</f>
        <v/>
      </c>
      <c r="L570" s="21" t="str">
        <f>IF(J570&lt;&gt;"",VLOOKUP(J570,HeadCount!A:I,5,0),"")</f>
        <v/>
      </c>
      <c r="P570" s="19" t="str">
        <f t="shared" si="18"/>
        <v/>
      </c>
    </row>
    <row r="571" spans="1:16" x14ac:dyDescent="0.3">
      <c r="A571" s="19" t="str">
        <f t="shared" si="17"/>
        <v/>
      </c>
      <c r="K571" s="21" t="str">
        <f>IF(J571&lt;&gt;"",VLOOKUP(J571,HeadCount!A:I,2,0),"")</f>
        <v/>
      </c>
      <c r="L571" s="21" t="str">
        <f>IF(J571&lt;&gt;"",VLOOKUP(J571,HeadCount!A:I,5,0),"")</f>
        <v/>
      </c>
      <c r="P571" s="19" t="str">
        <f t="shared" si="18"/>
        <v/>
      </c>
    </row>
    <row r="572" spans="1:16" x14ac:dyDescent="0.3">
      <c r="A572" s="19" t="str">
        <f t="shared" si="17"/>
        <v/>
      </c>
      <c r="K572" s="21" t="str">
        <f>IF(J572&lt;&gt;"",VLOOKUP(J572,HeadCount!A:I,2,0),"")</f>
        <v/>
      </c>
      <c r="L572" s="21" t="str">
        <f>IF(J572&lt;&gt;"",VLOOKUP(J572,HeadCount!A:I,5,0),"")</f>
        <v/>
      </c>
      <c r="P572" s="19" t="str">
        <f t="shared" si="18"/>
        <v/>
      </c>
    </row>
    <row r="573" spans="1:16" x14ac:dyDescent="0.3">
      <c r="A573" s="19" t="str">
        <f t="shared" si="17"/>
        <v/>
      </c>
      <c r="K573" s="21" t="str">
        <f>IF(J573&lt;&gt;"",VLOOKUP(J573,HeadCount!A:I,2,0),"")</f>
        <v/>
      </c>
      <c r="L573" s="21" t="str">
        <f>IF(J573&lt;&gt;"",VLOOKUP(J573,HeadCount!A:I,5,0),"")</f>
        <v/>
      </c>
      <c r="P573" s="19" t="str">
        <f t="shared" si="18"/>
        <v/>
      </c>
    </row>
    <row r="574" spans="1:16" x14ac:dyDescent="0.3">
      <c r="A574" s="19" t="str">
        <f t="shared" si="17"/>
        <v/>
      </c>
      <c r="K574" s="21" t="str">
        <f>IF(J574&lt;&gt;"",VLOOKUP(J574,HeadCount!A:I,2,0),"")</f>
        <v/>
      </c>
      <c r="L574" s="21" t="str">
        <f>IF(J574&lt;&gt;"",VLOOKUP(J574,HeadCount!A:I,5,0),"")</f>
        <v/>
      </c>
      <c r="P574" s="19" t="str">
        <f t="shared" si="18"/>
        <v/>
      </c>
    </row>
    <row r="575" spans="1:16" x14ac:dyDescent="0.3">
      <c r="A575" s="19" t="str">
        <f t="shared" si="17"/>
        <v/>
      </c>
      <c r="K575" s="21" t="str">
        <f>IF(J575&lt;&gt;"",VLOOKUP(J575,HeadCount!A:I,2,0),"")</f>
        <v/>
      </c>
      <c r="L575" s="21" t="str">
        <f>IF(J575&lt;&gt;"",VLOOKUP(J575,HeadCount!A:I,5,0),"")</f>
        <v/>
      </c>
      <c r="P575" s="19" t="str">
        <f t="shared" si="18"/>
        <v/>
      </c>
    </row>
    <row r="576" spans="1:16" x14ac:dyDescent="0.3">
      <c r="A576" s="19" t="str">
        <f t="shared" si="17"/>
        <v/>
      </c>
      <c r="K576" s="21" t="str">
        <f>IF(J576&lt;&gt;"",VLOOKUP(J576,HeadCount!A:I,2,0),"")</f>
        <v/>
      </c>
      <c r="L576" s="21" t="str">
        <f>IF(J576&lt;&gt;"",VLOOKUP(J576,HeadCount!A:I,5,0),"")</f>
        <v/>
      </c>
      <c r="P576" s="19" t="str">
        <f t="shared" si="18"/>
        <v/>
      </c>
    </row>
    <row r="577" spans="1:16" x14ac:dyDescent="0.3">
      <c r="A577" s="19" t="str">
        <f t="shared" si="17"/>
        <v/>
      </c>
      <c r="K577" s="21" t="str">
        <f>IF(J577&lt;&gt;"",VLOOKUP(J577,HeadCount!A:I,2,0),"")</f>
        <v/>
      </c>
      <c r="L577" s="21" t="str">
        <f>IF(J577&lt;&gt;"",VLOOKUP(J577,HeadCount!A:I,5,0),"")</f>
        <v/>
      </c>
      <c r="P577" s="19" t="str">
        <f t="shared" si="18"/>
        <v/>
      </c>
    </row>
    <row r="578" spans="1:16" x14ac:dyDescent="0.3">
      <c r="A578" s="19" t="str">
        <f t="shared" ref="A578:A641" si="19">IF(C578&lt;&gt;"",ROW(A577),"")</f>
        <v/>
      </c>
      <c r="K578" s="21" t="str">
        <f>IF(J578&lt;&gt;"",VLOOKUP(J578,HeadCount!A:I,2,0),"")</f>
        <v/>
      </c>
      <c r="L578" s="21" t="str">
        <f>IF(J578&lt;&gt;"",VLOOKUP(J578,HeadCount!A:I,5,0),"")</f>
        <v/>
      </c>
      <c r="P578" s="19" t="str">
        <f t="shared" si="18"/>
        <v/>
      </c>
    </row>
    <row r="579" spans="1:16" x14ac:dyDescent="0.3">
      <c r="A579" s="19" t="str">
        <f t="shared" si="19"/>
        <v/>
      </c>
      <c r="K579" s="21" t="str">
        <f>IF(J579&lt;&gt;"",VLOOKUP(J579,HeadCount!A:I,2,0),"")</f>
        <v/>
      </c>
      <c r="L579" s="21" t="str">
        <f>IF(J579&lt;&gt;"",VLOOKUP(J579,HeadCount!A:I,5,0),"")</f>
        <v/>
      </c>
      <c r="P579" s="19" t="str">
        <f t="shared" ref="P579:P642" si="20">IF(N579="","",(O579-N579)+1)</f>
        <v/>
      </c>
    </row>
    <row r="580" spans="1:16" x14ac:dyDescent="0.3">
      <c r="A580" s="19" t="str">
        <f t="shared" si="19"/>
        <v/>
      </c>
      <c r="K580" s="21" t="str">
        <f>IF(J580&lt;&gt;"",VLOOKUP(J580,HeadCount!A:I,2,0),"")</f>
        <v/>
      </c>
      <c r="L580" s="21" t="str">
        <f>IF(J580&lt;&gt;"",VLOOKUP(J580,HeadCount!A:I,5,0),"")</f>
        <v/>
      </c>
      <c r="P580" s="19" t="str">
        <f t="shared" si="20"/>
        <v/>
      </c>
    </row>
    <row r="581" spans="1:16" x14ac:dyDescent="0.3">
      <c r="A581" s="19" t="str">
        <f t="shared" si="19"/>
        <v/>
      </c>
      <c r="K581" s="21" t="str">
        <f>IF(J581&lt;&gt;"",VLOOKUP(J581,HeadCount!A:I,2,0),"")</f>
        <v/>
      </c>
      <c r="L581" s="21" t="str">
        <f>IF(J581&lt;&gt;"",VLOOKUP(J581,HeadCount!A:I,5,0),"")</f>
        <v/>
      </c>
      <c r="P581" s="19" t="str">
        <f t="shared" si="20"/>
        <v/>
      </c>
    </row>
    <row r="582" spans="1:16" x14ac:dyDescent="0.3">
      <c r="A582" s="19" t="str">
        <f t="shared" si="19"/>
        <v/>
      </c>
      <c r="K582" s="21" t="str">
        <f>IF(J582&lt;&gt;"",VLOOKUP(J582,HeadCount!A:I,2,0),"")</f>
        <v/>
      </c>
      <c r="L582" s="21" t="str">
        <f>IF(J582&lt;&gt;"",VLOOKUP(J582,HeadCount!A:I,5,0),"")</f>
        <v/>
      </c>
      <c r="P582" s="19" t="str">
        <f t="shared" si="20"/>
        <v/>
      </c>
    </row>
    <row r="583" spans="1:16" x14ac:dyDescent="0.3">
      <c r="A583" s="19" t="str">
        <f t="shared" si="19"/>
        <v/>
      </c>
      <c r="K583" s="21" t="str">
        <f>IF(J583&lt;&gt;"",VLOOKUP(J583,HeadCount!A:I,2,0),"")</f>
        <v/>
      </c>
      <c r="L583" s="21" t="str">
        <f>IF(J583&lt;&gt;"",VLOOKUP(J583,HeadCount!A:I,5,0),"")</f>
        <v/>
      </c>
      <c r="P583" s="19" t="str">
        <f t="shared" si="20"/>
        <v/>
      </c>
    </row>
    <row r="584" spans="1:16" x14ac:dyDescent="0.3">
      <c r="A584" s="19" t="str">
        <f t="shared" si="19"/>
        <v/>
      </c>
      <c r="K584" s="21" t="str">
        <f>IF(J584&lt;&gt;"",VLOOKUP(J584,HeadCount!A:I,2,0),"")</f>
        <v/>
      </c>
      <c r="L584" s="21" t="str">
        <f>IF(J584&lt;&gt;"",VLOOKUP(J584,HeadCount!A:I,5,0),"")</f>
        <v/>
      </c>
      <c r="P584" s="19" t="str">
        <f t="shared" si="20"/>
        <v/>
      </c>
    </row>
    <row r="585" spans="1:16" x14ac:dyDescent="0.3">
      <c r="A585" s="19" t="str">
        <f t="shared" si="19"/>
        <v/>
      </c>
      <c r="K585" s="21" t="str">
        <f>IF(J585&lt;&gt;"",VLOOKUP(J585,HeadCount!A:I,2,0),"")</f>
        <v/>
      </c>
      <c r="L585" s="21" t="str">
        <f>IF(J585&lt;&gt;"",VLOOKUP(J585,HeadCount!A:I,5,0),"")</f>
        <v/>
      </c>
      <c r="P585" s="19" t="str">
        <f t="shared" si="20"/>
        <v/>
      </c>
    </row>
    <row r="586" spans="1:16" x14ac:dyDescent="0.3">
      <c r="A586" s="19" t="str">
        <f t="shared" si="19"/>
        <v/>
      </c>
      <c r="K586" s="21" t="str">
        <f>IF(J586&lt;&gt;"",VLOOKUP(J586,HeadCount!A:I,2,0),"")</f>
        <v/>
      </c>
      <c r="L586" s="21" t="str">
        <f>IF(J586&lt;&gt;"",VLOOKUP(J586,HeadCount!A:I,5,0),"")</f>
        <v/>
      </c>
      <c r="P586" s="19" t="str">
        <f t="shared" si="20"/>
        <v/>
      </c>
    </row>
    <row r="587" spans="1:16" x14ac:dyDescent="0.3">
      <c r="A587" s="19" t="str">
        <f t="shared" si="19"/>
        <v/>
      </c>
      <c r="K587" s="21" t="str">
        <f>IF(J587&lt;&gt;"",VLOOKUP(J587,HeadCount!A:I,2,0),"")</f>
        <v/>
      </c>
      <c r="L587" s="21" t="str">
        <f>IF(J587&lt;&gt;"",VLOOKUP(J587,HeadCount!A:I,5,0),"")</f>
        <v/>
      </c>
      <c r="P587" s="19" t="str">
        <f t="shared" si="20"/>
        <v/>
      </c>
    </row>
    <row r="588" spans="1:16" x14ac:dyDescent="0.3">
      <c r="A588" s="19" t="str">
        <f t="shared" si="19"/>
        <v/>
      </c>
      <c r="K588" s="21" t="str">
        <f>IF(J588&lt;&gt;"",VLOOKUP(J588,HeadCount!A:I,2,0),"")</f>
        <v/>
      </c>
      <c r="L588" s="21" t="str">
        <f>IF(J588&lt;&gt;"",VLOOKUP(J588,HeadCount!A:I,5,0),"")</f>
        <v/>
      </c>
      <c r="P588" s="19" t="str">
        <f t="shared" si="20"/>
        <v/>
      </c>
    </row>
    <row r="589" spans="1:16" x14ac:dyDescent="0.3">
      <c r="A589" s="19" t="str">
        <f t="shared" si="19"/>
        <v/>
      </c>
      <c r="K589" s="21" t="str">
        <f>IF(J589&lt;&gt;"",VLOOKUP(J589,HeadCount!A:I,2,0),"")</f>
        <v/>
      </c>
      <c r="L589" s="21" t="str">
        <f>IF(J589&lt;&gt;"",VLOOKUP(J589,HeadCount!A:I,5,0),"")</f>
        <v/>
      </c>
      <c r="P589" s="19" t="str">
        <f t="shared" si="20"/>
        <v/>
      </c>
    </row>
    <row r="590" spans="1:16" x14ac:dyDescent="0.3">
      <c r="A590" s="19" t="str">
        <f t="shared" si="19"/>
        <v/>
      </c>
      <c r="K590" s="21" t="str">
        <f>IF(J590&lt;&gt;"",VLOOKUP(J590,HeadCount!A:I,2,0),"")</f>
        <v/>
      </c>
      <c r="L590" s="21" t="str">
        <f>IF(J590&lt;&gt;"",VLOOKUP(J590,HeadCount!A:I,5,0),"")</f>
        <v/>
      </c>
      <c r="P590" s="19" t="str">
        <f t="shared" si="20"/>
        <v/>
      </c>
    </row>
    <row r="591" spans="1:16" x14ac:dyDescent="0.3">
      <c r="A591" s="19" t="str">
        <f t="shared" si="19"/>
        <v/>
      </c>
      <c r="K591" s="21" t="str">
        <f>IF(J591&lt;&gt;"",VLOOKUP(J591,HeadCount!A:I,2,0),"")</f>
        <v/>
      </c>
      <c r="L591" s="21" t="str">
        <f>IF(J591&lt;&gt;"",VLOOKUP(J591,HeadCount!A:I,5,0),"")</f>
        <v/>
      </c>
      <c r="P591" s="19" t="str">
        <f t="shared" si="20"/>
        <v/>
      </c>
    </row>
    <row r="592" spans="1:16" x14ac:dyDescent="0.3">
      <c r="A592" s="19" t="str">
        <f t="shared" si="19"/>
        <v/>
      </c>
      <c r="K592" s="21" t="str">
        <f>IF(J592&lt;&gt;"",VLOOKUP(J592,HeadCount!A:I,2,0),"")</f>
        <v/>
      </c>
      <c r="L592" s="21" t="str">
        <f>IF(J592&lt;&gt;"",VLOOKUP(J592,HeadCount!A:I,5,0),"")</f>
        <v/>
      </c>
      <c r="P592" s="19" t="str">
        <f t="shared" si="20"/>
        <v/>
      </c>
    </row>
    <row r="593" spans="1:16" x14ac:dyDescent="0.3">
      <c r="A593" s="19" t="str">
        <f t="shared" si="19"/>
        <v/>
      </c>
      <c r="K593" s="21" t="str">
        <f>IF(J593&lt;&gt;"",VLOOKUP(J593,HeadCount!A:I,2,0),"")</f>
        <v/>
      </c>
      <c r="L593" s="21" t="str">
        <f>IF(J593&lt;&gt;"",VLOOKUP(J593,HeadCount!A:I,5,0),"")</f>
        <v/>
      </c>
      <c r="P593" s="19" t="str">
        <f t="shared" si="20"/>
        <v/>
      </c>
    </row>
    <row r="594" spans="1:16" x14ac:dyDescent="0.3">
      <c r="A594" s="19" t="str">
        <f t="shared" si="19"/>
        <v/>
      </c>
      <c r="K594" s="21" t="str">
        <f>IF(J594&lt;&gt;"",VLOOKUP(J594,HeadCount!A:I,2,0),"")</f>
        <v/>
      </c>
      <c r="L594" s="21" t="str">
        <f>IF(J594&lt;&gt;"",VLOOKUP(J594,HeadCount!A:I,5,0),"")</f>
        <v/>
      </c>
      <c r="P594" s="19" t="str">
        <f t="shared" si="20"/>
        <v/>
      </c>
    </row>
    <row r="595" spans="1:16" x14ac:dyDescent="0.3">
      <c r="A595" s="19" t="str">
        <f t="shared" si="19"/>
        <v/>
      </c>
      <c r="K595" s="21" t="str">
        <f>IF(J595&lt;&gt;"",VLOOKUP(J595,HeadCount!A:I,2,0),"")</f>
        <v/>
      </c>
      <c r="L595" s="21" t="str">
        <f>IF(J595&lt;&gt;"",VLOOKUP(J595,HeadCount!A:I,5,0),"")</f>
        <v/>
      </c>
      <c r="P595" s="19" t="str">
        <f t="shared" si="20"/>
        <v/>
      </c>
    </row>
    <row r="596" spans="1:16" x14ac:dyDescent="0.3">
      <c r="A596" s="19" t="str">
        <f t="shared" si="19"/>
        <v/>
      </c>
      <c r="K596" s="21" t="str">
        <f>IF(J596&lt;&gt;"",VLOOKUP(J596,HeadCount!A:I,2,0),"")</f>
        <v/>
      </c>
      <c r="L596" s="21" t="str">
        <f>IF(J596&lt;&gt;"",VLOOKUP(J596,HeadCount!A:I,5,0),"")</f>
        <v/>
      </c>
      <c r="P596" s="19" t="str">
        <f t="shared" si="20"/>
        <v/>
      </c>
    </row>
    <row r="597" spans="1:16" x14ac:dyDescent="0.3">
      <c r="A597" s="19" t="str">
        <f t="shared" si="19"/>
        <v/>
      </c>
      <c r="K597" s="21" t="str">
        <f>IF(J597&lt;&gt;"",VLOOKUP(J597,HeadCount!A:I,2,0),"")</f>
        <v/>
      </c>
      <c r="L597" s="21" t="str">
        <f>IF(J597&lt;&gt;"",VLOOKUP(J597,HeadCount!A:I,5,0),"")</f>
        <v/>
      </c>
      <c r="P597" s="19" t="str">
        <f t="shared" si="20"/>
        <v/>
      </c>
    </row>
    <row r="598" spans="1:16" x14ac:dyDescent="0.3">
      <c r="A598" s="19" t="str">
        <f t="shared" si="19"/>
        <v/>
      </c>
      <c r="K598" s="21" t="str">
        <f>IF(J598&lt;&gt;"",VLOOKUP(J598,HeadCount!A:I,2,0),"")</f>
        <v/>
      </c>
      <c r="L598" s="21" t="str">
        <f>IF(J598&lt;&gt;"",VLOOKUP(J598,HeadCount!A:I,5,0),"")</f>
        <v/>
      </c>
      <c r="P598" s="19" t="str">
        <f t="shared" si="20"/>
        <v/>
      </c>
    </row>
    <row r="599" spans="1:16" x14ac:dyDescent="0.3">
      <c r="A599" s="19" t="str">
        <f t="shared" si="19"/>
        <v/>
      </c>
      <c r="K599" s="21" t="str">
        <f>IF(J599&lt;&gt;"",VLOOKUP(J599,HeadCount!A:I,2,0),"")</f>
        <v/>
      </c>
      <c r="L599" s="21" t="str">
        <f>IF(J599&lt;&gt;"",VLOOKUP(J599,HeadCount!A:I,5,0),"")</f>
        <v/>
      </c>
      <c r="P599" s="19" t="str">
        <f t="shared" si="20"/>
        <v/>
      </c>
    </row>
    <row r="600" spans="1:16" x14ac:dyDescent="0.3">
      <c r="A600" s="19" t="str">
        <f t="shared" si="19"/>
        <v/>
      </c>
      <c r="K600" s="21" t="str">
        <f>IF(J600&lt;&gt;"",VLOOKUP(J600,HeadCount!A:I,2,0),"")</f>
        <v/>
      </c>
      <c r="L600" s="21" t="str">
        <f>IF(J600&lt;&gt;"",VLOOKUP(J600,HeadCount!A:I,5,0),"")</f>
        <v/>
      </c>
      <c r="P600" s="19" t="str">
        <f t="shared" si="20"/>
        <v/>
      </c>
    </row>
    <row r="601" spans="1:16" x14ac:dyDescent="0.3">
      <c r="A601" s="19" t="str">
        <f t="shared" si="19"/>
        <v/>
      </c>
      <c r="K601" s="21" t="str">
        <f>IF(J601&lt;&gt;"",VLOOKUP(J601,HeadCount!A:I,2,0),"")</f>
        <v/>
      </c>
      <c r="L601" s="21" t="str">
        <f>IF(J601&lt;&gt;"",VLOOKUP(J601,HeadCount!A:I,5,0),"")</f>
        <v/>
      </c>
      <c r="P601" s="19" t="str">
        <f t="shared" si="20"/>
        <v/>
      </c>
    </row>
    <row r="602" spans="1:16" x14ac:dyDescent="0.3">
      <c r="A602" s="19" t="str">
        <f t="shared" si="19"/>
        <v/>
      </c>
      <c r="K602" s="21" t="str">
        <f>IF(J602&lt;&gt;"",VLOOKUP(J602,HeadCount!A:I,2,0),"")</f>
        <v/>
      </c>
      <c r="L602" s="21" t="str">
        <f>IF(J602&lt;&gt;"",VLOOKUP(J602,HeadCount!A:I,5,0),"")</f>
        <v/>
      </c>
      <c r="P602" s="19" t="str">
        <f t="shared" si="20"/>
        <v/>
      </c>
    </row>
    <row r="603" spans="1:16" x14ac:dyDescent="0.3">
      <c r="A603" s="19" t="str">
        <f t="shared" si="19"/>
        <v/>
      </c>
      <c r="K603" s="21" t="str">
        <f>IF(J603&lt;&gt;"",VLOOKUP(J603,HeadCount!A:I,2,0),"")</f>
        <v/>
      </c>
      <c r="L603" s="21" t="str">
        <f>IF(J603&lt;&gt;"",VLOOKUP(J603,HeadCount!A:I,5,0),"")</f>
        <v/>
      </c>
      <c r="P603" s="19" t="str">
        <f t="shared" si="20"/>
        <v/>
      </c>
    </row>
    <row r="604" spans="1:16" x14ac:dyDescent="0.3">
      <c r="A604" s="19" t="str">
        <f t="shared" si="19"/>
        <v/>
      </c>
      <c r="K604" s="21" t="str">
        <f>IF(J604&lt;&gt;"",VLOOKUP(J604,HeadCount!A:I,2,0),"")</f>
        <v/>
      </c>
      <c r="L604" s="21" t="str">
        <f>IF(J604&lt;&gt;"",VLOOKUP(J604,HeadCount!A:I,5,0),"")</f>
        <v/>
      </c>
      <c r="P604" s="19" t="str">
        <f t="shared" si="20"/>
        <v/>
      </c>
    </row>
    <row r="605" spans="1:16" x14ac:dyDescent="0.3">
      <c r="A605" s="19" t="str">
        <f t="shared" si="19"/>
        <v/>
      </c>
      <c r="K605" s="21" t="str">
        <f>IF(J605&lt;&gt;"",VLOOKUP(J605,HeadCount!A:I,2,0),"")</f>
        <v/>
      </c>
      <c r="L605" s="21" t="str">
        <f>IF(J605&lt;&gt;"",VLOOKUP(J605,HeadCount!A:I,5,0),"")</f>
        <v/>
      </c>
      <c r="P605" s="19" t="str">
        <f t="shared" si="20"/>
        <v/>
      </c>
    </row>
    <row r="606" spans="1:16" x14ac:dyDescent="0.3">
      <c r="A606" s="19" t="str">
        <f t="shared" si="19"/>
        <v/>
      </c>
      <c r="K606" s="21" t="str">
        <f>IF(J606&lt;&gt;"",VLOOKUP(J606,HeadCount!A:I,2,0),"")</f>
        <v/>
      </c>
      <c r="L606" s="21" t="str">
        <f>IF(J606&lt;&gt;"",VLOOKUP(J606,HeadCount!A:I,5,0),"")</f>
        <v/>
      </c>
      <c r="P606" s="19" t="str">
        <f t="shared" si="20"/>
        <v/>
      </c>
    </row>
    <row r="607" spans="1:16" x14ac:dyDescent="0.3">
      <c r="A607" s="19" t="str">
        <f t="shared" si="19"/>
        <v/>
      </c>
      <c r="K607" s="21" t="str">
        <f>IF(J607&lt;&gt;"",VLOOKUP(J607,HeadCount!A:I,2,0),"")</f>
        <v/>
      </c>
      <c r="L607" s="21" t="str">
        <f>IF(J607&lt;&gt;"",VLOOKUP(J607,HeadCount!A:I,5,0),"")</f>
        <v/>
      </c>
      <c r="P607" s="19" t="str">
        <f t="shared" si="20"/>
        <v/>
      </c>
    </row>
    <row r="608" spans="1:16" x14ac:dyDescent="0.3">
      <c r="A608" s="19" t="str">
        <f t="shared" si="19"/>
        <v/>
      </c>
      <c r="K608" s="21" t="str">
        <f>IF(J608&lt;&gt;"",VLOOKUP(J608,HeadCount!A:I,2,0),"")</f>
        <v/>
      </c>
      <c r="L608" s="21" t="str">
        <f>IF(J608&lt;&gt;"",VLOOKUP(J608,HeadCount!A:I,5,0),"")</f>
        <v/>
      </c>
      <c r="P608" s="19" t="str">
        <f t="shared" si="20"/>
        <v/>
      </c>
    </row>
    <row r="609" spans="1:16" x14ac:dyDescent="0.3">
      <c r="A609" s="19" t="str">
        <f t="shared" si="19"/>
        <v/>
      </c>
      <c r="K609" s="21" t="str">
        <f>IF(J609&lt;&gt;"",VLOOKUP(J609,HeadCount!A:I,2,0),"")</f>
        <v/>
      </c>
      <c r="L609" s="21" t="str">
        <f>IF(J609&lt;&gt;"",VLOOKUP(J609,HeadCount!A:I,5,0),"")</f>
        <v/>
      </c>
      <c r="P609" s="19" t="str">
        <f t="shared" si="20"/>
        <v/>
      </c>
    </row>
    <row r="610" spans="1:16" x14ac:dyDescent="0.3">
      <c r="A610" s="19" t="str">
        <f t="shared" si="19"/>
        <v/>
      </c>
      <c r="K610" s="21" t="str">
        <f>IF(J610&lt;&gt;"",VLOOKUP(J610,HeadCount!A:I,2,0),"")</f>
        <v/>
      </c>
      <c r="L610" s="21" t="str">
        <f>IF(J610&lt;&gt;"",VLOOKUP(J610,HeadCount!A:I,5,0),"")</f>
        <v/>
      </c>
      <c r="P610" s="19" t="str">
        <f t="shared" si="20"/>
        <v/>
      </c>
    </row>
    <row r="611" spans="1:16" x14ac:dyDescent="0.3">
      <c r="A611" s="19" t="str">
        <f t="shared" si="19"/>
        <v/>
      </c>
      <c r="K611" s="21" t="str">
        <f>IF(J611&lt;&gt;"",VLOOKUP(J611,HeadCount!A:I,2,0),"")</f>
        <v/>
      </c>
      <c r="L611" s="21" t="str">
        <f>IF(J611&lt;&gt;"",VLOOKUP(J611,HeadCount!A:I,5,0),"")</f>
        <v/>
      </c>
      <c r="P611" s="19" t="str">
        <f t="shared" si="20"/>
        <v/>
      </c>
    </row>
    <row r="612" spans="1:16" x14ac:dyDescent="0.3">
      <c r="A612" s="19" t="str">
        <f t="shared" si="19"/>
        <v/>
      </c>
      <c r="K612" s="21" t="str">
        <f>IF(J612&lt;&gt;"",VLOOKUP(J612,HeadCount!A:I,2,0),"")</f>
        <v/>
      </c>
      <c r="L612" s="21" t="str">
        <f>IF(J612&lt;&gt;"",VLOOKUP(J612,HeadCount!A:I,5,0),"")</f>
        <v/>
      </c>
      <c r="P612" s="19" t="str">
        <f t="shared" si="20"/>
        <v/>
      </c>
    </row>
    <row r="613" spans="1:16" x14ac:dyDescent="0.3">
      <c r="A613" s="19" t="str">
        <f t="shared" si="19"/>
        <v/>
      </c>
      <c r="K613" s="21" t="str">
        <f>IF(J613&lt;&gt;"",VLOOKUP(J613,HeadCount!A:I,2,0),"")</f>
        <v/>
      </c>
      <c r="L613" s="21" t="str">
        <f>IF(J613&lt;&gt;"",VLOOKUP(J613,HeadCount!A:I,5,0),"")</f>
        <v/>
      </c>
      <c r="P613" s="19" t="str">
        <f t="shared" si="20"/>
        <v/>
      </c>
    </row>
    <row r="614" spans="1:16" x14ac:dyDescent="0.3">
      <c r="A614" s="19" t="str">
        <f t="shared" si="19"/>
        <v/>
      </c>
      <c r="K614" s="21" t="str">
        <f>IF(J614&lt;&gt;"",VLOOKUP(J614,HeadCount!A:I,2,0),"")</f>
        <v/>
      </c>
      <c r="L614" s="21" t="str">
        <f>IF(J614&lt;&gt;"",VLOOKUP(J614,HeadCount!A:I,5,0),"")</f>
        <v/>
      </c>
      <c r="P614" s="19" t="str">
        <f t="shared" si="20"/>
        <v/>
      </c>
    </row>
    <row r="615" spans="1:16" x14ac:dyDescent="0.3">
      <c r="A615" s="19" t="str">
        <f t="shared" si="19"/>
        <v/>
      </c>
      <c r="K615" s="21" t="str">
        <f>IF(J615&lt;&gt;"",VLOOKUP(J615,HeadCount!A:I,2,0),"")</f>
        <v/>
      </c>
      <c r="L615" s="21" t="str">
        <f>IF(J615&lt;&gt;"",VLOOKUP(J615,HeadCount!A:I,5,0),"")</f>
        <v/>
      </c>
      <c r="P615" s="19" t="str">
        <f t="shared" si="20"/>
        <v/>
      </c>
    </row>
    <row r="616" spans="1:16" x14ac:dyDescent="0.3">
      <c r="A616" s="19" t="str">
        <f t="shared" si="19"/>
        <v/>
      </c>
      <c r="K616" s="21" t="str">
        <f>IF(J616&lt;&gt;"",VLOOKUP(J616,HeadCount!A:I,2,0),"")</f>
        <v/>
      </c>
      <c r="L616" s="21" t="str">
        <f>IF(J616&lt;&gt;"",VLOOKUP(J616,HeadCount!A:I,5,0),"")</f>
        <v/>
      </c>
      <c r="P616" s="19" t="str">
        <f t="shared" si="20"/>
        <v/>
      </c>
    </row>
    <row r="617" spans="1:16" x14ac:dyDescent="0.3">
      <c r="A617" s="19" t="str">
        <f t="shared" si="19"/>
        <v/>
      </c>
      <c r="K617" s="21" t="str">
        <f>IF(J617&lt;&gt;"",VLOOKUP(J617,HeadCount!A:I,2,0),"")</f>
        <v/>
      </c>
      <c r="L617" s="21" t="str">
        <f>IF(J617&lt;&gt;"",VLOOKUP(J617,HeadCount!A:I,5,0),"")</f>
        <v/>
      </c>
      <c r="P617" s="19" t="str">
        <f t="shared" si="20"/>
        <v/>
      </c>
    </row>
    <row r="618" spans="1:16" x14ac:dyDescent="0.3">
      <c r="A618" s="19" t="str">
        <f t="shared" si="19"/>
        <v/>
      </c>
      <c r="K618" s="21" t="str">
        <f>IF(J618&lt;&gt;"",VLOOKUP(J618,HeadCount!A:I,2,0),"")</f>
        <v/>
      </c>
      <c r="L618" s="21" t="str">
        <f>IF(J618&lt;&gt;"",VLOOKUP(J618,HeadCount!A:I,5,0),"")</f>
        <v/>
      </c>
      <c r="P618" s="19" t="str">
        <f t="shared" si="20"/>
        <v/>
      </c>
    </row>
    <row r="619" spans="1:16" x14ac:dyDescent="0.3">
      <c r="A619" s="19" t="str">
        <f t="shared" si="19"/>
        <v/>
      </c>
      <c r="K619" s="21" t="str">
        <f>IF(J619&lt;&gt;"",VLOOKUP(J619,HeadCount!A:I,2,0),"")</f>
        <v/>
      </c>
      <c r="L619" s="21" t="str">
        <f>IF(J619&lt;&gt;"",VLOOKUP(J619,HeadCount!A:I,5,0),"")</f>
        <v/>
      </c>
      <c r="P619" s="19" t="str">
        <f t="shared" si="20"/>
        <v/>
      </c>
    </row>
    <row r="620" spans="1:16" x14ac:dyDescent="0.3">
      <c r="A620" s="19" t="str">
        <f t="shared" si="19"/>
        <v/>
      </c>
      <c r="K620" s="21" t="str">
        <f>IF(J620&lt;&gt;"",VLOOKUP(J620,HeadCount!A:I,2,0),"")</f>
        <v/>
      </c>
      <c r="L620" s="21" t="str">
        <f>IF(J620&lt;&gt;"",VLOOKUP(J620,HeadCount!A:I,5,0),"")</f>
        <v/>
      </c>
      <c r="P620" s="19" t="str">
        <f t="shared" si="20"/>
        <v/>
      </c>
    </row>
    <row r="621" spans="1:16" x14ac:dyDescent="0.3">
      <c r="A621" s="19" t="str">
        <f t="shared" si="19"/>
        <v/>
      </c>
      <c r="K621" s="21" t="str">
        <f>IF(J621&lt;&gt;"",VLOOKUP(J621,HeadCount!A:I,2,0),"")</f>
        <v/>
      </c>
      <c r="L621" s="21" t="str">
        <f>IF(J621&lt;&gt;"",VLOOKUP(J621,HeadCount!A:I,5,0),"")</f>
        <v/>
      </c>
      <c r="P621" s="19" t="str">
        <f t="shared" si="20"/>
        <v/>
      </c>
    </row>
    <row r="622" spans="1:16" x14ac:dyDescent="0.3">
      <c r="A622" s="19" t="str">
        <f t="shared" si="19"/>
        <v/>
      </c>
      <c r="K622" s="21" t="str">
        <f>IF(J622&lt;&gt;"",VLOOKUP(J622,HeadCount!A:I,2,0),"")</f>
        <v/>
      </c>
      <c r="L622" s="21" t="str">
        <f>IF(J622&lt;&gt;"",VLOOKUP(J622,HeadCount!A:I,5,0),"")</f>
        <v/>
      </c>
      <c r="P622" s="19" t="str">
        <f t="shared" si="20"/>
        <v/>
      </c>
    </row>
    <row r="623" spans="1:16" x14ac:dyDescent="0.3">
      <c r="A623" s="19" t="str">
        <f t="shared" si="19"/>
        <v/>
      </c>
      <c r="K623" s="21" t="str">
        <f>IF(J623&lt;&gt;"",VLOOKUP(J623,HeadCount!A:I,2,0),"")</f>
        <v/>
      </c>
      <c r="L623" s="21" t="str">
        <f>IF(J623&lt;&gt;"",VLOOKUP(J623,HeadCount!A:I,5,0),"")</f>
        <v/>
      </c>
      <c r="P623" s="19" t="str">
        <f t="shared" si="20"/>
        <v/>
      </c>
    </row>
    <row r="624" spans="1:16" x14ac:dyDescent="0.3">
      <c r="A624" s="19" t="str">
        <f t="shared" si="19"/>
        <v/>
      </c>
      <c r="K624" s="21" t="str">
        <f>IF(J624&lt;&gt;"",VLOOKUP(J624,HeadCount!A:I,2,0),"")</f>
        <v/>
      </c>
      <c r="L624" s="21" t="str">
        <f>IF(J624&lt;&gt;"",VLOOKUP(J624,HeadCount!A:I,5,0),"")</f>
        <v/>
      </c>
      <c r="P624" s="19" t="str">
        <f t="shared" si="20"/>
        <v/>
      </c>
    </row>
    <row r="625" spans="1:21" x14ac:dyDescent="0.3">
      <c r="A625" s="19" t="str">
        <f t="shared" si="19"/>
        <v/>
      </c>
      <c r="K625" s="21" t="str">
        <f>IF(J625&lt;&gt;"",VLOOKUP(J625,HeadCount!A:I,2,0),"")</f>
        <v/>
      </c>
      <c r="L625" s="21" t="str">
        <f>IF(J625&lt;&gt;"",VLOOKUP(J625,HeadCount!A:I,5,0),"")</f>
        <v/>
      </c>
      <c r="P625" s="19" t="str">
        <f t="shared" si="20"/>
        <v/>
      </c>
    </row>
    <row r="626" spans="1:21" x14ac:dyDescent="0.3">
      <c r="A626" s="19" t="str">
        <f t="shared" si="19"/>
        <v/>
      </c>
      <c r="K626" s="21" t="str">
        <f>IF(J626&lt;&gt;"",VLOOKUP(J626,HeadCount!A:I,2,0),"")</f>
        <v/>
      </c>
      <c r="L626" s="21" t="str">
        <f>IF(J626&lt;&gt;"",VLOOKUP(J626,HeadCount!A:I,5,0),"")</f>
        <v/>
      </c>
      <c r="P626" s="19" t="str">
        <f t="shared" si="20"/>
        <v/>
      </c>
    </row>
    <row r="627" spans="1:21" x14ac:dyDescent="0.3">
      <c r="A627" s="19" t="str">
        <f t="shared" si="19"/>
        <v/>
      </c>
      <c r="K627" s="21" t="str">
        <f>IF(J627&lt;&gt;"",VLOOKUP(J627,HeadCount!A:I,2,0),"")</f>
        <v/>
      </c>
      <c r="L627" s="21" t="str">
        <f>IF(J627&lt;&gt;"",VLOOKUP(J627,HeadCount!A:I,5,0),"")</f>
        <v/>
      </c>
      <c r="P627" s="19" t="str">
        <f t="shared" si="20"/>
        <v/>
      </c>
    </row>
    <row r="628" spans="1:21" x14ac:dyDescent="0.3">
      <c r="A628" s="19" t="str">
        <f t="shared" si="19"/>
        <v/>
      </c>
      <c r="K628" s="21" t="str">
        <f>IF(J628&lt;&gt;"",VLOOKUP(J628,HeadCount!A:I,2,0),"")</f>
        <v/>
      </c>
      <c r="L628" s="21" t="str">
        <f>IF(J628&lt;&gt;"",VLOOKUP(J628,HeadCount!A:I,5,0),"")</f>
        <v/>
      </c>
      <c r="P628" s="19" t="str">
        <f t="shared" si="20"/>
        <v/>
      </c>
    </row>
    <row r="629" spans="1:21" x14ac:dyDescent="0.3">
      <c r="A629" s="19" t="str">
        <f t="shared" si="19"/>
        <v/>
      </c>
      <c r="K629" s="21" t="str">
        <f>IF(J629&lt;&gt;"",VLOOKUP(J629,HeadCount!A:I,2,0),"")</f>
        <v/>
      </c>
      <c r="L629" s="21" t="str">
        <f>IF(J629&lt;&gt;"",VLOOKUP(J629,HeadCount!A:I,5,0),"")</f>
        <v/>
      </c>
      <c r="P629" s="19" t="str">
        <f t="shared" si="20"/>
        <v/>
      </c>
    </row>
    <row r="630" spans="1:21" x14ac:dyDescent="0.3">
      <c r="A630" s="19" t="str">
        <f t="shared" si="19"/>
        <v/>
      </c>
      <c r="K630" s="21" t="str">
        <f>IF(J630&lt;&gt;"",VLOOKUP(J630,HeadCount!A:I,2,0),"")</f>
        <v/>
      </c>
      <c r="L630" s="21" t="str">
        <f>IF(J630&lt;&gt;"",VLOOKUP(J630,HeadCount!A:I,5,0),"")</f>
        <v/>
      </c>
      <c r="P630" s="19" t="str">
        <f t="shared" si="20"/>
        <v/>
      </c>
      <c r="U630" s="29"/>
    </row>
    <row r="631" spans="1:21" x14ac:dyDescent="0.3">
      <c r="A631" s="19" t="str">
        <f t="shared" si="19"/>
        <v/>
      </c>
      <c r="K631" s="21" t="str">
        <f>IF(J631&lt;&gt;"",VLOOKUP(J631,HeadCount!A:I,2,0),"")</f>
        <v/>
      </c>
      <c r="L631" s="21" t="str">
        <f>IF(J631&lt;&gt;"",VLOOKUP(J631,HeadCount!A:I,5,0),"")</f>
        <v/>
      </c>
      <c r="P631" s="19" t="str">
        <f t="shared" si="20"/>
        <v/>
      </c>
    </row>
    <row r="632" spans="1:21" x14ac:dyDescent="0.3">
      <c r="A632" s="19" t="str">
        <f t="shared" si="19"/>
        <v/>
      </c>
      <c r="K632" s="21" t="str">
        <f>IF(J632&lt;&gt;"",VLOOKUP(J632,HeadCount!A:I,2,0),"")</f>
        <v/>
      </c>
      <c r="L632" s="21" t="str">
        <f>IF(J632&lt;&gt;"",VLOOKUP(J632,HeadCount!A:I,5,0),"")</f>
        <v/>
      </c>
      <c r="P632" s="19" t="str">
        <f t="shared" si="20"/>
        <v/>
      </c>
    </row>
    <row r="633" spans="1:21" x14ac:dyDescent="0.3">
      <c r="A633" s="19" t="str">
        <f t="shared" si="19"/>
        <v/>
      </c>
      <c r="K633" s="21" t="str">
        <f>IF(J633&lt;&gt;"",VLOOKUP(J633,HeadCount!A:I,2,0),"")</f>
        <v/>
      </c>
      <c r="L633" s="21" t="str">
        <f>IF(J633&lt;&gt;"",VLOOKUP(J633,HeadCount!A:I,5,0),"")</f>
        <v/>
      </c>
      <c r="P633" s="19" t="str">
        <f t="shared" si="20"/>
        <v/>
      </c>
    </row>
    <row r="634" spans="1:21" x14ac:dyDescent="0.3">
      <c r="A634" s="19" t="str">
        <f t="shared" si="19"/>
        <v/>
      </c>
      <c r="K634" s="21" t="str">
        <f>IF(J634&lt;&gt;"",VLOOKUP(J634,HeadCount!A:I,2,0),"")</f>
        <v/>
      </c>
      <c r="L634" s="21" t="str">
        <f>IF(J634&lt;&gt;"",VLOOKUP(J634,HeadCount!A:I,5,0),"")</f>
        <v/>
      </c>
      <c r="P634" s="19" t="str">
        <f t="shared" si="20"/>
        <v/>
      </c>
    </row>
    <row r="635" spans="1:21" x14ac:dyDescent="0.3">
      <c r="A635" s="19" t="str">
        <f t="shared" si="19"/>
        <v/>
      </c>
      <c r="K635" s="21" t="str">
        <f>IF(J635&lt;&gt;"",VLOOKUP(J635,HeadCount!A:I,2,0),"")</f>
        <v/>
      </c>
      <c r="L635" s="21" t="str">
        <f>IF(J635&lt;&gt;"",VLOOKUP(J635,HeadCount!A:I,5,0),"")</f>
        <v/>
      </c>
      <c r="P635" s="19" t="str">
        <f t="shared" si="20"/>
        <v/>
      </c>
    </row>
    <row r="636" spans="1:21" x14ac:dyDescent="0.3">
      <c r="A636" s="19" t="str">
        <f t="shared" si="19"/>
        <v/>
      </c>
      <c r="K636" s="21" t="str">
        <f>IF(J636&lt;&gt;"",VLOOKUP(J636,HeadCount!A:I,2,0),"")</f>
        <v/>
      </c>
      <c r="L636" s="21" t="str">
        <f>IF(J636&lt;&gt;"",VLOOKUP(J636,HeadCount!A:I,5,0),"")</f>
        <v/>
      </c>
      <c r="P636" s="19" t="str">
        <f t="shared" si="20"/>
        <v/>
      </c>
    </row>
    <row r="637" spans="1:21" x14ac:dyDescent="0.3">
      <c r="A637" s="19" t="str">
        <f t="shared" si="19"/>
        <v/>
      </c>
      <c r="K637" s="21" t="str">
        <f>IF(J637&lt;&gt;"",VLOOKUP(J637,HeadCount!A:I,2,0),"")</f>
        <v/>
      </c>
      <c r="L637" s="21" t="str">
        <f>IF(J637&lt;&gt;"",VLOOKUP(J637,HeadCount!A:I,5,0),"")</f>
        <v/>
      </c>
      <c r="P637" s="19" t="str">
        <f t="shared" si="20"/>
        <v/>
      </c>
    </row>
    <row r="638" spans="1:21" x14ac:dyDescent="0.3">
      <c r="A638" s="19" t="str">
        <f t="shared" si="19"/>
        <v/>
      </c>
      <c r="K638" s="21" t="str">
        <f>IF(J638&lt;&gt;"",VLOOKUP(J638,HeadCount!A:I,2,0),"")</f>
        <v/>
      </c>
      <c r="L638" s="21" t="str">
        <f>IF(J638&lt;&gt;"",VLOOKUP(J638,HeadCount!A:I,5,0),"")</f>
        <v/>
      </c>
      <c r="P638" s="19" t="str">
        <f t="shared" si="20"/>
        <v/>
      </c>
    </row>
    <row r="639" spans="1:21" x14ac:dyDescent="0.3">
      <c r="A639" s="19" t="str">
        <f t="shared" si="19"/>
        <v/>
      </c>
      <c r="K639" s="21" t="str">
        <f>IF(J639&lt;&gt;"",VLOOKUP(J639,HeadCount!A:I,2,0),"")</f>
        <v/>
      </c>
      <c r="L639" s="21" t="str">
        <f>IF(J639&lt;&gt;"",VLOOKUP(J639,HeadCount!A:I,5,0),"")</f>
        <v/>
      </c>
      <c r="P639" s="19" t="str">
        <f t="shared" si="20"/>
        <v/>
      </c>
    </row>
    <row r="640" spans="1:21" x14ac:dyDescent="0.3">
      <c r="A640" s="19" t="str">
        <f t="shared" si="19"/>
        <v/>
      </c>
      <c r="K640" s="21" t="str">
        <f>IF(J640&lt;&gt;"",VLOOKUP(J640,HeadCount!A:I,2,0),"")</f>
        <v/>
      </c>
      <c r="L640" s="21" t="str">
        <f>IF(J640&lt;&gt;"",VLOOKUP(J640,HeadCount!A:I,5,0),"")</f>
        <v/>
      </c>
      <c r="P640" s="19" t="str">
        <f t="shared" si="20"/>
        <v/>
      </c>
    </row>
    <row r="641" spans="1:16" x14ac:dyDescent="0.3">
      <c r="A641" s="19" t="str">
        <f t="shared" si="19"/>
        <v/>
      </c>
      <c r="K641" s="21" t="str">
        <f>IF(J641&lt;&gt;"",VLOOKUP(J641,HeadCount!A:I,2,0),"")</f>
        <v/>
      </c>
      <c r="L641" s="21" t="str">
        <f>IF(J641&lt;&gt;"",VLOOKUP(J641,HeadCount!A:I,5,0),"")</f>
        <v/>
      </c>
      <c r="P641" s="19" t="str">
        <f t="shared" si="20"/>
        <v/>
      </c>
    </row>
    <row r="642" spans="1:16" x14ac:dyDescent="0.3">
      <c r="A642" s="19" t="str">
        <f t="shared" ref="A642:A705" si="21">IF(C642&lt;&gt;"",ROW(A641),"")</f>
        <v/>
      </c>
      <c r="K642" s="21" t="str">
        <f>IF(J642&lt;&gt;"",VLOOKUP(J642,HeadCount!A:I,2,0),"")</f>
        <v/>
      </c>
      <c r="L642" s="21" t="str">
        <f>IF(J642&lt;&gt;"",VLOOKUP(J642,HeadCount!A:I,5,0),"")</f>
        <v/>
      </c>
      <c r="P642" s="19" t="str">
        <f t="shared" si="20"/>
        <v/>
      </c>
    </row>
    <row r="643" spans="1:16" x14ac:dyDescent="0.3">
      <c r="A643" s="19" t="str">
        <f t="shared" si="21"/>
        <v/>
      </c>
      <c r="K643" s="21" t="str">
        <f>IF(J643&lt;&gt;"",VLOOKUP(J643,HeadCount!A:I,2,0),"")</f>
        <v/>
      </c>
      <c r="L643" s="21" t="str">
        <f>IF(J643&lt;&gt;"",VLOOKUP(J643,HeadCount!A:I,5,0),"")</f>
        <v/>
      </c>
      <c r="P643" s="19" t="str">
        <f t="shared" ref="P643:P706" si="22">IF(N643="","",(O643-N643)+1)</f>
        <v/>
      </c>
    </row>
    <row r="644" spans="1:16" x14ac:dyDescent="0.3">
      <c r="A644" s="19" t="str">
        <f t="shared" si="21"/>
        <v/>
      </c>
      <c r="K644" s="21" t="str">
        <f>IF(J644&lt;&gt;"",VLOOKUP(J644,HeadCount!A:I,2,0),"")</f>
        <v/>
      </c>
      <c r="L644" s="21" t="str">
        <f>IF(J644&lt;&gt;"",VLOOKUP(J644,HeadCount!A:I,5,0),"")</f>
        <v/>
      </c>
      <c r="P644" s="19" t="str">
        <f t="shared" si="22"/>
        <v/>
      </c>
    </row>
    <row r="645" spans="1:16" x14ac:dyDescent="0.3">
      <c r="A645" s="19" t="str">
        <f t="shared" si="21"/>
        <v/>
      </c>
      <c r="K645" s="21" t="str">
        <f>IF(J645&lt;&gt;"",VLOOKUP(J645,HeadCount!A:I,2,0),"")</f>
        <v/>
      </c>
      <c r="L645" s="21" t="str">
        <f>IF(J645&lt;&gt;"",VLOOKUP(J645,HeadCount!A:I,5,0),"")</f>
        <v/>
      </c>
      <c r="P645" s="19" t="str">
        <f t="shared" si="22"/>
        <v/>
      </c>
    </row>
    <row r="646" spans="1:16" x14ac:dyDescent="0.3">
      <c r="A646" s="19" t="str">
        <f t="shared" si="21"/>
        <v/>
      </c>
      <c r="K646" s="21" t="str">
        <f>IF(J646&lt;&gt;"",VLOOKUP(J646,HeadCount!A:I,2,0),"")</f>
        <v/>
      </c>
      <c r="L646" s="21" t="str">
        <f>IF(J646&lt;&gt;"",VLOOKUP(J646,HeadCount!A:I,5,0),"")</f>
        <v/>
      </c>
      <c r="P646" s="19" t="str">
        <f t="shared" si="22"/>
        <v/>
      </c>
    </row>
    <row r="647" spans="1:16" x14ac:dyDescent="0.3">
      <c r="A647" s="19" t="str">
        <f t="shared" si="21"/>
        <v/>
      </c>
      <c r="K647" s="21" t="str">
        <f>IF(J647&lt;&gt;"",VLOOKUP(J647,HeadCount!A:I,2,0),"")</f>
        <v/>
      </c>
      <c r="L647" s="21" t="str">
        <f>IF(J647&lt;&gt;"",VLOOKUP(J647,HeadCount!A:I,5,0),"")</f>
        <v/>
      </c>
      <c r="P647" s="19" t="str">
        <f t="shared" si="22"/>
        <v/>
      </c>
    </row>
    <row r="648" spans="1:16" x14ac:dyDescent="0.3">
      <c r="A648" s="19" t="str">
        <f t="shared" si="21"/>
        <v/>
      </c>
      <c r="K648" s="21" t="str">
        <f>IF(J648&lt;&gt;"",VLOOKUP(J648,HeadCount!A:I,2,0),"")</f>
        <v/>
      </c>
      <c r="L648" s="21" t="str">
        <f>IF(J648&lt;&gt;"",VLOOKUP(J648,HeadCount!A:I,5,0),"")</f>
        <v/>
      </c>
      <c r="P648" s="19" t="str">
        <f t="shared" si="22"/>
        <v/>
      </c>
    </row>
    <row r="649" spans="1:16" x14ac:dyDescent="0.3">
      <c r="A649" s="19" t="str">
        <f t="shared" si="21"/>
        <v/>
      </c>
      <c r="K649" s="21" t="str">
        <f>IF(J649&lt;&gt;"",VLOOKUP(J649,HeadCount!A:I,2,0),"")</f>
        <v/>
      </c>
      <c r="L649" s="21" t="str">
        <f>IF(J649&lt;&gt;"",VLOOKUP(J649,HeadCount!A:I,5,0),"")</f>
        <v/>
      </c>
      <c r="P649" s="19" t="str">
        <f t="shared" si="22"/>
        <v/>
      </c>
    </row>
    <row r="650" spans="1:16" x14ac:dyDescent="0.3">
      <c r="A650" s="19" t="str">
        <f t="shared" si="21"/>
        <v/>
      </c>
      <c r="K650" s="21" t="str">
        <f>IF(J650&lt;&gt;"",VLOOKUP(J650,HeadCount!A:I,2,0),"")</f>
        <v/>
      </c>
      <c r="L650" s="21" t="str">
        <f>IF(J650&lt;&gt;"",VLOOKUP(J650,HeadCount!A:I,5,0),"")</f>
        <v/>
      </c>
      <c r="P650" s="19" t="str">
        <f t="shared" si="22"/>
        <v/>
      </c>
    </row>
    <row r="651" spans="1:16" x14ac:dyDescent="0.3">
      <c r="A651" s="19" t="str">
        <f t="shared" si="21"/>
        <v/>
      </c>
      <c r="K651" s="21" t="str">
        <f>IF(J651&lt;&gt;"",VLOOKUP(J651,HeadCount!A:I,2,0),"")</f>
        <v/>
      </c>
      <c r="L651" s="21" t="str">
        <f>IF(J651&lt;&gt;"",VLOOKUP(J651,HeadCount!A:I,5,0),"")</f>
        <v/>
      </c>
      <c r="P651" s="19" t="str">
        <f t="shared" si="22"/>
        <v/>
      </c>
    </row>
    <row r="652" spans="1:16" x14ac:dyDescent="0.3">
      <c r="A652" s="19" t="str">
        <f t="shared" si="21"/>
        <v/>
      </c>
      <c r="K652" s="21" t="str">
        <f>IF(J652&lt;&gt;"",VLOOKUP(J652,HeadCount!A:I,2,0),"")</f>
        <v/>
      </c>
      <c r="L652" s="21" t="str">
        <f>IF(J652&lt;&gt;"",VLOOKUP(J652,HeadCount!A:I,5,0),"")</f>
        <v/>
      </c>
      <c r="P652" s="19" t="str">
        <f t="shared" si="22"/>
        <v/>
      </c>
    </row>
    <row r="653" spans="1:16" x14ac:dyDescent="0.3">
      <c r="A653" s="19" t="str">
        <f t="shared" si="21"/>
        <v/>
      </c>
      <c r="K653" s="21" t="str">
        <f>IF(J653&lt;&gt;"",VLOOKUP(J653,HeadCount!A:I,2,0),"")</f>
        <v/>
      </c>
      <c r="L653" s="21" t="str">
        <f>IF(J653&lt;&gt;"",VLOOKUP(J653,HeadCount!A:I,5,0),"")</f>
        <v/>
      </c>
      <c r="P653" s="19" t="str">
        <f t="shared" si="22"/>
        <v/>
      </c>
    </row>
    <row r="654" spans="1:16" x14ac:dyDescent="0.3">
      <c r="A654" s="19" t="str">
        <f t="shared" si="21"/>
        <v/>
      </c>
      <c r="K654" s="21" t="str">
        <f>IF(J654&lt;&gt;"",VLOOKUP(J654,HeadCount!A:I,2,0),"")</f>
        <v/>
      </c>
      <c r="L654" s="21" t="str">
        <f>IF(J654&lt;&gt;"",VLOOKUP(J654,HeadCount!A:I,5,0),"")</f>
        <v/>
      </c>
      <c r="P654" s="19" t="str">
        <f t="shared" si="22"/>
        <v/>
      </c>
    </row>
    <row r="655" spans="1:16" x14ac:dyDescent="0.3">
      <c r="A655" s="19" t="str">
        <f t="shared" si="21"/>
        <v/>
      </c>
      <c r="K655" s="21" t="str">
        <f>IF(J655&lt;&gt;"",VLOOKUP(J655,HeadCount!A:I,2,0),"")</f>
        <v/>
      </c>
      <c r="L655" s="21" t="str">
        <f>IF(J655&lt;&gt;"",VLOOKUP(J655,HeadCount!A:I,5,0),"")</f>
        <v/>
      </c>
      <c r="P655" s="19" t="str">
        <f t="shared" si="22"/>
        <v/>
      </c>
    </row>
    <row r="656" spans="1:16" x14ac:dyDescent="0.3">
      <c r="A656" s="19" t="str">
        <f t="shared" si="21"/>
        <v/>
      </c>
      <c r="K656" s="21" t="str">
        <f>IF(J656&lt;&gt;"",VLOOKUP(J656,HeadCount!A:I,2,0),"")</f>
        <v/>
      </c>
      <c r="L656" s="21" t="str">
        <f>IF(J656&lt;&gt;"",VLOOKUP(J656,HeadCount!A:I,5,0),"")</f>
        <v/>
      </c>
      <c r="P656" s="19" t="str">
        <f t="shared" si="22"/>
        <v/>
      </c>
    </row>
    <row r="657" spans="1:16" x14ac:dyDescent="0.3">
      <c r="A657" s="19" t="str">
        <f t="shared" si="21"/>
        <v/>
      </c>
      <c r="K657" s="21" t="str">
        <f>IF(J657&lt;&gt;"",VLOOKUP(J657,HeadCount!A:I,2,0),"")</f>
        <v/>
      </c>
      <c r="L657" s="21" t="str">
        <f>IF(J657&lt;&gt;"",VLOOKUP(J657,HeadCount!A:I,5,0),"")</f>
        <v/>
      </c>
      <c r="P657" s="19" t="str">
        <f t="shared" si="22"/>
        <v/>
      </c>
    </row>
    <row r="658" spans="1:16" x14ac:dyDescent="0.3">
      <c r="A658" s="19" t="str">
        <f t="shared" si="21"/>
        <v/>
      </c>
      <c r="K658" s="21" t="str">
        <f>IF(J658&lt;&gt;"",VLOOKUP(J658,HeadCount!A:I,2,0),"")</f>
        <v/>
      </c>
      <c r="L658" s="21" t="str">
        <f>IF(J658&lt;&gt;"",VLOOKUP(J658,HeadCount!A:I,5,0),"")</f>
        <v/>
      </c>
      <c r="P658" s="19" t="str">
        <f t="shared" si="22"/>
        <v/>
      </c>
    </row>
    <row r="659" spans="1:16" x14ac:dyDescent="0.3">
      <c r="A659" s="19" t="str">
        <f t="shared" si="21"/>
        <v/>
      </c>
      <c r="K659" s="21" t="str">
        <f>IF(J659&lt;&gt;"",VLOOKUP(J659,HeadCount!A:I,2,0),"")</f>
        <v/>
      </c>
      <c r="L659" s="21" t="str">
        <f>IF(J659&lt;&gt;"",VLOOKUP(J659,HeadCount!A:I,5,0),"")</f>
        <v/>
      </c>
      <c r="P659" s="19" t="str">
        <f t="shared" si="22"/>
        <v/>
      </c>
    </row>
    <row r="660" spans="1:16" x14ac:dyDescent="0.3">
      <c r="A660" s="19" t="str">
        <f t="shared" si="21"/>
        <v/>
      </c>
      <c r="K660" s="21" t="str">
        <f>IF(J660&lt;&gt;"",VLOOKUP(J660,HeadCount!A:I,2,0),"")</f>
        <v/>
      </c>
      <c r="L660" s="21" t="str">
        <f>IF(J660&lt;&gt;"",VLOOKUP(J660,HeadCount!A:I,5,0),"")</f>
        <v/>
      </c>
      <c r="P660" s="19" t="str">
        <f t="shared" si="22"/>
        <v/>
      </c>
    </row>
    <row r="661" spans="1:16" x14ac:dyDescent="0.3">
      <c r="A661" s="19" t="str">
        <f t="shared" si="21"/>
        <v/>
      </c>
      <c r="K661" s="21" t="str">
        <f>IF(J661&lt;&gt;"",VLOOKUP(J661,HeadCount!A:I,2,0),"")</f>
        <v/>
      </c>
      <c r="L661" s="21" t="str">
        <f>IF(J661&lt;&gt;"",VLOOKUP(J661,HeadCount!A:I,5,0),"")</f>
        <v/>
      </c>
      <c r="P661" s="19" t="str">
        <f t="shared" si="22"/>
        <v/>
      </c>
    </row>
    <row r="662" spans="1:16" x14ac:dyDescent="0.3">
      <c r="A662" s="19" t="str">
        <f t="shared" si="21"/>
        <v/>
      </c>
      <c r="K662" s="21" t="str">
        <f>IF(J662&lt;&gt;"",VLOOKUP(J662,HeadCount!A:I,2,0),"")</f>
        <v/>
      </c>
      <c r="L662" s="21" t="str">
        <f>IF(J662&lt;&gt;"",VLOOKUP(J662,HeadCount!A:I,5,0),"")</f>
        <v/>
      </c>
      <c r="P662" s="19" t="str">
        <f t="shared" si="22"/>
        <v/>
      </c>
    </row>
    <row r="663" spans="1:16" x14ac:dyDescent="0.3">
      <c r="A663" s="19" t="str">
        <f t="shared" si="21"/>
        <v/>
      </c>
      <c r="K663" s="21" t="str">
        <f>IF(J663&lt;&gt;"",VLOOKUP(J663,HeadCount!A:I,2,0),"")</f>
        <v/>
      </c>
      <c r="L663" s="21" t="str">
        <f>IF(J663&lt;&gt;"",VLOOKUP(J663,HeadCount!A:I,5,0),"")</f>
        <v/>
      </c>
      <c r="P663" s="19" t="str">
        <f t="shared" si="22"/>
        <v/>
      </c>
    </row>
    <row r="664" spans="1:16" x14ac:dyDescent="0.3">
      <c r="A664" s="19" t="str">
        <f t="shared" si="21"/>
        <v/>
      </c>
      <c r="K664" s="21" t="str">
        <f>IF(J664&lt;&gt;"",VLOOKUP(J664,HeadCount!A:I,2,0),"")</f>
        <v/>
      </c>
      <c r="L664" s="21" t="str">
        <f>IF(J664&lt;&gt;"",VLOOKUP(J664,HeadCount!A:I,5,0),"")</f>
        <v/>
      </c>
      <c r="P664" s="19" t="str">
        <f t="shared" si="22"/>
        <v/>
      </c>
    </row>
    <row r="665" spans="1:16" x14ac:dyDescent="0.3">
      <c r="A665" s="19" t="str">
        <f t="shared" si="21"/>
        <v/>
      </c>
      <c r="K665" s="21" t="str">
        <f>IF(J665&lt;&gt;"",VLOOKUP(J665,HeadCount!A:I,2,0),"")</f>
        <v/>
      </c>
      <c r="L665" s="21" t="str">
        <f>IF(J665&lt;&gt;"",VLOOKUP(J665,HeadCount!A:I,5,0),"")</f>
        <v/>
      </c>
      <c r="P665" s="19" t="str">
        <f t="shared" si="22"/>
        <v/>
      </c>
    </row>
    <row r="666" spans="1:16" x14ac:dyDescent="0.3">
      <c r="A666" s="19" t="str">
        <f t="shared" si="21"/>
        <v/>
      </c>
      <c r="K666" s="21" t="str">
        <f>IF(J666&lt;&gt;"",VLOOKUP(J666,HeadCount!A:I,2,0),"")</f>
        <v/>
      </c>
      <c r="L666" s="21" t="str">
        <f>IF(J666&lt;&gt;"",VLOOKUP(J666,HeadCount!A:I,5,0),"")</f>
        <v/>
      </c>
      <c r="P666" s="19" t="str">
        <f t="shared" si="22"/>
        <v/>
      </c>
    </row>
    <row r="667" spans="1:16" x14ac:dyDescent="0.3">
      <c r="A667" s="19" t="str">
        <f t="shared" si="21"/>
        <v/>
      </c>
      <c r="K667" s="21" t="str">
        <f>IF(J667&lt;&gt;"",VLOOKUP(J667,HeadCount!A:I,2,0),"")</f>
        <v/>
      </c>
      <c r="L667" s="21" t="str">
        <f>IF(J667&lt;&gt;"",VLOOKUP(J667,HeadCount!A:I,5,0),"")</f>
        <v/>
      </c>
      <c r="P667" s="19" t="str">
        <f t="shared" si="22"/>
        <v/>
      </c>
    </row>
    <row r="668" spans="1:16" x14ac:dyDescent="0.3">
      <c r="A668" s="19" t="str">
        <f t="shared" si="21"/>
        <v/>
      </c>
      <c r="K668" s="21" t="str">
        <f>IF(J668&lt;&gt;"",VLOOKUP(J668,HeadCount!A:I,2,0),"")</f>
        <v/>
      </c>
      <c r="L668" s="21" t="str">
        <f>IF(J668&lt;&gt;"",VLOOKUP(J668,HeadCount!A:I,5,0),"")</f>
        <v/>
      </c>
      <c r="P668" s="19" t="str">
        <f t="shared" si="22"/>
        <v/>
      </c>
    </row>
    <row r="669" spans="1:16" x14ac:dyDescent="0.3">
      <c r="A669" s="19" t="str">
        <f t="shared" si="21"/>
        <v/>
      </c>
      <c r="K669" s="21" t="str">
        <f>IF(J669&lt;&gt;"",VLOOKUP(J669,HeadCount!A:I,2,0),"")</f>
        <v/>
      </c>
      <c r="L669" s="21" t="str">
        <f>IF(J669&lt;&gt;"",VLOOKUP(J669,HeadCount!A:I,5,0),"")</f>
        <v/>
      </c>
      <c r="P669" s="19" t="str">
        <f t="shared" si="22"/>
        <v/>
      </c>
    </row>
    <row r="670" spans="1:16" x14ac:dyDescent="0.3">
      <c r="A670" s="19" t="str">
        <f t="shared" si="21"/>
        <v/>
      </c>
      <c r="K670" s="21" t="str">
        <f>IF(J670&lt;&gt;"",VLOOKUP(J670,HeadCount!A:I,2,0),"")</f>
        <v/>
      </c>
      <c r="L670" s="21" t="str">
        <f>IF(J670&lt;&gt;"",VLOOKUP(J670,HeadCount!A:I,5,0),"")</f>
        <v/>
      </c>
      <c r="P670" s="19" t="str">
        <f t="shared" si="22"/>
        <v/>
      </c>
    </row>
    <row r="671" spans="1:16" x14ac:dyDescent="0.3">
      <c r="A671" s="19" t="str">
        <f t="shared" si="21"/>
        <v/>
      </c>
      <c r="K671" s="21" t="str">
        <f>IF(J671&lt;&gt;"",VLOOKUP(J671,HeadCount!A:I,2,0),"")</f>
        <v/>
      </c>
      <c r="L671" s="21" t="str">
        <f>IF(J671&lt;&gt;"",VLOOKUP(J671,HeadCount!A:I,5,0),"")</f>
        <v/>
      </c>
      <c r="P671" s="19" t="str">
        <f t="shared" si="22"/>
        <v/>
      </c>
    </row>
    <row r="672" spans="1:16" x14ac:dyDescent="0.3">
      <c r="A672" s="19" t="str">
        <f t="shared" si="21"/>
        <v/>
      </c>
      <c r="K672" s="21" t="str">
        <f>IF(J672&lt;&gt;"",VLOOKUP(J672,HeadCount!A:I,2,0),"")</f>
        <v/>
      </c>
      <c r="L672" s="21" t="str">
        <f>IF(J672&lt;&gt;"",VLOOKUP(J672,HeadCount!A:I,5,0),"")</f>
        <v/>
      </c>
      <c r="P672" s="19" t="str">
        <f t="shared" si="22"/>
        <v/>
      </c>
    </row>
    <row r="673" spans="1:16" x14ac:dyDescent="0.3">
      <c r="A673" s="19" t="str">
        <f t="shared" si="21"/>
        <v/>
      </c>
      <c r="K673" s="21" t="str">
        <f>IF(J673&lt;&gt;"",VLOOKUP(J673,HeadCount!A:I,2,0),"")</f>
        <v/>
      </c>
      <c r="L673" s="21" t="str">
        <f>IF(J673&lt;&gt;"",VLOOKUP(J673,HeadCount!A:I,5,0),"")</f>
        <v/>
      </c>
      <c r="P673" s="19" t="str">
        <f t="shared" si="22"/>
        <v/>
      </c>
    </row>
    <row r="674" spans="1:16" x14ac:dyDescent="0.3">
      <c r="A674" s="19" t="str">
        <f t="shared" si="21"/>
        <v/>
      </c>
      <c r="K674" s="21" t="str">
        <f>IF(J674&lt;&gt;"",VLOOKUP(J674,HeadCount!A:I,2,0),"")</f>
        <v/>
      </c>
      <c r="L674" s="21" t="str">
        <f>IF(J674&lt;&gt;"",VLOOKUP(J674,HeadCount!A:I,5,0),"")</f>
        <v/>
      </c>
      <c r="P674" s="19" t="str">
        <f t="shared" si="22"/>
        <v/>
      </c>
    </row>
    <row r="675" spans="1:16" x14ac:dyDescent="0.3">
      <c r="A675" s="19" t="str">
        <f t="shared" si="21"/>
        <v/>
      </c>
      <c r="K675" s="21" t="str">
        <f>IF(J675&lt;&gt;"",VLOOKUP(J675,HeadCount!A:I,2,0),"")</f>
        <v/>
      </c>
      <c r="L675" s="21" t="str">
        <f>IF(J675&lt;&gt;"",VLOOKUP(J675,HeadCount!A:I,5,0),"")</f>
        <v/>
      </c>
      <c r="P675" s="19" t="str">
        <f t="shared" si="22"/>
        <v/>
      </c>
    </row>
    <row r="676" spans="1:16" x14ac:dyDescent="0.3">
      <c r="A676" s="19" t="str">
        <f t="shared" si="21"/>
        <v/>
      </c>
      <c r="K676" s="21" t="str">
        <f>IF(J676&lt;&gt;"",VLOOKUP(J676,HeadCount!A:I,2,0),"")</f>
        <v/>
      </c>
      <c r="L676" s="21" t="str">
        <f>IF(J676&lt;&gt;"",VLOOKUP(J676,HeadCount!A:I,5,0),"")</f>
        <v/>
      </c>
      <c r="P676" s="19" t="str">
        <f t="shared" si="22"/>
        <v/>
      </c>
    </row>
    <row r="677" spans="1:16" x14ac:dyDescent="0.3">
      <c r="A677" s="19" t="str">
        <f t="shared" si="21"/>
        <v/>
      </c>
      <c r="K677" s="21" t="str">
        <f>IF(J677&lt;&gt;"",VLOOKUP(J677,HeadCount!A:I,2,0),"")</f>
        <v/>
      </c>
      <c r="L677" s="21" t="str">
        <f>IF(J677&lt;&gt;"",VLOOKUP(J677,HeadCount!A:I,5,0),"")</f>
        <v/>
      </c>
      <c r="P677" s="19" t="str">
        <f t="shared" si="22"/>
        <v/>
      </c>
    </row>
    <row r="678" spans="1:16" x14ac:dyDescent="0.3">
      <c r="A678" s="19" t="str">
        <f t="shared" si="21"/>
        <v/>
      </c>
      <c r="K678" s="21" t="str">
        <f>IF(J678&lt;&gt;"",VLOOKUP(J678,HeadCount!A:I,2,0),"")</f>
        <v/>
      </c>
      <c r="L678" s="21" t="str">
        <f>IF(J678&lt;&gt;"",VLOOKUP(J678,HeadCount!A:I,5,0),"")</f>
        <v/>
      </c>
      <c r="P678" s="19" t="str">
        <f t="shared" si="22"/>
        <v/>
      </c>
    </row>
    <row r="679" spans="1:16" x14ac:dyDescent="0.3">
      <c r="A679" s="19" t="str">
        <f t="shared" si="21"/>
        <v/>
      </c>
      <c r="K679" s="21" t="str">
        <f>IF(J679&lt;&gt;"",VLOOKUP(J679,HeadCount!A:I,2,0),"")</f>
        <v/>
      </c>
      <c r="L679" s="21" t="str">
        <f>IF(J679&lt;&gt;"",VLOOKUP(J679,HeadCount!A:I,5,0),"")</f>
        <v/>
      </c>
      <c r="P679" s="19" t="str">
        <f t="shared" si="22"/>
        <v/>
      </c>
    </row>
    <row r="680" spans="1:16" x14ac:dyDescent="0.3">
      <c r="A680" s="19" t="str">
        <f t="shared" si="21"/>
        <v/>
      </c>
      <c r="K680" s="21" t="str">
        <f>IF(J680&lt;&gt;"",VLOOKUP(J680,HeadCount!A:I,2,0),"")</f>
        <v/>
      </c>
      <c r="L680" s="21" t="str">
        <f>IF(J680&lt;&gt;"",VLOOKUP(J680,HeadCount!A:I,5,0),"")</f>
        <v/>
      </c>
      <c r="P680" s="19" t="str">
        <f t="shared" si="22"/>
        <v/>
      </c>
    </row>
    <row r="681" spans="1:16" x14ac:dyDescent="0.3">
      <c r="A681" s="19" t="str">
        <f t="shared" si="21"/>
        <v/>
      </c>
      <c r="K681" s="21" t="str">
        <f>IF(J681&lt;&gt;"",VLOOKUP(J681,HeadCount!A:I,2,0),"")</f>
        <v/>
      </c>
      <c r="L681" s="21" t="str">
        <f>IF(J681&lt;&gt;"",VLOOKUP(J681,HeadCount!A:I,5,0),"")</f>
        <v/>
      </c>
      <c r="P681" s="19" t="str">
        <f t="shared" si="22"/>
        <v/>
      </c>
    </row>
    <row r="682" spans="1:16" x14ac:dyDescent="0.3">
      <c r="A682" s="19" t="str">
        <f t="shared" si="21"/>
        <v/>
      </c>
      <c r="K682" s="21" t="str">
        <f>IF(J682&lt;&gt;"",VLOOKUP(J682,HeadCount!A:I,2,0),"")</f>
        <v/>
      </c>
      <c r="L682" s="21" t="str">
        <f>IF(J682&lt;&gt;"",VLOOKUP(J682,HeadCount!A:I,5,0),"")</f>
        <v/>
      </c>
      <c r="P682" s="19" t="str">
        <f t="shared" si="22"/>
        <v/>
      </c>
    </row>
    <row r="683" spans="1:16" x14ac:dyDescent="0.3">
      <c r="A683" s="19" t="str">
        <f t="shared" si="21"/>
        <v/>
      </c>
      <c r="K683" s="21" t="str">
        <f>IF(J683&lt;&gt;"",VLOOKUP(J683,HeadCount!A:I,2,0),"")</f>
        <v/>
      </c>
      <c r="L683" s="21" t="str">
        <f>IF(J683&lt;&gt;"",VLOOKUP(J683,HeadCount!A:I,5,0),"")</f>
        <v/>
      </c>
      <c r="P683" s="19" t="str">
        <f t="shared" si="22"/>
        <v/>
      </c>
    </row>
    <row r="684" spans="1:16" x14ac:dyDescent="0.3">
      <c r="A684" s="19" t="str">
        <f t="shared" si="21"/>
        <v/>
      </c>
      <c r="K684" s="21" t="str">
        <f>IF(J684&lt;&gt;"",VLOOKUP(J684,HeadCount!A:I,2,0),"")</f>
        <v/>
      </c>
      <c r="L684" s="21" t="str">
        <f>IF(J684&lt;&gt;"",VLOOKUP(J684,HeadCount!A:I,5,0),"")</f>
        <v/>
      </c>
      <c r="P684" s="19" t="str">
        <f t="shared" si="22"/>
        <v/>
      </c>
    </row>
    <row r="685" spans="1:16" x14ac:dyDescent="0.3">
      <c r="A685" s="19" t="str">
        <f t="shared" si="21"/>
        <v/>
      </c>
      <c r="K685" s="21" t="str">
        <f>IF(J685&lt;&gt;"",VLOOKUP(J685,HeadCount!A:I,2,0),"")</f>
        <v/>
      </c>
      <c r="L685" s="21" t="str">
        <f>IF(J685&lt;&gt;"",VLOOKUP(J685,HeadCount!A:I,5,0),"")</f>
        <v/>
      </c>
      <c r="P685" s="19" t="str">
        <f t="shared" si="22"/>
        <v/>
      </c>
    </row>
    <row r="686" spans="1:16" x14ac:dyDescent="0.3">
      <c r="A686" s="19" t="str">
        <f t="shared" si="21"/>
        <v/>
      </c>
      <c r="K686" s="21" t="str">
        <f>IF(J686&lt;&gt;"",VLOOKUP(J686,HeadCount!A:I,2,0),"")</f>
        <v/>
      </c>
      <c r="L686" s="21" t="str">
        <f>IF(J686&lt;&gt;"",VLOOKUP(J686,HeadCount!A:I,5,0),"")</f>
        <v/>
      </c>
      <c r="P686" s="19" t="str">
        <f t="shared" si="22"/>
        <v/>
      </c>
    </row>
    <row r="687" spans="1:16" x14ac:dyDescent="0.3">
      <c r="A687" s="19" t="str">
        <f t="shared" si="21"/>
        <v/>
      </c>
      <c r="K687" s="21" t="str">
        <f>IF(J687&lt;&gt;"",VLOOKUP(J687,HeadCount!A:I,2,0),"")</f>
        <v/>
      </c>
      <c r="L687" s="21" t="str">
        <f>IF(J687&lt;&gt;"",VLOOKUP(J687,HeadCount!A:I,5,0),"")</f>
        <v/>
      </c>
      <c r="P687" s="19" t="str">
        <f t="shared" si="22"/>
        <v/>
      </c>
    </row>
    <row r="688" spans="1:16" x14ac:dyDescent="0.3">
      <c r="A688" s="19" t="str">
        <f t="shared" si="21"/>
        <v/>
      </c>
      <c r="K688" s="21" t="str">
        <f>IF(J688&lt;&gt;"",VLOOKUP(J688,HeadCount!A:I,2,0),"")</f>
        <v/>
      </c>
      <c r="L688" s="21" t="str">
        <f>IF(J688&lt;&gt;"",VLOOKUP(J688,HeadCount!A:I,5,0),"")</f>
        <v/>
      </c>
      <c r="P688" s="19" t="str">
        <f t="shared" si="22"/>
        <v/>
      </c>
    </row>
    <row r="689" spans="1:16" x14ac:dyDescent="0.3">
      <c r="A689" s="19" t="str">
        <f t="shared" si="21"/>
        <v/>
      </c>
      <c r="K689" s="21" t="str">
        <f>IF(J689&lt;&gt;"",VLOOKUP(J689,HeadCount!A:I,2,0),"")</f>
        <v/>
      </c>
      <c r="L689" s="21" t="str">
        <f>IF(J689&lt;&gt;"",VLOOKUP(J689,HeadCount!A:I,5,0),"")</f>
        <v/>
      </c>
      <c r="P689" s="19" t="str">
        <f t="shared" si="22"/>
        <v/>
      </c>
    </row>
    <row r="690" spans="1:16" x14ac:dyDescent="0.3">
      <c r="A690" s="19" t="str">
        <f t="shared" si="21"/>
        <v/>
      </c>
      <c r="K690" s="21" t="str">
        <f>IF(J690&lt;&gt;"",VLOOKUP(J690,HeadCount!A:I,2,0),"")</f>
        <v/>
      </c>
      <c r="L690" s="21" t="str">
        <f>IF(J690&lt;&gt;"",VLOOKUP(J690,HeadCount!A:I,5,0),"")</f>
        <v/>
      </c>
      <c r="P690" s="19" t="str">
        <f t="shared" si="22"/>
        <v/>
      </c>
    </row>
    <row r="691" spans="1:16" x14ac:dyDescent="0.3">
      <c r="A691" s="19" t="str">
        <f t="shared" si="21"/>
        <v/>
      </c>
      <c r="K691" s="21" t="str">
        <f>IF(J691&lt;&gt;"",VLOOKUP(J691,HeadCount!A:I,2,0),"")</f>
        <v/>
      </c>
      <c r="L691" s="21" t="str">
        <f>IF(J691&lt;&gt;"",VLOOKUP(J691,HeadCount!A:I,5,0),"")</f>
        <v/>
      </c>
      <c r="P691" s="19" t="str">
        <f t="shared" si="22"/>
        <v/>
      </c>
    </row>
    <row r="692" spans="1:16" x14ac:dyDescent="0.3">
      <c r="A692" s="19" t="str">
        <f t="shared" si="21"/>
        <v/>
      </c>
      <c r="K692" s="21" t="str">
        <f>IF(J692&lt;&gt;"",VLOOKUP(J692,HeadCount!A:I,2,0),"")</f>
        <v/>
      </c>
      <c r="L692" s="21" t="str">
        <f>IF(J692&lt;&gt;"",VLOOKUP(J692,HeadCount!A:I,5,0),"")</f>
        <v/>
      </c>
      <c r="P692" s="19" t="str">
        <f t="shared" si="22"/>
        <v/>
      </c>
    </row>
    <row r="693" spans="1:16" x14ac:dyDescent="0.3">
      <c r="A693" s="19" t="str">
        <f t="shared" si="21"/>
        <v/>
      </c>
      <c r="K693" s="21" t="str">
        <f>IF(J693&lt;&gt;"",VLOOKUP(J693,HeadCount!A:I,2,0),"")</f>
        <v/>
      </c>
      <c r="L693" s="21" t="str">
        <f>IF(J693&lt;&gt;"",VLOOKUP(J693,HeadCount!A:I,5,0),"")</f>
        <v/>
      </c>
      <c r="P693" s="19" t="str">
        <f t="shared" si="22"/>
        <v/>
      </c>
    </row>
    <row r="694" spans="1:16" x14ac:dyDescent="0.3">
      <c r="A694" s="19" t="str">
        <f t="shared" si="21"/>
        <v/>
      </c>
      <c r="K694" s="21" t="str">
        <f>IF(J694&lt;&gt;"",VLOOKUP(J694,HeadCount!A:I,2,0),"")</f>
        <v/>
      </c>
      <c r="L694" s="21" t="str">
        <f>IF(J694&lt;&gt;"",VLOOKUP(J694,HeadCount!A:I,5,0),"")</f>
        <v/>
      </c>
      <c r="P694" s="19" t="str">
        <f t="shared" si="22"/>
        <v/>
      </c>
    </row>
    <row r="695" spans="1:16" x14ac:dyDescent="0.3">
      <c r="A695" s="19" t="str">
        <f t="shared" si="21"/>
        <v/>
      </c>
      <c r="K695" s="21" t="str">
        <f>IF(J695&lt;&gt;"",VLOOKUP(J695,HeadCount!A:I,2,0),"")</f>
        <v/>
      </c>
      <c r="L695" s="21" t="str">
        <f>IF(J695&lt;&gt;"",VLOOKUP(J695,HeadCount!A:I,5,0),"")</f>
        <v/>
      </c>
      <c r="P695" s="19" t="str">
        <f t="shared" si="22"/>
        <v/>
      </c>
    </row>
    <row r="696" spans="1:16" x14ac:dyDescent="0.3">
      <c r="A696" s="19" t="str">
        <f t="shared" si="21"/>
        <v/>
      </c>
      <c r="K696" s="21" t="str">
        <f>IF(J696&lt;&gt;"",VLOOKUP(J696,HeadCount!A:I,2,0),"")</f>
        <v/>
      </c>
      <c r="L696" s="21" t="str">
        <f>IF(J696&lt;&gt;"",VLOOKUP(J696,HeadCount!A:I,5,0),"")</f>
        <v/>
      </c>
      <c r="P696" s="19" t="str">
        <f t="shared" si="22"/>
        <v/>
      </c>
    </row>
    <row r="697" spans="1:16" x14ac:dyDescent="0.3">
      <c r="A697" s="19" t="str">
        <f t="shared" si="21"/>
        <v/>
      </c>
      <c r="K697" s="21" t="str">
        <f>IF(J697&lt;&gt;"",VLOOKUP(J697,HeadCount!A:I,2,0),"")</f>
        <v/>
      </c>
      <c r="L697" s="21" t="str">
        <f>IF(J697&lt;&gt;"",VLOOKUP(J697,HeadCount!A:I,5,0),"")</f>
        <v/>
      </c>
      <c r="P697" s="19" t="str">
        <f t="shared" si="22"/>
        <v/>
      </c>
    </row>
    <row r="698" spans="1:16" x14ac:dyDescent="0.3">
      <c r="A698" s="19" t="str">
        <f t="shared" si="21"/>
        <v/>
      </c>
      <c r="K698" s="21" t="str">
        <f>IF(J698&lt;&gt;"",VLOOKUP(J698,HeadCount!A:I,2,0),"")</f>
        <v/>
      </c>
      <c r="L698" s="21" t="str">
        <f>IF(J698&lt;&gt;"",VLOOKUP(J698,HeadCount!A:I,5,0),"")</f>
        <v/>
      </c>
      <c r="P698" s="19" t="str">
        <f t="shared" si="22"/>
        <v/>
      </c>
    </row>
    <row r="699" spans="1:16" x14ac:dyDescent="0.3">
      <c r="A699" s="19" t="str">
        <f t="shared" si="21"/>
        <v/>
      </c>
      <c r="K699" s="21" t="str">
        <f>IF(J699&lt;&gt;"",VLOOKUP(J699,HeadCount!A:I,2,0),"")</f>
        <v/>
      </c>
      <c r="L699" s="21" t="str">
        <f>IF(J699&lt;&gt;"",VLOOKUP(J699,HeadCount!A:I,5,0),"")</f>
        <v/>
      </c>
      <c r="P699" s="19" t="str">
        <f t="shared" si="22"/>
        <v/>
      </c>
    </row>
    <row r="700" spans="1:16" x14ac:dyDescent="0.3">
      <c r="A700" s="19" t="str">
        <f t="shared" si="21"/>
        <v/>
      </c>
      <c r="K700" s="21" t="str">
        <f>IF(J700&lt;&gt;"",VLOOKUP(J700,HeadCount!A:I,2,0),"")</f>
        <v/>
      </c>
      <c r="L700" s="21" t="str">
        <f>IF(J700&lt;&gt;"",VLOOKUP(J700,HeadCount!A:I,5,0),"")</f>
        <v/>
      </c>
      <c r="P700" s="19" t="str">
        <f t="shared" si="22"/>
        <v/>
      </c>
    </row>
    <row r="701" spans="1:16" x14ac:dyDescent="0.3">
      <c r="A701" s="19" t="str">
        <f t="shared" si="21"/>
        <v/>
      </c>
      <c r="K701" s="21" t="str">
        <f>IF(J701&lt;&gt;"",VLOOKUP(J701,HeadCount!A:I,2,0),"")</f>
        <v/>
      </c>
      <c r="L701" s="21" t="str">
        <f>IF(J701&lt;&gt;"",VLOOKUP(J701,HeadCount!A:I,5,0),"")</f>
        <v/>
      </c>
      <c r="P701" s="19" t="str">
        <f t="shared" si="22"/>
        <v/>
      </c>
    </row>
    <row r="702" spans="1:16" x14ac:dyDescent="0.3">
      <c r="A702" s="19" t="str">
        <f t="shared" si="21"/>
        <v/>
      </c>
      <c r="K702" s="21" t="str">
        <f>IF(J702&lt;&gt;"",VLOOKUP(J702,HeadCount!A:I,2,0),"")</f>
        <v/>
      </c>
      <c r="L702" s="21" t="str">
        <f>IF(J702&lt;&gt;"",VLOOKUP(J702,HeadCount!A:I,5,0),"")</f>
        <v/>
      </c>
      <c r="P702" s="19" t="str">
        <f t="shared" si="22"/>
        <v/>
      </c>
    </row>
    <row r="703" spans="1:16" x14ac:dyDescent="0.3">
      <c r="A703" s="19" t="str">
        <f t="shared" si="21"/>
        <v/>
      </c>
      <c r="K703" s="21" t="str">
        <f>IF(J703&lt;&gt;"",VLOOKUP(J703,HeadCount!A:I,2,0),"")</f>
        <v/>
      </c>
      <c r="L703" s="21" t="str">
        <f>IF(J703&lt;&gt;"",VLOOKUP(J703,HeadCount!A:I,5,0),"")</f>
        <v/>
      </c>
      <c r="P703" s="19" t="str">
        <f t="shared" si="22"/>
        <v/>
      </c>
    </row>
    <row r="704" spans="1:16" x14ac:dyDescent="0.3">
      <c r="A704" s="19" t="str">
        <f t="shared" si="21"/>
        <v/>
      </c>
      <c r="K704" s="21" t="str">
        <f>IF(J704&lt;&gt;"",VLOOKUP(J704,HeadCount!A:I,2,0),"")</f>
        <v/>
      </c>
      <c r="L704" s="21" t="str">
        <f>IF(J704&lt;&gt;"",VLOOKUP(J704,HeadCount!A:I,5,0),"")</f>
        <v/>
      </c>
      <c r="P704" s="19" t="str">
        <f t="shared" si="22"/>
        <v/>
      </c>
    </row>
    <row r="705" spans="1:16" x14ac:dyDescent="0.3">
      <c r="A705" s="19" t="str">
        <f t="shared" si="21"/>
        <v/>
      </c>
      <c r="K705" s="21" t="str">
        <f>IF(J705&lt;&gt;"",VLOOKUP(J705,HeadCount!A:I,2,0),"")</f>
        <v/>
      </c>
      <c r="L705" s="21" t="str">
        <f>IF(J705&lt;&gt;"",VLOOKUP(J705,HeadCount!A:I,5,0),"")</f>
        <v/>
      </c>
      <c r="P705" s="19" t="str">
        <f t="shared" si="22"/>
        <v/>
      </c>
    </row>
    <row r="706" spans="1:16" x14ac:dyDescent="0.3">
      <c r="A706" s="19" t="str">
        <f t="shared" ref="A706:A769" si="23">IF(C706&lt;&gt;"",ROW(A705),"")</f>
        <v/>
      </c>
      <c r="K706" s="21" t="str">
        <f>IF(J706&lt;&gt;"",VLOOKUP(J706,HeadCount!A:I,2,0),"")</f>
        <v/>
      </c>
      <c r="L706" s="21" t="str">
        <f>IF(J706&lt;&gt;"",VLOOKUP(J706,HeadCount!A:I,5,0),"")</f>
        <v/>
      </c>
      <c r="P706" s="19" t="str">
        <f t="shared" si="22"/>
        <v/>
      </c>
    </row>
    <row r="707" spans="1:16" x14ac:dyDescent="0.3">
      <c r="A707" s="19" t="str">
        <f t="shared" si="23"/>
        <v/>
      </c>
      <c r="K707" s="21" t="str">
        <f>IF(J707&lt;&gt;"",VLOOKUP(J707,HeadCount!A:I,2,0),"")</f>
        <v/>
      </c>
      <c r="L707" s="21" t="str">
        <f>IF(J707&lt;&gt;"",VLOOKUP(J707,HeadCount!A:I,5,0),"")</f>
        <v/>
      </c>
      <c r="P707" s="19" t="str">
        <f t="shared" ref="P707:P770" si="24">IF(N707="","",(O707-N707)+1)</f>
        <v/>
      </c>
    </row>
    <row r="708" spans="1:16" x14ac:dyDescent="0.3">
      <c r="A708" s="19" t="str">
        <f t="shared" si="23"/>
        <v/>
      </c>
      <c r="K708" s="21" t="str">
        <f>IF(J708&lt;&gt;"",VLOOKUP(J708,HeadCount!A:I,2,0),"")</f>
        <v/>
      </c>
      <c r="L708" s="21" t="str">
        <f>IF(J708&lt;&gt;"",VLOOKUP(J708,HeadCount!A:I,5,0),"")</f>
        <v/>
      </c>
      <c r="P708" s="19" t="str">
        <f t="shared" si="24"/>
        <v/>
      </c>
    </row>
    <row r="709" spans="1:16" x14ac:dyDescent="0.3">
      <c r="A709" s="19" t="str">
        <f t="shared" si="23"/>
        <v/>
      </c>
      <c r="K709" s="21" t="str">
        <f>IF(J709&lt;&gt;"",VLOOKUP(J709,HeadCount!A:I,2,0),"")</f>
        <v/>
      </c>
      <c r="L709" s="21" t="str">
        <f>IF(J709&lt;&gt;"",VLOOKUP(J709,HeadCount!A:I,5,0),"")</f>
        <v/>
      </c>
      <c r="P709" s="19" t="str">
        <f t="shared" si="24"/>
        <v/>
      </c>
    </row>
    <row r="710" spans="1:16" x14ac:dyDescent="0.3">
      <c r="A710" s="19" t="str">
        <f t="shared" si="23"/>
        <v/>
      </c>
      <c r="K710" s="21" t="str">
        <f>IF(J710&lt;&gt;"",VLOOKUP(J710,HeadCount!A:I,2,0),"")</f>
        <v/>
      </c>
      <c r="L710" s="21" t="str">
        <f>IF(J710&lt;&gt;"",VLOOKUP(J710,HeadCount!A:I,5,0),"")</f>
        <v/>
      </c>
      <c r="P710" s="19" t="str">
        <f t="shared" si="24"/>
        <v/>
      </c>
    </row>
    <row r="711" spans="1:16" x14ac:dyDescent="0.3">
      <c r="A711" s="19" t="str">
        <f t="shared" si="23"/>
        <v/>
      </c>
      <c r="K711" s="21" t="str">
        <f>IF(J711&lt;&gt;"",VLOOKUP(J711,HeadCount!A:I,2,0),"")</f>
        <v/>
      </c>
      <c r="L711" s="21" t="str">
        <f>IF(J711&lt;&gt;"",VLOOKUP(J711,HeadCount!A:I,5,0),"")</f>
        <v/>
      </c>
      <c r="P711" s="19" t="str">
        <f t="shared" si="24"/>
        <v/>
      </c>
    </row>
    <row r="712" spans="1:16" x14ac:dyDescent="0.3">
      <c r="A712" s="19" t="str">
        <f t="shared" si="23"/>
        <v/>
      </c>
      <c r="K712" s="21" t="str">
        <f>IF(J712&lt;&gt;"",VLOOKUP(J712,HeadCount!A:I,2,0),"")</f>
        <v/>
      </c>
      <c r="L712" s="21" t="str">
        <f>IF(J712&lt;&gt;"",VLOOKUP(J712,HeadCount!A:I,5,0),"")</f>
        <v/>
      </c>
      <c r="P712" s="19" t="str">
        <f t="shared" si="24"/>
        <v/>
      </c>
    </row>
    <row r="713" spans="1:16" x14ac:dyDescent="0.3">
      <c r="A713" s="19" t="str">
        <f t="shared" si="23"/>
        <v/>
      </c>
      <c r="K713" s="21" t="str">
        <f>IF(J713&lt;&gt;"",VLOOKUP(J713,HeadCount!A:I,2,0),"")</f>
        <v/>
      </c>
      <c r="L713" s="21" t="str">
        <f>IF(J713&lt;&gt;"",VLOOKUP(J713,HeadCount!A:I,5,0),"")</f>
        <v/>
      </c>
      <c r="P713" s="19" t="str">
        <f t="shared" si="24"/>
        <v/>
      </c>
    </row>
    <row r="714" spans="1:16" x14ac:dyDescent="0.3">
      <c r="A714" s="19" t="str">
        <f t="shared" si="23"/>
        <v/>
      </c>
      <c r="K714" s="21" t="str">
        <f>IF(J714&lt;&gt;"",VLOOKUP(J714,HeadCount!A:I,2,0),"")</f>
        <v/>
      </c>
      <c r="L714" s="21" t="str">
        <f>IF(J714&lt;&gt;"",VLOOKUP(J714,HeadCount!A:I,5,0),"")</f>
        <v/>
      </c>
      <c r="P714" s="19" t="str">
        <f t="shared" si="24"/>
        <v/>
      </c>
    </row>
    <row r="715" spans="1:16" x14ac:dyDescent="0.3">
      <c r="A715" s="19" t="str">
        <f t="shared" si="23"/>
        <v/>
      </c>
      <c r="K715" s="21" t="str">
        <f>IF(J715&lt;&gt;"",VLOOKUP(J715,HeadCount!A:I,2,0),"")</f>
        <v/>
      </c>
      <c r="L715" s="21" t="str">
        <f>IF(J715&lt;&gt;"",VLOOKUP(J715,HeadCount!A:I,5,0),"")</f>
        <v/>
      </c>
      <c r="P715" s="19" t="str">
        <f t="shared" si="24"/>
        <v/>
      </c>
    </row>
    <row r="716" spans="1:16" x14ac:dyDescent="0.3">
      <c r="A716" s="19" t="str">
        <f t="shared" si="23"/>
        <v/>
      </c>
      <c r="K716" s="21" t="str">
        <f>IF(J716&lt;&gt;"",VLOOKUP(J716,HeadCount!A:I,2,0),"")</f>
        <v/>
      </c>
      <c r="L716" s="21" t="str">
        <f>IF(J716&lt;&gt;"",VLOOKUP(J716,HeadCount!A:I,5,0),"")</f>
        <v/>
      </c>
      <c r="P716" s="19" t="str">
        <f t="shared" si="24"/>
        <v/>
      </c>
    </row>
    <row r="717" spans="1:16" x14ac:dyDescent="0.3">
      <c r="A717" s="19" t="str">
        <f t="shared" si="23"/>
        <v/>
      </c>
      <c r="K717" s="21" t="str">
        <f>IF(J717&lt;&gt;"",VLOOKUP(J717,HeadCount!A:I,2,0),"")</f>
        <v/>
      </c>
      <c r="L717" s="21" t="str">
        <f>IF(J717&lt;&gt;"",VLOOKUP(J717,HeadCount!A:I,5,0),"")</f>
        <v/>
      </c>
      <c r="P717" s="19" t="str">
        <f t="shared" si="24"/>
        <v/>
      </c>
    </row>
    <row r="718" spans="1:16" x14ac:dyDescent="0.3">
      <c r="A718" s="19" t="str">
        <f t="shared" si="23"/>
        <v/>
      </c>
      <c r="K718" s="21" t="str">
        <f>IF(J718&lt;&gt;"",VLOOKUP(J718,HeadCount!A:I,2,0),"")</f>
        <v/>
      </c>
      <c r="L718" s="21" t="str">
        <f>IF(J718&lt;&gt;"",VLOOKUP(J718,HeadCount!A:I,5,0),"")</f>
        <v/>
      </c>
      <c r="P718" s="19" t="str">
        <f t="shared" si="24"/>
        <v/>
      </c>
    </row>
    <row r="719" spans="1:16" x14ac:dyDescent="0.3">
      <c r="A719" s="19" t="str">
        <f t="shared" si="23"/>
        <v/>
      </c>
      <c r="K719" s="21" t="str">
        <f>IF(J719&lt;&gt;"",VLOOKUP(J719,HeadCount!A:I,2,0),"")</f>
        <v/>
      </c>
      <c r="L719" s="21" t="str">
        <f>IF(J719&lt;&gt;"",VLOOKUP(J719,HeadCount!A:I,5,0),"")</f>
        <v/>
      </c>
      <c r="P719" s="19" t="str">
        <f t="shared" si="24"/>
        <v/>
      </c>
    </row>
    <row r="720" spans="1:16" x14ac:dyDescent="0.3">
      <c r="A720" s="19" t="str">
        <f t="shared" si="23"/>
        <v/>
      </c>
      <c r="K720" s="21" t="str">
        <f>IF(J720&lt;&gt;"",VLOOKUP(J720,HeadCount!A:I,2,0),"")</f>
        <v/>
      </c>
      <c r="L720" s="21" t="str">
        <f>IF(J720&lt;&gt;"",VLOOKUP(J720,HeadCount!A:I,5,0),"")</f>
        <v/>
      </c>
      <c r="P720" s="19" t="str">
        <f t="shared" si="24"/>
        <v/>
      </c>
    </row>
    <row r="721" spans="1:16" x14ac:dyDescent="0.3">
      <c r="A721" s="19" t="str">
        <f t="shared" si="23"/>
        <v/>
      </c>
      <c r="K721" s="21" t="str">
        <f>IF(J721&lt;&gt;"",VLOOKUP(J721,HeadCount!A:I,2,0),"")</f>
        <v/>
      </c>
      <c r="L721" s="21" t="str">
        <f>IF(J721&lt;&gt;"",VLOOKUP(J721,HeadCount!A:I,5,0),"")</f>
        <v/>
      </c>
      <c r="P721" s="19" t="str">
        <f t="shared" si="24"/>
        <v/>
      </c>
    </row>
    <row r="722" spans="1:16" x14ac:dyDescent="0.3">
      <c r="A722" s="19" t="str">
        <f t="shared" si="23"/>
        <v/>
      </c>
      <c r="K722" s="21" t="str">
        <f>IF(J722&lt;&gt;"",VLOOKUP(J722,HeadCount!A:I,2,0),"")</f>
        <v/>
      </c>
      <c r="L722" s="21" t="str">
        <f>IF(J722&lt;&gt;"",VLOOKUP(J722,HeadCount!A:I,5,0),"")</f>
        <v/>
      </c>
      <c r="P722" s="19" t="str">
        <f t="shared" si="24"/>
        <v/>
      </c>
    </row>
    <row r="723" spans="1:16" x14ac:dyDescent="0.3">
      <c r="A723" s="19" t="str">
        <f t="shared" si="23"/>
        <v/>
      </c>
      <c r="K723" s="21" t="str">
        <f>IF(J723&lt;&gt;"",VLOOKUP(J723,HeadCount!A:I,2,0),"")</f>
        <v/>
      </c>
      <c r="L723" s="21" t="str">
        <f>IF(J723&lt;&gt;"",VLOOKUP(J723,HeadCount!A:I,5,0),"")</f>
        <v/>
      </c>
      <c r="P723" s="19" t="str">
        <f t="shared" si="24"/>
        <v/>
      </c>
    </row>
    <row r="724" spans="1:16" x14ac:dyDescent="0.3">
      <c r="A724" s="19" t="str">
        <f t="shared" si="23"/>
        <v/>
      </c>
      <c r="K724" s="21" t="str">
        <f>IF(J724&lt;&gt;"",VLOOKUP(J724,HeadCount!A:I,2,0),"")</f>
        <v/>
      </c>
      <c r="L724" s="21" t="str">
        <f>IF(J724&lt;&gt;"",VLOOKUP(J724,HeadCount!A:I,5,0),"")</f>
        <v/>
      </c>
      <c r="P724" s="19" t="str">
        <f t="shared" si="24"/>
        <v/>
      </c>
    </row>
    <row r="725" spans="1:16" x14ac:dyDescent="0.3">
      <c r="A725" s="19" t="str">
        <f t="shared" si="23"/>
        <v/>
      </c>
      <c r="K725" s="21" t="str">
        <f>IF(J725&lt;&gt;"",VLOOKUP(J725,HeadCount!A:I,2,0),"")</f>
        <v/>
      </c>
      <c r="L725" s="21" t="str">
        <f>IF(J725&lt;&gt;"",VLOOKUP(J725,HeadCount!A:I,5,0),"")</f>
        <v/>
      </c>
      <c r="P725" s="19" t="str">
        <f t="shared" si="24"/>
        <v/>
      </c>
    </row>
    <row r="726" spans="1:16" x14ac:dyDescent="0.3">
      <c r="A726" s="19" t="str">
        <f t="shared" si="23"/>
        <v/>
      </c>
      <c r="K726" s="21" t="str">
        <f>IF(J726&lt;&gt;"",VLOOKUP(J726,HeadCount!A:I,2,0),"")</f>
        <v/>
      </c>
      <c r="L726" s="21" t="str">
        <f>IF(J726&lt;&gt;"",VLOOKUP(J726,HeadCount!A:I,5,0),"")</f>
        <v/>
      </c>
      <c r="P726" s="19" t="str">
        <f t="shared" si="24"/>
        <v/>
      </c>
    </row>
    <row r="727" spans="1:16" x14ac:dyDescent="0.3">
      <c r="A727" s="19" t="str">
        <f t="shared" si="23"/>
        <v/>
      </c>
      <c r="K727" s="21" t="str">
        <f>IF(J727&lt;&gt;"",VLOOKUP(J727,HeadCount!A:I,2,0),"")</f>
        <v/>
      </c>
      <c r="L727" s="21" t="str">
        <f>IF(J727&lt;&gt;"",VLOOKUP(J727,HeadCount!A:I,5,0),"")</f>
        <v/>
      </c>
      <c r="P727" s="19" t="str">
        <f t="shared" si="24"/>
        <v/>
      </c>
    </row>
    <row r="728" spans="1:16" x14ac:dyDescent="0.3">
      <c r="A728" s="19" t="str">
        <f t="shared" si="23"/>
        <v/>
      </c>
      <c r="K728" s="21" t="str">
        <f>IF(J728&lt;&gt;"",VLOOKUP(J728,HeadCount!A:I,2,0),"")</f>
        <v/>
      </c>
      <c r="L728" s="21" t="str">
        <f>IF(J728&lt;&gt;"",VLOOKUP(J728,HeadCount!A:I,5,0),"")</f>
        <v/>
      </c>
      <c r="P728" s="19" t="str">
        <f t="shared" si="24"/>
        <v/>
      </c>
    </row>
    <row r="729" spans="1:16" x14ac:dyDescent="0.3">
      <c r="A729" s="19" t="str">
        <f t="shared" si="23"/>
        <v/>
      </c>
      <c r="K729" s="21" t="str">
        <f>IF(J729&lt;&gt;"",VLOOKUP(J729,HeadCount!A:I,2,0),"")</f>
        <v/>
      </c>
      <c r="L729" s="21" t="str">
        <f>IF(J729&lt;&gt;"",VLOOKUP(J729,HeadCount!A:I,5,0),"")</f>
        <v/>
      </c>
      <c r="P729" s="19" t="str">
        <f t="shared" si="24"/>
        <v/>
      </c>
    </row>
    <row r="730" spans="1:16" x14ac:dyDescent="0.3">
      <c r="A730" s="19" t="str">
        <f t="shared" si="23"/>
        <v/>
      </c>
      <c r="K730" s="21" t="str">
        <f>IF(J730&lt;&gt;"",VLOOKUP(J730,HeadCount!A:I,2,0),"")</f>
        <v/>
      </c>
      <c r="L730" s="21" t="str">
        <f>IF(J730&lt;&gt;"",VLOOKUP(J730,HeadCount!A:I,5,0),"")</f>
        <v/>
      </c>
      <c r="P730" s="19" t="str">
        <f t="shared" si="24"/>
        <v/>
      </c>
    </row>
    <row r="731" spans="1:16" x14ac:dyDescent="0.3">
      <c r="A731" s="19" t="str">
        <f t="shared" si="23"/>
        <v/>
      </c>
      <c r="K731" s="21" t="str">
        <f>IF(J731&lt;&gt;"",VLOOKUP(J731,HeadCount!A:I,2,0),"")</f>
        <v/>
      </c>
      <c r="L731" s="21" t="str">
        <f>IF(J731&lt;&gt;"",VLOOKUP(J731,HeadCount!A:I,5,0),"")</f>
        <v/>
      </c>
      <c r="P731" s="19" t="str">
        <f t="shared" si="24"/>
        <v/>
      </c>
    </row>
    <row r="732" spans="1:16" x14ac:dyDescent="0.3">
      <c r="A732" s="19" t="str">
        <f t="shared" si="23"/>
        <v/>
      </c>
      <c r="K732" s="21" t="str">
        <f>IF(J732&lt;&gt;"",VLOOKUP(J732,HeadCount!A:I,2,0),"")</f>
        <v/>
      </c>
      <c r="L732" s="21" t="str">
        <f>IF(J732&lt;&gt;"",VLOOKUP(J732,HeadCount!A:I,5,0),"")</f>
        <v/>
      </c>
      <c r="P732" s="19" t="str">
        <f t="shared" si="24"/>
        <v/>
      </c>
    </row>
    <row r="733" spans="1:16" x14ac:dyDescent="0.3">
      <c r="A733" s="19" t="str">
        <f t="shared" si="23"/>
        <v/>
      </c>
      <c r="K733" s="21" t="str">
        <f>IF(J733&lt;&gt;"",VLOOKUP(J733,HeadCount!A:I,2,0),"")</f>
        <v/>
      </c>
      <c r="L733" s="21" t="str">
        <f>IF(J733&lt;&gt;"",VLOOKUP(J733,HeadCount!A:I,5,0),"")</f>
        <v/>
      </c>
      <c r="P733" s="19" t="str">
        <f t="shared" si="24"/>
        <v/>
      </c>
    </row>
    <row r="734" spans="1:16" x14ac:dyDescent="0.3">
      <c r="A734" s="19" t="str">
        <f t="shared" si="23"/>
        <v/>
      </c>
      <c r="K734" s="21" t="str">
        <f>IF(J734&lt;&gt;"",VLOOKUP(J734,HeadCount!A:I,2,0),"")</f>
        <v/>
      </c>
      <c r="L734" s="21" t="str">
        <f>IF(J734&lt;&gt;"",VLOOKUP(J734,HeadCount!A:I,5,0),"")</f>
        <v/>
      </c>
      <c r="P734" s="19" t="str">
        <f t="shared" si="24"/>
        <v/>
      </c>
    </row>
    <row r="735" spans="1:16" x14ac:dyDescent="0.3">
      <c r="A735" s="19" t="str">
        <f t="shared" si="23"/>
        <v/>
      </c>
      <c r="K735" s="21" t="str">
        <f>IF(J735&lt;&gt;"",VLOOKUP(J735,HeadCount!A:I,2,0),"")</f>
        <v/>
      </c>
      <c r="L735" s="21" t="str">
        <f>IF(J735&lt;&gt;"",VLOOKUP(J735,HeadCount!A:I,5,0),"")</f>
        <v/>
      </c>
      <c r="P735" s="19" t="str">
        <f t="shared" si="24"/>
        <v/>
      </c>
    </row>
    <row r="736" spans="1:16" x14ac:dyDescent="0.3">
      <c r="A736" s="19" t="str">
        <f t="shared" si="23"/>
        <v/>
      </c>
      <c r="K736" s="21" t="str">
        <f>IF(J736&lt;&gt;"",VLOOKUP(J736,HeadCount!A:I,2,0),"")</f>
        <v/>
      </c>
      <c r="L736" s="21" t="str">
        <f>IF(J736&lt;&gt;"",VLOOKUP(J736,HeadCount!A:I,5,0),"")</f>
        <v/>
      </c>
      <c r="P736" s="19" t="str">
        <f t="shared" si="24"/>
        <v/>
      </c>
    </row>
    <row r="737" spans="1:16" x14ac:dyDescent="0.3">
      <c r="A737" s="19" t="str">
        <f t="shared" si="23"/>
        <v/>
      </c>
      <c r="K737" s="21" t="str">
        <f>IF(J737&lt;&gt;"",VLOOKUP(J737,HeadCount!A:I,2,0),"")</f>
        <v/>
      </c>
      <c r="L737" s="21" t="str">
        <f>IF(J737&lt;&gt;"",VLOOKUP(J737,HeadCount!A:I,5,0),"")</f>
        <v/>
      </c>
      <c r="P737" s="19" t="str">
        <f t="shared" si="24"/>
        <v/>
      </c>
    </row>
    <row r="738" spans="1:16" x14ac:dyDescent="0.3">
      <c r="A738" s="19" t="str">
        <f t="shared" si="23"/>
        <v/>
      </c>
      <c r="K738" s="21" t="str">
        <f>IF(J738&lt;&gt;"",VLOOKUP(J738,HeadCount!A:I,2,0),"")</f>
        <v/>
      </c>
      <c r="L738" s="21" t="str">
        <f>IF(J738&lt;&gt;"",VLOOKUP(J738,HeadCount!A:I,5,0),"")</f>
        <v/>
      </c>
      <c r="P738" s="19" t="str">
        <f t="shared" si="24"/>
        <v/>
      </c>
    </row>
    <row r="739" spans="1:16" x14ac:dyDescent="0.3">
      <c r="A739" s="19" t="str">
        <f t="shared" si="23"/>
        <v/>
      </c>
      <c r="K739" s="21" t="str">
        <f>IF(J739&lt;&gt;"",VLOOKUP(J739,HeadCount!A:I,2,0),"")</f>
        <v/>
      </c>
      <c r="L739" s="21" t="str">
        <f>IF(J739&lt;&gt;"",VLOOKUP(J739,HeadCount!A:I,5,0),"")</f>
        <v/>
      </c>
      <c r="P739" s="19" t="str">
        <f t="shared" si="24"/>
        <v/>
      </c>
    </row>
    <row r="740" spans="1:16" x14ac:dyDescent="0.3">
      <c r="A740" s="19" t="str">
        <f t="shared" si="23"/>
        <v/>
      </c>
      <c r="K740" s="21" t="str">
        <f>IF(J740&lt;&gt;"",VLOOKUP(J740,HeadCount!A:I,2,0),"")</f>
        <v/>
      </c>
      <c r="L740" s="21" t="str">
        <f>IF(J740&lt;&gt;"",VLOOKUP(J740,HeadCount!A:I,5,0),"")</f>
        <v/>
      </c>
      <c r="P740" s="19" t="str">
        <f t="shared" si="24"/>
        <v/>
      </c>
    </row>
    <row r="741" spans="1:16" x14ac:dyDescent="0.3">
      <c r="A741" s="19" t="str">
        <f t="shared" si="23"/>
        <v/>
      </c>
      <c r="K741" s="21" t="str">
        <f>IF(J741&lt;&gt;"",VLOOKUP(J741,HeadCount!A:I,2,0),"")</f>
        <v/>
      </c>
      <c r="L741" s="21" t="str">
        <f>IF(J741&lt;&gt;"",VLOOKUP(J741,HeadCount!A:I,5,0),"")</f>
        <v/>
      </c>
      <c r="P741" s="19" t="str">
        <f t="shared" si="24"/>
        <v/>
      </c>
    </row>
    <row r="742" spans="1:16" x14ac:dyDescent="0.3">
      <c r="A742" s="19" t="str">
        <f t="shared" si="23"/>
        <v/>
      </c>
      <c r="K742" s="21" t="str">
        <f>IF(J742&lt;&gt;"",VLOOKUP(J742,HeadCount!A:I,2,0),"")</f>
        <v/>
      </c>
      <c r="L742" s="21" t="str">
        <f>IF(J742&lt;&gt;"",VLOOKUP(J742,HeadCount!A:I,5,0),"")</f>
        <v/>
      </c>
      <c r="P742" s="19" t="str">
        <f t="shared" si="24"/>
        <v/>
      </c>
    </row>
    <row r="743" spans="1:16" x14ac:dyDescent="0.3">
      <c r="A743" s="19" t="str">
        <f t="shared" si="23"/>
        <v/>
      </c>
      <c r="K743" s="21" t="str">
        <f>IF(J743&lt;&gt;"",VLOOKUP(J743,HeadCount!A:I,2,0),"")</f>
        <v/>
      </c>
      <c r="L743" s="21" t="str">
        <f>IF(J743&lt;&gt;"",VLOOKUP(J743,HeadCount!A:I,5,0),"")</f>
        <v/>
      </c>
      <c r="P743" s="19" t="str">
        <f t="shared" si="24"/>
        <v/>
      </c>
    </row>
    <row r="744" spans="1:16" x14ac:dyDescent="0.3">
      <c r="A744" s="19" t="str">
        <f t="shared" si="23"/>
        <v/>
      </c>
      <c r="K744" s="21" t="str">
        <f>IF(J744&lt;&gt;"",VLOOKUP(J744,HeadCount!A:I,2,0),"")</f>
        <v/>
      </c>
      <c r="L744" s="21" t="str">
        <f>IF(J744&lt;&gt;"",VLOOKUP(J744,HeadCount!A:I,5,0),"")</f>
        <v/>
      </c>
      <c r="P744" s="19" t="str">
        <f t="shared" si="24"/>
        <v/>
      </c>
    </row>
    <row r="745" spans="1:16" x14ac:dyDescent="0.3">
      <c r="A745" s="19" t="str">
        <f t="shared" si="23"/>
        <v/>
      </c>
      <c r="K745" s="21" t="str">
        <f>IF(J745&lt;&gt;"",VLOOKUP(J745,HeadCount!A:I,2,0),"")</f>
        <v/>
      </c>
      <c r="L745" s="21" t="str">
        <f>IF(J745&lt;&gt;"",VLOOKUP(J745,HeadCount!A:I,5,0),"")</f>
        <v/>
      </c>
      <c r="P745" s="19" t="str">
        <f t="shared" si="24"/>
        <v/>
      </c>
    </row>
    <row r="746" spans="1:16" x14ac:dyDescent="0.3">
      <c r="A746" s="19" t="str">
        <f t="shared" si="23"/>
        <v/>
      </c>
      <c r="K746" s="21" t="str">
        <f>IF(J746&lt;&gt;"",VLOOKUP(J746,HeadCount!A:I,2,0),"")</f>
        <v/>
      </c>
      <c r="L746" s="21" t="str">
        <f>IF(J746&lt;&gt;"",VLOOKUP(J746,HeadCount!A:I,5,0),"")</f>
        <v/>
      </c>
      <c r="P746" s="19" t="str">
        <f t="shared" si="24"/>
        <v/>
      </c>
    </row>
    <row r="747" spans="1:16" x14ac:dyDescent="0.3">
      <c r="A747" s="19" t="str">
        <f t="shared" si="23"/>
        <v/>
      </c>
      <c r="K747" s="21" t="str">
        <f>IF(J747&lt;&gt;"",VLOOKUP(J747,HeadCount!A:I,2,0),"")</f>
        <v/>
      </c>
      <c r="L747" s="21" t="str">
        <f>IF(J747&lt;&gt;"",VLOOKUP(J747,HeadCount!A:I,5,0),"")</f>
        <v/>
      </c>
      <c r="P747" s="19" t="str">
        <f t="shared" si="24"/>
        <v/>
      </c>
    </row>
    <row r="748" spans="1:16" x14ac:dyDescent="0.3">
      <c r="A748" s="19" t="str">
        <f t="shared" si="23"/>
        <v/>
      </c>
      <c r="K748" s="21" t="str">
        <f>IF(J748&lt;&gt;"",VLOOKUP(J748,HeadCount!A:I,2,0),"")</f>
        <v/>
      </c>
      <c r="L748" s="21" t="str">
        <f>IF(J748&lt;&gt;"",VLOOKUP(J748,HeadCount!A:I,5,0),"")</f>
        <v/>
      </c>
      <c r="P748" s="19" t="str">
        <f t="shared" si="24"/>
        <v/>
      </c>
    </row>
    <row r="749" spans="1:16" x14ac:dyDescent="0.3">
      <c r="A749" s="19" t="str">
        <f t="shared" si="23"/>
        <v/>
      </c>
      <c r="K749" s="21" t="str">
        <f>IF(J749&lt;&gt;"",VLOOKUP(J749,HeadCount!A:I,2,0),"")</f>
        <v/>
      </c>
      <c r="L749" s="21" t="str">
        <f>IF(J749&lt;&gt;"",VLOOKUP(J749,HeadCount!A:I,5,0),"")</f>
        <v/>
      </c>
      <c r="P749" s="19" t="str">
        <f t="shared" si="24"/>
        <v/>
      </c>
    </row>
    <row r="750" spans="1:16" x14ac:dyDescent="0.3">
      <c r="A750" s="19" t="str">
        <f t="shared" si="23"/>
        <v/>
      </c>
      <c r="K750" s="21" t="str">
        <f>IF(J750&lt;&gt;"",VLOOKUP(J750,HeadCount!A:I,2,0),"")</f>
        <v/>
      </c>
      <c r="L750" s="21" t="str">
        <f>IF(J750&lt;&gt;"",VLOOKUP(J750,HeadCount!A:I,5,0),"")</f>
        <v/>
      </c>
      <c r="P750" s="19" t="str">
        <f t="shared" si="24"/>
        <v/>
      </c>
    </row>
    <row r="751" spans="1:16" x14ac:dyDescent="0.3">
      <c r="A751" s="19" t="str">
        <f t="shared" si="23"/>
        <v/>
      </c>
      <c r="K751" s="21" t="str">
        <f>IF(J751&lt;&gt;"",VLOOKUP(J751,HeadCount!A:I,2,0),"")</f>
        <v/>
      </c>
      <c r="L751" s="21" t="str">
        <f>IF(J751&lt;&gt;"",VLOOKUP(J751,HeadCount!A:I,5,0),"")</f>
        <v/>
      </c>
      <c r="P751" s="19" t="str">
        <f t="shared" si="24"/>
        <v/>
      </c>
    </row>
    <row r="752" spans="1:16" x14ac:dyDescent="0.3">
      <c r="A752" s="19" t="str">
        <f t="shared" si="23"/>
        <v/>
      </c>
      <c r="K752" s="21" t="str">
        <f>IF(J752&lt;&gt;"",VLOOKUP(J752,HeadCount!A:I,2,0),"")</f>
        <v/>
      </c>
      <c r="L752" s="21" t="str">
        <f>IF(J752&lt;&gt;"",VLOOKUP(J752,HeadCount!A:I,5,0),"")</f>
        <v/>
      </c>
      <c r="P752" s="19" t="str">
        <f t="shared" si="24"/>
        <v/>
      </c>
    </row>
    <row r="753" spans="1:16" x14ac:dyDescent="0.3">
      <c r="A753" s="19" t="str">
        <f t="shared" si="23"/>
        <v/>
      </c>
      <c r="K753" s="21" t="str">
        <f>IF(J753&lt;&gt;"",VLOOKUP(J753,HeadCount!A:I,2,0),"")</f>
        <v/>
      </c>
      <c r="L753" s="21" t="str">
        <f>IF(J753&lt;&gt;"",VLOOKUP(J753,HeadCount!A:I,5,0),"")</f>
        <v/>
      </c>
      <c r="P753" s="19" t="str">
        <f t="shared" si="24"/>
        <v/>
      </c>
    </row>
    <row r="754" spans="1:16" x14ac:dyDescent="0.3">
      <c r="A754" s="19" t="str">
        <f t="shared" si="23"/>
        <v/>
      </c>
      <c r="K754" s="21" t="str">
        <f>IF(J754&lt;&gt;"",VLOOKUP(J754,HeadCount!A:I,2,0),"")</f>
        <v/>
      </c>
      <c r="L754" s="21" t="str">
        <f>IF(J754&lt;&gt;"",VLOOKUP(J754,HeadCount!A:I,5,0),"")</f>
        <v/>
      </c>
      <c r="P754" s="19" t="str">
        <f t="shared" si="24"/>
        <v/>
      </c>
    </row>
    <row r="755" spans="1:16" x14ac:dyDescent="0.3">
      <c r="A755" s="19" t="str">
        <f t="shared" si="23"/>
        <v/>
      </c>
      <c r="K755" s="21" t="str">
        <f>IF(J755&lt;&gt;"",VLOOKUP(J755,HeadCount!A:I,2,0),"")</f>
        <v/>
      </c>
      <c r="L755" s="21" t="str">
        <f>IF(J755&lt;&gt;"",VLOOKUP(J755,HeadCount!A:I,5,0),"")</f>
        <v/>
      </c>
      <c r="P755" s="19" t="str">
        <f t="shared" si="24"/>
        <v/>
      </c>
    </row>
    <row r="756" spans="1:16" x14ac:dyDescent="0.3">
      <c r="A756" s="19" t="str">
        <f t="shared" si="23"/>
        <v/>
      </c>
      <c r="K756" s="21" t="str">
        <f>IF(J756&lt;&gt;"",VLOOKUP(J756,HeadCount!A:I,2,0),"")</f>
        <v/>
      </c>
      <c r="L756" s="21" t="str">
        <f>IF(J756&lt;&gt;"",VLOOKUP(J756,HeadCount!A:I,5,0),"")</f>
        <v/>
      </c>
      <c r="P756" s="19" t="str">
        <f t="shared" si="24"/>
        <v/>
      </c>
    </row>
    <row r="757" spans="1:16" x14ac:dyDescent="0.3">
      <c r="A757" s="19" t="str">
        <f t="shared" si="23"/>
        <v/>
      </c>
      <c r="K757" s="21" t="str">
        <f>IF(J757&lt;&gt;"",VLOOKUP(J757,HeadCount!A:I,2,0),"")</f>
        <v/>
      </c>
      <c r="L757" s="21" t="str">
        <f>IF(J757&lt;&gt;"",VLOOKUP(J757,HeadCount!A:I,5,0),"")</f>
        <v/>
      </c>
      <c r="P757" s="19" t="str">
        <f t="shared" si="24"/>
        <v/>
      </c>
    </row>
    <row r="758" spans="1:16" x14ac:dyDescent="0.3">
      <c r="A758" s="19" t="str">
        <f t="shared" si="23"/>
        <v/>
      </c>
      <c r="K758" s="21" t="str">
        <f>IF(J758&lt;&gt;"",VLOOKUP(J758,HeadCount!A:I,2,0),"")</f>
        <v/>
      </c>
      <c r="L758" s="21" t="str">
        <f>IF(J758&lt;&gt;"",VLOOKUP(J758,HeadCount!A:I,5,0),"")</f>
        <v/>
      </c>
      <c r="P758" s="19" t="str">
        <f t="shared" si="24"/>
        <v/>
      </c>
    </row>
    <row r="759" spans="1:16" x14ac:dyDescent="0.3">
      <c r="A759" s="19" t="str">
        <f t="shared" si="23"/>
        <v/>
      </c>
      <c r="K759" s="21" t="str">
        <f>IF(J759&lt;&gt;"",VLOOKUP(J759,HeadCount!A:I,2,0),"")</f>
        <v/>
      </c>
      <c r="L759" s="21" t="str">
        <f>IF(J759&lt;&gt;"",VLOOKUP(J759,HeadCount!A:I,5,0),"")</f>
        <v/>
      </c>
      <c r="P759" s="19" t="str">
        <f t="shared" si="24"/>
        <v/>
      </c>
    </row>
    <row r="760" spans="1:16" x14ac:dyDescent="0.3">
      <c r="A760" s="19" t="str">
        <f t="shared" si="23"/>
        <v/>
      </c>
      <c r="K760" s="21" t="str">
        <f>IF(J760&lt;&gt;"",VLOOKUP(J760,HeadCount!A:I,2,0),"")</f>
        <v/>
      </c>
      <c r="L760" s="21" t="str">
        <f>IF(J760&lt;&gt;"",VLOOKUP(J760,HeadCount!A:I,5,0),"")</f>
        <v/>
      </c>
      <c r="P760" s="19" t="str">
        <f t="shared" si="24"/>
        <v/>
      </c>
    </row>
    <row r="761" spans="1:16" x14ac:dyDescent="0.3">
      <c r="A761" s="19" t="str">
        <f t="shared" si="23"/>
        <v/>
      </c>
      <c r="K761" s="21" t="str">
        <f>IF(J761&lt;&gt;"",VLOOKUP(J761,HeadCount!A:I,2,0),"")</f>
        <v/>
      </c>
      <c r="L761" s="21" t="str">
        <f>IF(J761&lt;&gt;"",VLOOKUP(J761,HeadCount!A:I,5,0),"")</f>
        <v/>
      </c>
      <c r="P761" s="19" t="str">
        <f t="shared" si="24"/>
        <v/>
      </c>
    </row>
    <row r="762" spans="1:16" x14ac:dyDescent="0.3">
      <c r="A762" s="19" t="str">
        <f t="shared" si="23"/>
        <v/>
      </c>
      <c r="K762" s="21" t="str">
        <f>IF(J762&lt;&gt;"",VLOOKUP(J762,HeadCount!A:I,2,0),"")</f>
        <v/>
      </c>
      <c r="L762" s="21" t="str">
        <f>IF(J762&lt;&gt;"",VLOOKUP(J762,HeadCount!A:I,5,0),"")</f>
        <v/>
      </c>
      <c r="P762" s="19" t="str">
        <f t="shared" si="24"/>
        <v/>
      </c>
    </row>
    <row r="763" spans="1:16" x14ac:dyDescent="0.3">
      <c r="A763" s="19" t="str">
        <f t="shared" si="23"/>
        <v/>
      </c>
      <c r="K763" s="21" t="str">
        <f>IF(J763&lt;&gt;"",VLOOKUP(J763,HeadCount!A:I,2,0),"")</f>
        <v/>
      </c>
      <c r="L763" s="21" t="str">
        <f>IF(J763&lt;&gt;"",VLOOKUP(J763,HeadCount!A:I,5,0),"")</f>
        <v/>
      </c>
      <c r="P763" s="19" t="str">
        <f t="shared" si="24"/>
        <v/>
      </c>
    </row>
    <row r="764" spans="1:16" x14ac:dyDescent="0.3">
      <c r="A764" s="19" t="str">
        <f t="shared" si="23"/>
        <v/>
      </c>
      <c r="K764" s="21" t="str">
        <f>IF(J764&lt;&gt;"",VLOOKUP(J764,HeadCount!A:I,2,0),"")</f>
        <v/>
      </c>
      <c r="L764" s="21" t="str">
        <f>IF(J764&lt;&gt;"",VLOOKUP(J764,HeadCount!A:I,5,0),"")</f>
        <v/>
      </c>
      <c r="P764" s="19" t="str">
        <f t="shared" si="24"/>
        <v/>
      </c>
    </row>
    <row r="765" spans="1:16" x14ac:dyDescent="0.3">
      <c r="A765" s="19" t="str">
        <f t="shared" si="23"/>
        <v/>
      </c>
      <c r="K765" s="21" t="str">
        <f>IF(J765&lt;&gt;"",VLOOKUP(J765,HeadCount!A:I,2,0),"")</f>
        <v/>
      </c>
      <c r="L765" s="21" t="str">
        <f>IF(J765&lt;&gt;"",VLOOKUP(J765,HeadCount!A:I,5,0),"")</f>
        <v/>
      </c>
      <c r="P765" s="19" t="str">
        <f t="shared" si="24"/>
        <v/>
      </c>
    </row>
    <row r="766" spans="1:16" x14ac:dyDescent="0.3">
      <c r="A766" s="19" t="str">
        <f t="shared" si="23"/>
        <v/>
      </c>
      <c r="K766" s="21" t="str">
        <f>IF(J766&lt;&gt;"",VLOOKUP(J766,HeadCount!A:I,2,0),"")</f>
        <v/>
      </c>
      <c r="L766" s="21" t="str">
        <f>IF(J766&lt;&gt;"",VLOOKUP(J766,HeadCount!A:I,5,0),"")</f>
        <v/>
      </c>
      <c r="P766" s="19" t="str">
        <f t="shared" si="24"/>
        <v/>
      </c>
    </row>
    <row r="767" spans="1:16" x14ac:dyDescent="0.3">
      <c r="A767" s="19" t="str">
        <f t="shared" si="23"/>
        <v/>
      </c>
      <c r="K767" s="21" t="str">
        <f>IF(J767&lt;&gt;"",VLOOKUP(J767,HeadCount!A:I,2,0),"")</f>
        <v/>
      </c>
      <c r="L767" s="21" t="str">
        <f>IF(J767&lt;&gt;"",VLOOKUP(J767,HeadCount!A:I,5,0),"")</f>
        <v/>
      </c>
      <c r="P767" s="19" t="str">
        <f t="shared" si="24"/>
        <v/>
      </c>
    </row>
    <row r="768" spans="1:16" x14ac:dyDescent="0.3">
      <c r="A768" s="19" t="str">
        <f t="shared" si="23"/>
        <v/>
      </c>
      <c r="K768" s="21" t="str">
        <f>IF(J768&lt;&gt;"",VLOOKUP(J768,HeadCount!A:I,2,0),"")</f>
        <v/>
      </c>
      <c r="L768" s="21" t="str">
        <f>IF(J768&lt;&gt;"",VLOOKUP(J768,HeadCount!A:I,5,0),"")</f>
        <v/>
      </c>
      <c r="P768" s="19" t="str">
        <f t="shared" si="24"/>
        <v/>
      </c>
    </row>
    <row r="769" spans="1:16" x14ac:dyDescent="0.3">
      <c r="A769" s="19" t="str">
        <f t="shared" si="23"/>
        <v/>
      </c>
      <c r="K769" s="21" t="str">
        <f>IF(J769&lt;&gt;"",VLOOKUP(J769,HeadCount!A:I,2,0),"")</f>
        <v/>
      </c>
      <c r="L769" s="21" t="str">
        <f>IF(J769&lt;&gt;"",VLOOKUP(J769,HeadCount!A:I,5,0),"")</f>
        <v/>
      </c>
      <c r="P769" s="19" t="str">
        <f t="shared" si="24"/>
        <v/>
      </c>
    </row>
    <row r="770" spans="1:16" x14ac:dyDescent="0.3">
      <c r="A770" s="19" t="str">
        <f t="shared" ref="A770:A833" si="25">IF(C770&lt;&gt;"",ROW(A769),"")</f>
        <v/>
      </c>
      <c r="K770" s="21" t="str">
        <f>IF(J770&lt;&gt;"",VLOOKUP(J770,HeadCount!A:I,2,0),"")</f>
        <v/>
      </c>
      <c r="L770" s="21" t="str">
        <f>IF(J770&lt;&gt;"",VLOOKUP(J770,HeadCount!A:I,5,0),"")</f>
        <v/>
      </c>
      <c r="P770" s="19" t="str">
        <f t="shared" si="24"/>
        <v/>
      </c>
    </row>
    <row r="771" spans="1:16" x14ac:dyDescent="0.3">
      <c r="A771" s="19" t="str">
        <f t="shared" si="25"/>
        <v/>
      </c>
      <c r="K771" s="21" t="str">
        <f>IF(J771&lt;&gt;"",VLOOKUP(J771,HeadCount!A:I,2,0),"")</f>
        <v/>
      </c>
      <c r="L771" s="21" t="str">
        <f>IF(J771&lt;&gt;"",VLOOKUP(J771,HeadCount!A:I,5,0),"")</f>
        <v/>
      </c>
      <c r="P771" s="19" t="str">
        <f t="shared" ref="P771:P834" si="26">IF(N771="","",(O771-N771)+1)</f>
        <v/>
      </c>
    </row>
    <row r="772" spans="1:16" x14ac:dyDescent="0.3">
      <c r="A772" s="19" t="str">
        <f t="shared" si="25"/>
        <v/>
      </c>
      <c r="K772" s="21" t="str">
        <f>IF(J772&lt;&gt;"",VLOOKUP(J772,HeadCount!A:I,2,0),"")</f>
        <v/>
      </c>
      <c r="L772" s="21" t="str">
        <f>IF(J772&lt;&gt;"",VLOOKUP(J772,HeadCount!A:I,5,0),"")</f>
        <v/>
      </c>
      <c r="P772" s="19" t="str">
        <f t="shared" si="26"/>
        <v/>
      </c>
    </row>
    <row r="773" spans="1:16" x14ac:dyDescent="0.3">
      <c r="A773" s="19" t="str">
        <f t="shared" si="25"/>
        <v/>
      </c>
      <c r="K773" s="21" t="str">
        <f>IF(J773&lt;&gt;"",VLOOKUP(J773,HeadCount!A:I,2,0),"")</f>
        <v/>
      </c>
      <c r="L773" s="21" t="str">
        <f>IF(J773&lt;&gt;"",VLOOKUP(J773,HeadCount!A:I,5,0),"")</f>
        <v/>
      </c>
      <c r="P773" s="19" t="str">
        <f t="shared" si="26"/>
        <v/>
      </c>
    </row>
    <row r="774" spans="1:16" x14ac:dyDescent="0.3">
      <c r="A774" s="19" t="str">
        <f t="shared" si="25"/>
        <v/>
      </c>
      <c r="K774" s="21" t="str">
        <f>IF(J774&lt;&gt;"",VLOOKUP(J774,HeadCount!A:I,2,0),"")</f>
        <v/>
      </c>
      <c r="L774" s="21" t="str">
        <f>IF(J774&lt;&gt;"",VLOOKUP(J774,HeadCount!A:I,5,0),"")</f>
        <v/>
      </c>
      <c r="P774" s="19" t="str">
        <f t="shared" si="26"/>
        <v/>
      </c>
    </row>
    <row r="775" spans="1:16" x14ac:dyDescent="0.3">
      <c r="A775" s="19" t="str">
        <f t="shared" si="25"/>
        <v/>
      </c>
      <c r="K775" s="21" t="str">
        <f>IF(J775&lt;&gt;"",VLOOKUP(J775,HeadCount!A:I,2,0),"")</f>
        <v/>
      </c>
      <c r="L775" s="21" t="str">
        <f>IF(J775&lt;&gt;"",VLOOKUP(J775,HeadCount!A:I,5,0),"")</f>
        <v/>
      </c>
      <c r="P775" s="19" t="str">
        <f t="shared" si="26"/>
        <v/>
      </c>
    </row>
    <row r="776" spans="1:16" x14ac:dyDescent="0.3">
      <c r="A776" s="19" t="str">
        <f t="shared" si="25"/>
        <v/>
      </c>
      <c r="K776" s="21" t="str">
        <f>IF(J776&lt;&gt;"",VLOOKUP(J776,HeadCount!A:I,2,0),"")</f>
        <v/>
      </c>
      <c r="L776" s="21" t="str">
        <f>IF(J776&lt;&gt;"",VLOOKUP(J776,HeadCount!A:I,5,0),"")</f>
        <v/>
      </c>
      <c r="P776" s="19" t="str">
        <f t="shared" si="26"/>
        <v/>
      </c>
    </row>
    <row r="777" spans="1:16" x14ac:dyDescent="0.3">
      <c r="A777" s="19" t="str">
        <f t="shared" si="25"/>
        <v/>
      </c>
      <c r="K777" s="21" t="str">
        <f>IF(J777&lt;&gt;"",VLOOKUP(J777,HeadCount!A:I,2,0),"")</f>
        <v/>
      </c>
      <c r="L777" s="21" t="str">
        <f>IF(J777&lt;&gt;"",VLOOKUP(J777,HeadCount!A:I,5,0),"")</f>
        <v/>
      </c>
      <c r="P777" s="19" t="str">
        <f t="shared" si="26"/>
        <v/>
      </c>
    </row>
    <row r="778" spans="1:16" x14ac:dyDescent="0.3">
      <c r="A778" s="19" t="str">
        <f t="shared" si="25"/>
        <v/>
      </c>
      <c r="K778" s="21" t="str">
        <f>IF(J778&lt;&gt;"",VLOOKUP(J778,HeadCount!A:I,2,0),"")</f>
        <v/>
      </c>
      <c r="L778" s="21" t="str">
        <f>IF(J778&lt;&gt;"",VLOOKUP(J778,HeadCount!A:I,5,0),"")</f>
        <v/>
      </c>
      <c r="P778" s="19" t="str">
        <f t="shared" si="26"/>
        <v/>
      </c>
    </row>
    <row r="779" spans="1:16" x14ac:dyDescent="0.3">
      <c r="A779" s="19" t="str">
        <f t="shared" si="25"/>
        <v/>
      </c>
      <c r="K779" s="21" t="str">
        <f>IF(J779&lt;&gt;"",VLOOKUP(J779,HeadCount!A:I,2,0),"")</f>
        <v/>
      </c>
      <c r="L779" s="21" t="str">
        <f>IF(J779&lt;&gt;"",VLOOKUP(J779,HeadCount!A:I,5,0),"")</f>
        <v/>
      </c>
      <c r="P779" s="19" t="str">
        <f t="shared" si="26"/>
        <v/>
      </c>
    </row>
    <row r="780" spans="1:16" x14ac:dyDescent="0.3">
      <c r="A780" s="19" t="str">
        <f t="shared" si="25"/>
        <v/>
      </c>
      <c r="K780" s="21" t="str">
        <f>IF(J780&lt;&gt;"",VLOOKUP(J780,HeadCount!A:I,2,0),"")</f>
        <v/>
      </c>
      <c r="L780" s="21" t="str">
        <f>IF(J780&lt;&gt;"",VLOOKUP(J780,HeadCount!A:I,5,0),"")</f>
        <v/>
      </c>
      <c r="P780" s="19" t="str">
        <f t="shared" si="26"/>
        <v/>
      </c>
    </row>
    <row r="781" spans="1:16" x14ac:dyDescent="0.3">
      <c r="A781" s="19" t="str">
        <f t="shared" si="25"/>
        <v/>
      </c>
      <c r="K781" s="21" t="str">
        <f>IF(J781&lt;&gt;"",VLOOKUP(J781,HeadCount!A:I,2,0),"")</f>
        <v/>
      </c>
      <c r="L781" s="21" t="str">
        <f>IF(J781&lt;&gt;"",VLOOKUP(J781,HeadCount!A:I,5,0),"")</f>
        <v/>
      </c>
      <c r="P781" s="19" t="str">
        <f t="shared" si="26"/>
        <v/>
      </c>
    </row>
    <row r="782" spans="1:16" x14ac:dyDescent="0.3">
      <c r="A782" s="19" t="str">
        <f t="shared" si="25"/>
        <v/>
      </c>
      <c r="K782" s="21" t="str">
        <f>IF(J782&lt;&gt;"",VLOOKUP(J782,HeadCount!A:I,2,0),"")</f>
        <v/>
      </c>
      <c r="L782" s="21" t="str">
        <f>IF(J782&lt;&gt;"",VLOOKUP(J782,HeadCount!A:I,5,0),"")</f>
        <v/>
      </c>
      <c r="P782" s="19" t="str">
        <f t="shared" si="26"/>
        <v/>
      </c>
    </row>
    <row r="783" spans="1:16" x14ac:dyDescent="0.3">
      <c r="A783" s="19" t="str">
        <f t="shared" si="25"/>
        <v/>
      </c>
      <c r="K783" s="21" t="str">
        <f>IF(J783&lt;&gt;"",VLOOKUP(J783,HeadCount!A:I,2,0),"")</f>
        <v/>
      </c>
      <c r="L783" s="21" t="str">
        <f>IF(J783&lt;&gt;"",VLOOKUP(J783,HeadCount!A:I,5,0),"")</f>
        <v/>
      </c>
      <c r="P783" s="19" t="str">
        <f t="shared" si="26"/>
        <v/>
      </c>
    </row>
    <row r="784" spans="1:16" x14ac:dyDescent="0.3">
      <c r="A784" s="19" t="str">
        <f t="shared" si="25"/>
        <v/>
      </c>
      <c r="K784" s="21" t="str">
        <f>IF(J784&lt;&gt;"",VLOOKUP(J784,HeadCount!A:I,2,0),"")</f>
        <v/>
      </c>
      <c r="L784" s="21" t="str">
        <f>IF(J784&lt;&gt;"",VLOOKUP(J784,HeadCount!A:I,5,0),"")</f>
        <v/>
      </c>
      <c r="P784" s="19" t="str">
        <f t="shared" si="26"/>
        <v/>
      </c>
    </row>
    <row r="785" spans="1:16" x14ac:dyDescent="0.3">
      <c r="A785" s="19" t="str">
        <f t="shared" si="25"/>
        <v/>
      </c>
      <c r="K785" s="21" t="str">
        <f>IF(J785&lt;&gt;"",VLOOKUP(J785,HeadCount!A:I,2,0),"")</f>
        <v/>
      </c>
      <c r="L785" s="21" t="str">
        <f>IF(J785&lt;&gt;"",VLOOKUP(J785,HeadCount!A:I,5,0),"")</f>
        <v/>
      </c>
      <c r="P785" s="19" t="str">
        <f t="shared" si="26"/>
        <v/>
      </c>
    </row>
    <row r="786" spans="1:16" x14ac:dyDescent="0.3">
      <c r="A786" s="19" t="str">
        <f t="shared" si="25"/>
        <v/>
      </c>
      <c r="K786" s="21" t="str">
        <f>IF(J786&lt;&gt;"",VLOOKUP(J786,HeadCount!A:I,2,0),"")</f>
        <v/>
      </c>
      <c r="L786" s="21" t="str">
        <f>IF(J786&lt;&gt;"",VLOOKUP(J786,HeadCount!A:I,5,0),"")</f>
        <v/>
      </c>
      <c r="P786" s="19" t="str">
        <f t="shared" si="26"/>
        <v/>
      </c>
    </row>
    <row r="787" spans="1:16" x14ac:dyDescent="0.3">
      <c r="A787" s="19" t="str">
        <f t="shared" si="25"/>
        <v/>
      </c>
      <c r="K787" s="21" t="str">
        <f>IF(J787&lt;&gt;"",VLOOKUP(J787,HeadCount!A:I,2,0),"")</f>
        <v/>
      </c>
      <c r="L787" s="21" t="str">
        <f>IF(J787&lt;&gt;"",VLOOKUP(J787,HeadCount!A:I,5,0),"")</f>
        <v/>
      </c>
      <c r="P787" s="19" t="str">
        <f t="shared" si="26"/>
        <v/>
      </c>
    </row>
    <row r="788" spans="1:16" x14ac:dyDescent="0.3">
      <c r="A788" s="19" t="str">
        <f t="shared" si="25"/>
        <v/>
      </c>
      <c r="K788" s="21" t="str">
        <f>IF(J788&lt;&gt;"",VLOOKUP(J788,HeadCount!A:I,2,0),"")</f>
        <v/>
      </c>
      <c r="L788" s="21" t="str">
        <f>IF(J788&lt;&gt;"",VLOOKUP(J788,HeadCount!A:I,5,0),"")</f>
        <v/>
      </c>
      <c r="P788" s="19" t="str">
        <f t="shared" si="26"/>
        <v/>
      </c>
    </row>
    <row r="789" spans="1:16" x14ac:dyDescent="0.3">
      <c r="A789" s="19" t="str">
        <f t="shared" si="25"/>
        <v/>
      </c>
      <c r="K789" s="21" t="str">
        <f>IF(J789&lt;&gt;"",VLOOKUP(J789,HeadCount!A:I,2,0),"")</f>
        <v/>
      </c>
      <c r="L789" s="21" t="str">
        <f>IF(J789&lt;&gt;"",VLOOKUP(J789,HeadCount!A:I,5,0),"")</f>
        <v/>
      </c>
      <c r="P789" s="19" t="str">
        <f t="shared" si="26"/>
        <v/>
      </c>
    </row>
    <row r="790" spans="1:16" x14ac:dyDescent="0.3">
      <c r="A790" s="19" t="str">
        <f t="shared" si="25"/>
        <v/>
      </c>
      <c r="K790" s="21" t="str">
        <f>IF(J790&lt;&gt;"",VLOOKUP(J790,HeadCount!A:I,2,0),"")</f>
        <v/>
      </c>
      <c r="L790" s="21" t="str">
        <f>IF(J790&lt;&gt;"",VLOOKUP(J790,HeadCount!A:I,5,0),"")</f>
        <v/>
      </c>
      <c r="P790" s="19" t="str">
        <f t="shared" si="26"/>
        <v/>
      </c>
    </row>
    <row r="791" spans="1:16" x14ac:dyDescent="0.3">
      <c r="A791" s="19" t="str">
        <f t="shared" si="25"/>
        <v/>
      </c>
      <c r="K791" s="21" t="str">
        <f>IF(J791&lt;&gt;"",VLOOKUP(J791,HeadCount!A:I,2,0),"")</f>
        <v/>
      </c>
      <c r="L791" s="21" t="str">
        <f>IF(J791&lt;&gt;"",VLOOKUP(J791,HeadCount!A:I,5,0),"")</f>
        <v/>
      </c>
      <c r="P791" s="19" t="str">
        <f t="shared" si="26"/>
        <v/>
      </c>
    </row>
    <row r="792" spans="1:16" x14ac:dyDescent="0.3">
      <c r="A792" s="19" t="str">
        <f t="shared" si="25"/>
        <v/>
      </c>
      <c r="K792" s="21" t="str">
        <f>IF(J792&lt;&gt;"",VLOOKUP(J792,HeadCount!A:I,2,0),"")</f>
        <v/>
      </c>
      <c r="L792" s="21" t="str">
        <f>IF(J792&lt;&gt;"",VLOOKUP(J792,HeadCount!A:I,5,0),"")</f>
        <v/>
      </c>
      <c r="P792" s="19" t="str">
        <f t="shared" si="26"/>
        <v/>
      </c>
    </row>
    <row r="793" spans="1:16" x14ac:dyDescent="0.3">
      <c r="A793" s="19" t="str">
        <f t="shared" si="25"/>
        <v/>
      </c>
      <c r="K793" s="21" t="str">
        <f>IF(J793&lt;&gt;"",VLOOKUP(J793,HeadCount!A:I,2,0),"")</f>
        <v/>
      </c>
      <c r="L793" s="21" t="str">
        <f>IF(J793&lt;&gt;"",VLOOKUP(J793,HeadCount!A:I,5,0),"")</f>
        <v/>
      </c>
      <c r="P793" s="19" t="str">
        <f t="shared" si="26"/>
        <v/>
      </c>
    </row>
    <row r="794" spans="1:16" x14ac:dyDescent="0.3">
      <c r="A794" s="19" t="str">
        <f t="shared" si="25"/>
        <v/>
      </c>
      <c r="K794" s="21" t="str">
        <f>IF(J794&lt;&gt;"",VLOOKUP(J794,HeadCount!A:I,2,0),"")</f>
        <v/>
      </c>
      <c r="L794" s="21" t="str">
        <f>IF(J794&lt;&gt;"",VLOOKUP(J794,HeadCount!A:I,5,0),"")</f>
        <v/>
      </c>
      <c r="P794" s="19" t="str">
        <f t="shared" si="26"/>
        <v/>
      </c>
    </row>
    <row r="795" spans="1:16" x14ac:dyDescent="0.3">
      <c r="A795" s="19" t="str">
        <f t="shared" si="25"/>
        <v/>
      </c>
      <c r="K795" s="21" t="str">
        <f>IF(J795&lt;&gt;"",VLOOKUP(J795,HeadCount!A:I,2,0),"")</f>
        <v/>
      </c>
      <c r="L795" s="21" t="str">
        <f>IF(J795&lt;&gt;"",VLOOKUP(J795,HeadCount!A:I,5,0),"")</f>
        <v/>
      </c>
      <c r="P795" s="19" t="str">
        <f t="shared" si="26"/>
        <v/>
      </c>
    </row>
    <row r="796" spans="1:16" x14ac:dyDescent="0.3">
      <c r="A796" s="19" t="str">
        <f t="shared" si="25"/>
        <v/>
      </c>
      <c r="K796" s="21" t="str">
        <f>IF(J796&lt;&gt;"",VLOOKUP(J796,HeadCount!A:I,2,0),"")</f>
        <v/>
      </c>
      <c r="L796" s="21" t="str">
        <f>IF(J796&lt;&gt;"",VLOOKUP(J796,HeadCount!A:I,5,0),"")</f>
        <v/>
      </c>
      <c r="P796" s="19" t="str">
        <f t="shared" si="26"/>
        <v/>
      </c>
    </row>
    <row r="797" spans="1:16" x14ac:dyDescent="0.3">
      <c r="A797" s="19" t="str">
        <f t="shared" si="25"/>
        <v/>
      </c>
      <c r="K797" s="21" t="str">
        <f>IF(J797&lt;&gt;"",VLOOKUP(J797,HeadCount!A:I,2,0),"")</f>
        <v/>
      </c>
      <c r="L797" s="21" t="str">
        <f>IF(J797&lt;&gt;"",VLOOKUP(J797,HeadCount!A:I,5,0),"")</f>
        <v/>
      </c>
      <c r="P797" s="19" t="str">
        <f t="shared" si="26"/>
        <v/>
      </c>
    </row>
    <row r="798" spans="1:16" x14ac:dyDescent="0.3">
      <c r="A798" s="19" t="str">
        <f t="shared" si="25"/>
        <v/>
      </c>
      <c r="K798" s="21" t="str">
        <f>IF(J798&lt;&gt;"",VLOOKUP(J798,HeadCount!A:I,2,0),"")</f>
        <v/>
      </c>
      <c r="L798" s="21" t="str">
        <f>IF(J798&lt;&gt;"",VLOOKUP(J798,HeadCount!A:I,5,0),"")</f>
        <v/>
      </c>
      <c r="P798" s="19" t="str">
        <f t="shared" si="26"/>
        <v/>
      </c>
    </row>
    <row r="799" spans="1:16" x14ac:dyDescent="0.3">
      <c r="A799" s="19" t="str">
        <f t="shared" si="25"/>
        <v/>
      </c>
      <c r="K799" s="21" t="str">
        <f>IF(J799&lt;&gt;"",VLOOKUP(J799,HeadCount!A:I,2,0),"")</f>
        <v/>
      </c>
      <c r="L799" s="21" t="str">
        <f>IF(J799&lt;&gt;"",VLOOKUP(J799,HeadCount!A:I,5,0),"")</f>
        <v/>
      </c>
      <c r="P799" s="19" t="str">
        <f t="shared" si="26"/>
        <v/>
      </c>
    </row>
    <row r="800" spans="1:16" x14ac:dyDescent="0.3">
      <c r="A800" s="19" t="str">
        <f t="shared" si="25"/>
        <v/>
      </c>
      <c r="K800" s="21" t="str">
        <f>IF(J800&lt;&gt;"",VLOOKUP(J800,HeadCount!A:I,2,0),"")</f>
        <v/>
      </c>
      <c r="L800" s="21" t="str">
        <f>IF(J800&lt;&gt;"",VLOOKUP(J800,HeadCount!A:I,5,0),"")</f>
        <v/>
      </c>
      <c r="P800" s="19" t="str">
        <f t="shared" si="26"/>
        <v/>
      </c>
    </row>
    <row r="801" spans="1:16" x14ac:dyDescent="0.3">
      <c r="A801" s="19" t="str">
        <f t="shared" si="25"/>
        <v/>
      </c>
      <c r="K801" s="21" t="str">
        <f>IF(J801&lt;&gt;"",VLOOKUP(J801,HeadCount!A:I,2,0),"")</f>
        <v/>
      </c>
      <c r="L801" s="21" t="str">
        <f>IF(J801&lt;&gt;"",VLOOKUP(J801,HeadCount!A:I,5,0),"")</f>
        <v/>
      </c>
      <c r="P801" s="19" t="str">
        <f t="shared" si="26"/>
        <v/>
      </c>
    </row>
    <row r="802" spans="1:16" x14ac:dyDescent="0.3">
      <c r="A802" s="19" t="str">
        <f t="shared" si="25"/>
        <v/>
      </c>
      <c r="K802" s="21" t="str">
        <f>IF(J802&lt;&gt;"",VLOOKUP(J802,HeadCount!A:I,2,0),"")</f>
        <v/>
      </c>
      <c r="L802" s="21" t="str">
        <f>IF(J802&lt;&gt;"",VLOOKUP(J802,HeadCount!A:I,5,0),"")</f>
        <v/>
      </c>
      <c r="P802" s="19" t="str">
        <f t="shared" si="26"/>
        <v/>
      </c>
    </row>
    <row r="803" spans="1:16" x14ac:dyDescent="0.3">
      <c r="A803" s="19" t="str">
        <f t="shared" si="25"/>
        <v/>
      </c>
      <c r="K803" s="21" t="str">
        <f>IF(J803&lt;&gt;"",VLOOKUP(J803,HeadCount!A:I,2,0),"")</f>
        <v/>
      </c>
      <c r="L803" s="21" t="str">
        <f>IF(J803&lt;&gt;"",VLOOKUP(J803,HeadCount!A:I,5,0),"")</f>
        <v/>
      </c>
      <c r="P803" s="19" t="str">
        <f t="shared" si="26"/>
        <v/>
      </c>
    </row>
    <row r="804" spans="1:16" x14ac:dyDescent="0.3">
      <c r="A804" s="19" t="str">
        <f t="shared" si="25"/>
        <v/>
      </c>
      <c r="K804" s="21" t="str">
        <f>IF(J804&lt;&gt;"",VLOOKUP(J804,HeadCount!A:I,2,0),"")</f>
        <v/>
      </c>
      <c r="L804" s="21" t="str">
        <f>IF(J804&lt;&gt;"",VLOOKUP(J804,HeadCount!A:I,5,0),"")</f>
        <v/>
      </c>
      <c r="P804" s="19" t="str">
        <f t="shared" si="26"/>
        <v/>
      </c>
    </row>
    <row r="805" spans="1:16" x14ac:dyDescent="0.3">
      <c r="A805" s="19" t="str">
        <f t="shared" si="25"/>
        <v/>
      </c>
      <c r="K805" s="21" t="str">
        <f>IF(J805&lt;&gt;"",VLOOKUP(J805,HeadCount!A:I,2,0),"")</f>
        <v/>
      </c>
      <c r="L805" s="21" t="str">
        <f>IF(J805&lt;&gt;"",VLOOKUP(J805,HeadCount!A:I,5,0),"")</f>
        <v/>
      </c>
      <c r="P805" s="19" t="str">
        <f t="shared" si="26"/>
        <v/>
      </c>
    </row>
    <row r="806" spans="1:16" x14ac:dyDescent="0.3">
      <c r="A806" s="19" t="str">
        <f t="shared" si="25"/>
        <v/>
      </c>
      <c r="K806" s="21" t="str">
        <f>IF(J806&lt;&gt;"",VLOOKUP(J806,HeadCount!A:I,2,0),"")</f>
        <v/>
      </c>
      <c r="L806" s="21" t="str">
        <f>IF(J806&lt;&gt;"",VLOOKUP(J806,HeadCount!A:I,5,0),"")</f>
        <v/>
      </c>
      <c r="P806" s="19" t="str">
        <f t="shared" si="26"/>
        <v/>
      </c>
    </row>
    <row r="807" spans="1:16" x14ac:dyDescent="0.3">
      <c r="A807" s="19" t="str">
        <f t="shared" si="25"/>
        <v/>
      </c>
      <c r="K807" s="21" t="str">
        <f>IF(J807&lt;&gt;"",VLOOKUP(J807,HeadCount!A:I,2,0),"")</f>
        <v/>
      </c>
      <c r="L807" s="21" t="str">
        <f>IF(J807&lt;&gt;"",VLOOKUP(J807,HeadCount!A:I,5,0),"")</f>
        <v/>
      </c>
      <c r="P807" s="19" t="str">
        <f t="shared" si="26"/>
        <v/>
      </c>
    </row>
    <row r="808" spans="1:16" x14ac:dyDescent="0.3">
      <c r="A808" s="19" t="str">
        <f t="shared" si="25"/>
        <v/>
      </c>
      <c r="K808" s="21" t="str">
        <f>IF(J808&lt;&gt;"",VLOOKUP(J808,HeadCount!A:I,2,0),"")</f>
        <v/>
      </c>
      <c r="L808" s="21" t="str">
        <f>IF(J808&lt;&gt;"",VLOOKUP(J808,HeadCount!A:I,5,0),"")</f>
        <v/>
      </c>
      <c r="P808" s="19" t="str">
        <f t="shared" si="26"/>
        <v/>
      </c>
    </row>
    <row r="809" spans="1:16" x14ac:dyDescent="0.3">
      <c r="A809" s="19" t="str">
        <f t="shared" si="25"/>
        <v/>
      </c>
      <c r="K809" s="21" t="str">
        <f>IF(J809&lt;&gt;"",VLOOKUP(J809,HeadCount!A:I,2,0),"")</f>
        <v/>
      </c>
      <c r="L809" s="21" t="str">
        <f>IF(J809&lt;&gt;"",VLOOKUP(J809,HeadCount!A:I,5,0),"")</f>
        <v/>
      </c>
      <c r="P809" s="19" t="str">
        <f t="shared" si="26"/>
        <v/>
      </c>
    </row>
    <row r="810" spans="1:16" x14ac:dyDescent="0.3">
      <c r="A810" s="19" t="str">
        <f t="shared" si="25"/>
        <v/>
      </c>
      <c r="K810" s="21" t="str">
        <f>IF(J810&lt;&gt;"",VLOOKUP(J810,HeadCount!A:I,2,0),"")</f>
        <v/>
      </c>
      <c r="L810" s="21" t="str">
        <f>IF(J810&lt;&gt;"",VLOOKUP(J810,HeadCount!A:I,5,0),"")</f>
        <v/>
      </c>
      <c r="P810" s="19" t="str">
        <f t="shared" si="26"/>
        <v/>
      </c>
    </row>
    <row r="811" spans="1:16" x14ac:dyDescent="0.3">
      <c r="A811" s="19" t="str">
        <f t="shared" si="25"/>
        <v/>
      </c>
      <c r="K811" s="21" t="str">
        <f>IF(J811&lt;&gt;"",VLOOKUP(J811,HeadCount!A:I,2,0),"")</f>
        <v/>
      </c>
      <c r="L811" s="21" t="str">
        <f>IF(J811&lt;&gt;"",VLOOKUP(J811,HeadCount!A:I,5,0),"")</f>
        <v/>
      </c>
      <c r="P811" s="19" t="str">
        <f t="shared" si="26"/>
        <v/>
      </c>
    </row>
    <row r="812" spans="1:16" x14ac:dyDescent="0.3">
      <c r="A812" s="19" t="str">
        <f t="shared" si="25"/>
        <v/>
      </c>
      <c r="K812" s="21" t="str">
        <f>IF(J812&lt;&gt;"",VLOOKUP(J812,HeadCount!A:I,2,0),"")</f>
        <v/>
      </c>
      <c r="L812" s="21" t="str">
        <f>IF(J812&lt;&gt;"",VLOOKUP(J812,HeadCount!A:I,5,0),"")</f>
        <v/>
      </c>
      <c r="P812" s="19" t="str">
        <f t="shared" si="26"/>
        <v/>
      </c>
    </row>
    <row r="813" spans="1:16" x14ac:dyDescent="0.3">
      <c r="A813" s="19" t="str">
        <f t="shared" si="25"/>
        <v/>
      </c>
      <c r="K813" s="21" t="str">
        <f>IF(J813&lt;&gt;"",VLOOKUP(J813,HeadCount!A:I,2,0),"")</f>
        <v/>
      </c>
      <c r="L813" s="21" t="str">
        <f>IF(J813&lt;&gt;"",VLOOKUP(J813,HeadCount!A:I,5,0),"")</f>
        <v/>
      </c>
      <c r="P813" s="19" t="str">
        <f t="shared" si="26"/>
        <v/>
      </c>
    </row>
    <row r="814" spans="1:16" x14ac:dyDescent="0.3">
      <c r="A814" s="19" t="str">
        <f t="shared" si="25"/>
        <v/>
      </c>
      <c r="K814" s="21" t="str">
        <f>IF(J814&lt;&gt;"",VLOOKUP(J814,HeadCount!A:I,2,0),"")</f>
        <v/>
      </c>
      <c r="L814" s="21" t="str">
        <f>IF(J814&lt;&gt;"",VLOOKUP(J814,HeadCount!A:I,5,0),"")</f>
        <v/>
      </c>
      <c r="P814" s="19" t="str">
        <f t="shared" si="26"/>
        <v/>
      </c>
    </row>
    <row r="815" spans="1:16" x14ac:dyDescent="0.3">
      <c r="A815" s="19" t="str">
        <f t="shared" si="25"/>
        <v/>
      </c>
      <c r="K815" s="21" t="str">
        <f>IF(J815&lt;&gt;"",VLOOKUP(J815,HeadCount!A:I,2,0),"")</f>
        <v/>
      </c>
      <c r="L815" s="21" t="str">
        <f>IF(J815&lt;&gt;"",VLOOKUP(J815,HeadCount!A:I,5,0),"")</f>
        <v/>
      </c>
      <c r="P815" s="19" t="str">
        <f t="shared" si="26"/>
        <v/>
      </c>
    </row>
    <row r="816" spans="1:16" x14ac:dyDescent="0.3">
      <c r="A816" s="19" t="str">
        <f t="shared" si="25"/>
        <v/>
      </c>
      <c r="K816" s="21" t="str">
        <f>IF(J816&lt;&gt;"",VLOOKUP(J816,HeadCount!A:I,2,0),"")</f>
        <v/>
      </c>
      <c r="L816" s="21" t="str">
        <f>IF(J816&lt;&gt;"",VLOOKUP(J816,HeadCount!A:I,5,0),"")</f>
        <v/>
      </c>
      <c r="P816" s="19" t="str">
        <f t="shared" si="26"/>
        <v/>
      </c>
    </row>
    <row r="817" spans="1:16" x14ac:dyDescent="0.3">
      <c r="A817" s="19" t="str">
        <f t="shared" si="25"/>
        <v/>
      </c>
      <c r="K817" s="21" t="str">
        <f>IF(J817&lt;&gt;"",VLOOKUP(J817,HeadCount!A:I,2,0),"")</f>
        <v/>
      </c>
      <c r="L817" s="21" t="str">
        <f>IF(J817&lt;&gt;"",VLOOKUP(J817,HeadCount!A:I,5,0),"")</f>
        <v/>
      </c>
      <c r="P817" s="19" t="str">
        <f t="shared" si="26"/>
        <v/>
      </c>
    </row>
    <row r="818" spans="1:16" x14ac:dyDescent="0.3">
      <c r="A818" s="19" t="str">
        <f t="shared" si="25"/>
        <v/>
      </c>
      <c r="K818" s="21" t="str">
        <f>IF(J818&lt;&gt;"",VLOOKUP(J818,HeadCount!A:I,2,0),"")</f>
        <v/>
      </c>
      <c r="L818" s="21" t="str">
        <f>IF(J818&lt;&gt;"",VLOOKUP(J818,HeadCount!A:I,5,0),"")</f>
        <v/>
      </c>
      <c r="P818" s="19" t="str">
        <f t="shared" si="26"/>
        <v/>
      </c>
    </row>
    <row r="819" spans="1:16" x14ac:dyDescent="0.3">
      <c r="A819" s="19" t="str">
        <f t="shared" si="25"/>
        <v/>
      </c>
      <c r="K819" s="21" t="str">
        <f>IF(J819&lt;&gt;"",VLOOKUP(J819,HeadCount!A:I,2,0),"")</f>
        <v/>
      </c>
      <c r="L819" s="21" t="str">
        <f>IF(J819&lt;&gt;"",VLOOKUP(J819,HeadCount!A:I,5,0),"")</f>
        <v/>
      </c>
      <c r="P819" s="19" t="str">
        <f t="shared" si="26"/>
        <v/>
      </c>
    </row>
    <row r="820" spans="1:16" x14ac:dyDescent="0.3">
      <c r="A820" s="19" t="str">
        <f t="shared" si="25"/>
        <v/>
      </c>
      <c r="K820" s="21" t="str">
        <f>IF(J820&lt;&gt;"",VLOOKUP(J820,HeadCount!A:I,2,0),"")</f>
        <v/>
      </c>
      <c r="L820" s="21" t="str">
        <f>IF(J820&lt;&gt;"",VLOOKUP(J820,HeadCount!A:I,5,0),"")</f>
        <v/>
      </c>
      <c r="P820" s="19" t="str">
        <f t="shared" si="26"/>
        <v/>
      </c>
    </row>
    <row r="821" spans="1:16" x14ac:dyDescent="0.3">
      <c r="A821" s="19" t="str">
        <f t="shared" si="25"/>
        <v/>
      </c>
      <c r="K821" s="21" t="str">
        <f>IF(J821&lt;&gt;"",VLOOKUP(J821,HeadCount!A:I,2,0),"")</f>
        <v/>
      </c>
      <c r="L821" s="21" t="str">
        <f>IF(J821&lt;&gt;"",VLOOKUP(J821,HeadCount!A:I,5,0),"")</f>
        <v/>
      </c>
      <c r="P821" s="19" t="str">
        <f t="shared" si="26"/>
        <v/>
      </c>
    </row>
    <row r="822" spans="1:16" x14ac:dyDescent="0.3">
      <c r="A822" s="19" t="str">
        <f t="shared" si="25"/>
        <v/>
      </c>
      <c r="K822" s="21" t="str">
        <f>IF(J822&lt;&gt;"",VLOOKUP(J822,HeadCount!A:I,2,0),"")</f>
        <v/>
      </c>
      <c r="L822" s="21" t="str">
        <f>IF(J822&lt;&gt;"",VLOOKUP(J822,HeadCount!A:I,5,0),"")</f>
        <v/>
      </c>
      <c r="P822" s="19" t="str">
        <f t="shared" si="26"/>
        <v/>
      </c>
    </row>
    <row r="823" spans="1:16" x14ac:dyDescent="0.3">
      <c r="A823" s="19" t="str">
        <f t="shared" si="25"/>
        <v/>
      </c>
      <c r="K823" s="21" t="str">
        <f>IF(J823&lt;&gt;"",VLOOKUP(J823,HeadCount!A:I,2,0),"")</f>
        <v/>
      </c>
      <c r="L823" s="21" t="str">
        <f>IF(J823&lt;&gt;"",VLOOKUP(J823,HeadCount!A:I,5,0),"")</f>
        <v/>
      </c>
      <c r="P823" s="19" t="str">
        <f t="shared" si="26"/>
        <v/>
      </c>
    </row>
    <row r="824" spans="1:16" x14ac:dyDescent="0.3">
      <c r="A824" s="19" t="str">
        <f t="shared" si="25"/>
        <v/>
      </c>
      <c r="K824" s="21" t="str">
        <f>IF(J824&lt;&gt;"",VLOOKUP(J824,HeadCount!A:I,2,0),"")</f>
        <v/>
      </c>
      <c r="L824" s="21" t="str">
        <f>IF(J824&lt;&gt;"",VLOOKUP(J824,HeadCount!A:I,5,0),"")</f>
        <v/>
      </c>
      <c r="P824" s="19" t="str">
        <f t="shared" si="26"/>
        <v/>
      </c>
    </row>
    <row r="825" spans="1:16" x14ac:dyDescent="0.3">
      <c r="A825" s="19" t="str">
        <f t="shared" si="25"/>
        <v/>
      </c>
      <c r="K825" s="21" t="str">
        <f>IF(J825&lt;&gt;"",VLOOKUP(J825,HeadCount!A:I,2,0),"")</f>
        <v/>
      </c>
      <c r="L825" s="21" t="str">
        <f>IF(J825&lt;&gt;"",VLOOKUP(J825,HeadCount!A:I,5,0),"")</f>
        <v/>
      </c>
      <c r="P825" s="19" t="str">
        <f t="shared" si="26"/>
        <v/>
      </c>
    </row>
    <row r="826" spans="1:16" x14ac:dyDescent="0.3">
      <c r="A826" s="19" t="str">
        <f t="shared" si="25"/>
        <v/>
      </c>
      <c r="K826" s="21" t="str">
        <f>IF(J826&lt;&gt;"",VLOOKUP(J826,HeadCount!A:I,2,0),"")</f>
        <v/>
      </c>
      <c r="L826" s="21" t="str">
        <f>IF(J826&lt;&gt;"",VLOOKUP(J826,HeadCount!A:I,5,0),"")</f>
        <v/>
      </c>
      <c r="P826" s="19" t="str">
        <f t="shared" si="26"/>
        <v/>
      </c>
    </row>
    <row r="827" spans="1:16" x14ac:dyDescent="0.3">
      <c r="A827" s="19" t="str">
        <f t="shared" si="25"/>
        <v/>
      </c>
      <c r="K827" s="21" t="str">
        <f>IF(J827&lt;&gt;"",VLOOKUP(J827,HeadCount!A:I,2,0),"")</f>
        <v/>
      </c>
      <c r="L827" s="21" t="str">
        <f>IF(J827&lt;&gt;"",VLOOKUP(J827,HeadCount!A:I,5,0),"")</f>
        <v/>
      </c>
      <c r="P827" s="19" t="str">
        <f t="shared" si="26"/>
        <v/>
      </c>
    </row>
    <row r="828" spans="1:16" x14ac:dyDescent="0.3">
      <c r="A828" s="19" t="str">
        <f t="shared" si="25"/>
        <v/>
      </c>
      <c r="K828" s="21" t="str">
        <f>IF(J828&lt;&gt;"",VLOOKUP(J828,HeadCount!A:I,2,0),"")</f>
        <v/>
      </c>
      <c r="L828" s="21" t="str">
        <f>IF(J828&lt;&gt;"",VLOOKUP(J828,HeadCount!A:I,5,0),"")</f>
        <v/>
      </c>
      <c r="P828" s="19" t="str">
        <f t="shared" si="26"/>
        <v/>
      </c>
    </row>
    <row r="829" spans="1:16" x14ac:dyDescent="0.3">
      <c r="A829" s="19" t="str">
        <f t="shared" si="25"/>
        <v/>
      </c>
      <c r="K829" s="21" t="str">
        <f>IF(J829&lt;&gt;"",VLOOKUP(J829,HeadCount!A:I,2,0),"")</f>
        <v/>
      </c>
      <c r="L829" s="21" t="str">
        <f>IF(J829&lt;&gt;"",VLOOKUP(J829,HeadCount!A:I,5,0),"")</f>
        <v/>
      </c>
      <c r="P829" s="19" t="str">
        <f t="shared" si="26"/>
        <v/>
      </c>
    </row>
    <row r="830" spans="1:16" x14ac:dyDescent="0.3">
      <c r="A830" s="19" t="str">
        <f t="shared" si="25"/>
        <v/>
      </c>
      <c r="K830" s="21" t="str">
        <f>IF(J830&lt;&gt;"",VLOOKUP(J830,HeadCount!A:I,2,0),"")</f>
        <v/>
      </c>
      <c r="L830" s="21" t="str">
        <f>IF(J830&lt;&gt;"",VLOOKUP(J830,HeadCount!A:I,5,0),"")</f>
        <v/>
      </c>
      <c r="P830" s="19" t="str">
        <f t="shared" si="26"/>
        <v/>
      </c>
    </row>
    <row r="831" spans="1:16" x14ac:dyDescent="0.3">
      <c r="A831" s="19" t="str">
        <f t="shared" si="25"/>
        <v/>
      </c>
      <c r="K831" s="21" t="str">
        <f>IF(J831&lt;&gt;"",VLOOKUP(J831,HeadCount!A:I,2,0),"")</f>
        <v/>
      </c>
      <c r="L831" s="21" t="str">
        <f>IF(J831&lt;&gt;"",VLOOKUP(J831,HeadCount!A:I,5,0),"")</f>
        <v/>
      </c>
      <c r="P831" s="19" t="str">
        <f t="shared" si="26"/>
        <v/>
      </c>
    </row>
    <row r="832" spans="1:16" x14ac:dyDescent="0.3">
      <c r="A832" s="19" t="str">
        <f t="shared" si="25"/>
        <v/>
      </c>
      <c r="K832" s="21" t="str">
        <f>IF(J832&lt;&gt;"",VLOOKUP(J832,HeadCount!A:I,2,0),"")</f>
        <v/>
      </c>
      <c r="L832" s="21" t="str">
        <f>IF(J832&lt;&gt;"",VLOOKUP(J832,HeadCount!A:I,5,0),"")</f>
        <v/>
      </c>
      <c r="P832" s="19" t="str">
        <f t="shared" si="26"/>
        <v/>
      </c>
    </row>
    <row r="833" spans="1:16" x14ac:dyDescent="0.3">
      <c r="A833" s="19" t="str">
        <f t="shared" si="25"/>
        <v/>
      </c>
      <c r="K833" s="21" t="str">
        <f>IF(J833&lt;&gt;"",VLOOKUP(J833,HeadCount!A:I,2,0),"")</f>
        <v/>
      </c>
      <c r="L833" s="21" t="str">
        <f>IF(J833&lt;&gt;"",VLOOKUP(J833,HeadCount!A:I,5,0),"")</f>
        <v/>
      </c>
      <c r="P833" s="19" t="str">
        <f t="shared" si="26"/>
        <v/>
      </c>
    </row>
    <row r="834" spans="1:16" x14ac:dyDescent="0.3">
      <c r="A834" s="19" t="str">
        <f t="shared" ref="A834:A897" si="27">IF(C834&lt;&gt;"",ROW(A833),"")</f>
        <v/>
      </c>
      <c r="K834" s="21" t="str">
        <f>IF(J834&lt;&gt;"",VLOOKUP(J834,HeadCount!A:I,2,0),"")</f>
        <v/>
      </c>
      <c r="L834" s="21" t="str">
        <f>IF(J834&lt;&gt;"",VLOOKUP(J834,HeadCount!A:I,5,0),"")</f>
        <v/>
      </c>
      <c r="P834" s="19" t="str">
        <f t="shared" si="26"/>
        <v/>
      </c>
    </row>
    <row r="835" spans="1:16" x14ac:dyDescent="0.3">
      <c r="A835" s="19" t="str">
        <f t="shared" si="27"/>
        <v/>
      </c>
      <c r="K835" s="21" t="str">
        <f>IF(J835&lt;&gt;"",VLOOKUP(J835,HeadCount!A:I,2,0),"")</f>
        <v/>
      </c>
      <c r="L835" s="21" t="str">
        <f>IF(J835&lt;&gt;"",VLOOKUP(J835,HeadCount!A:I,5,0),"")</f>
        <v/>
      </c>
      <c r="P835" s="19" t="str">
        <f t="shared" ref="P835:P898" si="28">IF(N835="","",(O835-N835)+1)</f>
        <v/>
      </c>
    </row>
    <row r="836" spans="1:16" x14ac:dyDescent="0.3">
      <c r="A836" s="19" t="str">
        <f t="shared" si="27"/>
        <v/>
      </c>
      <c r="K836" s="21" t="str">
        <f>IF(J836&lt;&gt;"",VLOOKUP(J836,HeadCount!A:I,2,0),"")</f>
        <v/>
      </c>
      <c r="L836" s="21" t="str">
        <f>IF(J836&lt;&gt;"",VLOOKUP(J836,HeadCount!A:I,5,0),"")</f>
        <v/>
      </c>
      <c r="P836" s="19" t="str">
        <f t="shared" si="28"/>
        <v/>
      </c>
    </row>
    <row r="837" spans="1:16" x14ac:dyDescent="0.3">
      <c r="A837" s="19" t="str">
        <f t="shared" si="27"/>
        <v/>
      </c>
      <c r="K837" s="21" t="str">
        <f>IF(J837&lt;&gt;"",VLOOKUP(J837,HeadCount!A:I,2,0),"")</f>
        <v/>
      </c>
      <c r="L837" s="21" t="str">
        <f>IF(J837&lt;&gt;"",VLOOKUP(J837,HeadCount!A:I,5,0),"")</f>
        <v/>
      </c>
      <c r="P837" s="19" t="str">
        <f t="shared" si="28"/>
        <v/>
      </c>
    </row>
    <row r="838" spans="1:16" x14ac:dyDescent="0.3">
      <c r="A838" s="19" t="str">
        <f t="shared" si="27"/>
        <v/>
      </c>
      <c r="K838" s="21" t="str">
        <f>IF(J838&lt;&gt;"",VLOOKUP(J838,HeadCount!A:I,2,0),"")</f>
        <v/>
      </c>
      <c r="L838" s="21" t="str">
        <f>IF(J838&lt;&gt;"",VLOOKUP(J838,HeadCount!A:I,5,0),"")</f>
        <v/>
      </c>
      <c r="P838" s="19" t="str">
        <f t="shared" si="28"/>
        <v/>
      </c>
    </row>
    <row r="839" spans="1:16" x14ac:dyDescent="0.3">
      <c r="A839" s="19" t="str">
        <f t="shared" si="27"/>
        <v/>
      </c>
      <c r="K839" s="21" t="str">
        <f>IF(J839&lt;&gt;"",VLOOKUP(J839,HeadCount!A:I,2,0),"")</f>
        <v/>
      </c>
      <c r="L839" s="21" t="str">
        <f>IF(J839&lt;&gt;"",VLOOKUP(J839,HeadCount!A:I,5,0),"")</f>
        <v/>
      </c>
      <c r="P839" s="19" t="str">
        <f t="shared" si="28"/>
        <v/>
      </c>
    </row>
    <row r="840" spans="1:16" x14ac:dyDescent="0.3">
      <c r="A840" s="19" t="str">
        <f t="shared" si="27"/>
        <v/>
      </c>
      <c r="K840" s="21" t="str">
        <f>IF(J840&lt;&gt;"",VLOOKUP(J840,HeadCount!A:I,2,0),"")</f>
        <v/>
      </c>
      <c r="L840" s="21" t="str">
        <f>IF(J840&lt;&gt;"",VLOOKUP(J840,HeadCount!A:I,5,0),"")</f>
        <v/>
      </c>
      <c r="P840" s="19" t="str">
        <f t="shared" si="28"/>
        <v/>
      </c>
    </row>
    <row r="841" spans="1:16" x14ac:dyDescent="0.3">
      <c r="A841" s="19" t="str">
        <f t="shared" si="27"/>
        <v/>
      </c>
      <c r="K841" s="21" t="str">
        <f>IF(J841&lt;&gt;"",VLOOKUP(J841,HeadCount!A:I,2,0),"")</f>
        <v/>
      </c>
      <c r="L841" s="21" t="str">
        <f>IF(J841&lt;&gt;"",VLOOKUP(J841,HeadCount!A:I,5,0),"")</f>
        <v/>
      </c>
      <c r="P841" s="19" t="str">
        <f t="shared" si="28"/>
        <v/>
      </c>
    </row>
    <row r="842" spans="1:16" x14ac:dyDescent="0.3">
      <c r="A842" s="19" t="str">
        <f t="shared" si="27"/>
        <v/>
      </c>
      <c r="K842" s="21" t="str">
        <f>IF(J842&lt;&gt;"",VLOOKUP(J842,HeadCount!A:I,2,0),"")</f>
        <v/>
      </c>
      <c r="L842" s="21" t="str">
        <f>IF(J842&lt;&gt;"",VLOOKUP(J842,HeadCount!A:I,5,0),"")</f>
        <v/>
      </c>
      <c r="P842" s="19" t="str">
        <f t="shared" si="28"/>
        <v/>
      </c>
    </row>
    <row r="843" spans="1:16" x14ac:dyDescent="0.3">
      <c r="A843" s="19" t="str">
        <f t="shared" si="27"/>
        <v/>
      </c>
      <c r="K843" s="21" t="str">
        <f>IF(J843&lt;&gt;"",VLOOKUP(J843,HeadCount!A:I,2,0),"")</f>
        <v/>
      </c>
      <c r="L843" s="21" t="str">
        <f>IF(J843&lt;&gt;"",VLOOKUP(J843,HeadCount!A:I,5,0),"")</f>
        <v/>
      </c>
      <c r="P843" s="19" t="str">
        <f t="shared" si="28"/>
        <v/>
      </c>
    </row>
    <row r="844" spans="1:16" x14ac:dyDescent="0.3">
      <c r="A844" s="19" t="str">
        <f t="shared" si="27"/>
        <v/>
      </c>
      <c r="K844" s="21" t="str">
        <f>IF(J844&lt;&gt;"",VLOOKUP(J844,HeadCount!A:I,2,0),"")</f>
        <v/>
      </c>
      <c r="L844" s="21" t="str">
        <f>IF(J844&lt;&gt;"",VLOOKUP(J844,HeadCount!A:I,5,0),"")</f>
        <v/>
      </c>
      <c r="P844" s="19" t="str">
        <f t="shared" si="28"/>
        <v/>
      </c>
    </row>
    <row r="845" spans="1:16" x14ac:dyDescent="0.3">
      <c r="A845" s="19" t="str">
        <f t="shared" si="27"/>
        <v/>
      </c>
      <c r="K845" s="21" t="str">
        <f>IF(J845&lt;&gt;"",VLOOKUP(J845,HeadCount!A:I,2,0),"")</f>
        <v/>
      </c>
      <c r="L845" s="21" t="str">
        <f>IF(J845&lt;&gt;"",VLOOKUP(J845,HeadCount!A:I,5,0),"")</f>
        <v/>
      </c>
      <c r="P845" s="19" t="str">
        <f t="shared" si="28"/>
        <v/>
      </c>
    </row>
    <row r="846" spans="1:16" x14ac:dyDescent="0.3">
      <c r="A846" s="19" t="str">
        <f t="shared" si="27"/>
        <v/>
      </c>
      <c r="K846" s="21" t="str">
        <f>IF(J846&lt;&gt;"",VLOOKUP(J846,HeadCount!A:I,2,0),"")</f>
        <v/>
      </c>
      <c r="L846" s="21" t="str">
        <f>IF(J846&lt;&gt;"",VLOOKUP(J846,HeadCount!A:I,5,0),"")</f>
        <v/>
      </c>
      <c r="P846" s="19" t="str">
        <f t="shared" si="28"/>
        <v/>
      </c>
    </row>
    <row r="847" spans="1:16" x14ac:dyDescent="0.3">
      <c r="A847" s="19" t="str">
        <f t="shared" si="27"/>
        <v/>
      </c>
      <c r="K847" s="21" t="str">
        <f>IF(J847&lt;&gt;"",VLOOKUP(J847,HeadCount!A:I,2,0),"")</f>
        <v/>
      </c>
      <c r="L847" s="21" t="str">
        <f>IF(J847&lt;&gt;"",VLOOKUP(J847,HeadCount!A:I,5,0),"")</f>
        <v/>
      </c>
      <c r="P847" s="19" t="str">
        <f t="shared" si="28"/>
        <v/>
      </c>
    </row>
    <row r="848" spans="1:16" x14ac:dyDescent="0.3">
      <c r="A848" s="19" t="str">
        <f t="shared" si="27"/>
        <v/>
      </c>
      <c r="K848" s="21" t="str">
        <f>IF(J848&lt;&gt;"",VLOOKUP(J848,HeadCount!A:I,2,0),"")</f>
        <v/>
      </c>
      <c r="L848" s="21" t="str">
        <f>IF(J848&lt;&gt;"",VLOOKUP(J848,HeadCount!A:I,5,0),"")</f>
        <v/>
      </c>
      <c r="P848" s="19" t="str">
        <f t="shared" si="28"/>
        <v/>
      </c>
    </row>
    <row r="849" spans="1:16" x14ac:dyDescent="0.3">
      <c r="A849" s="19" t="str">
        <f t="shared" si="27"/>
        <v/>
      </c>
      <c r="K849" s="21" t="str">
        <f>IF(J849&lt;&gt;"",VLOOKUP(J849,HeadCount!A:I,2,0),"")</f>
        <v/>
      </c>
      <c r="L849" s="21" t="str">
        <f>IF(J849&lt;&gt;"",VLOOKUP(J849,HeadCount!A:I,5,0),"")</f>
        <v/>
      </c>
      <c r="P849" s="19" t="str">
        <f t="shared" si="28"/>
        <v/>
      </c>
    </row>
    <row r="850" spans="1:16" x14ac:dyDescent="0.3">
      <c r="A850" s="19" t="str">
        <f t="shared" si="27"/>
        <v/>
      </c>
      <c r="K850" s="21" t="str">
        <f>IF(J850&lt;&gt;"",VLOOKUP(J850,HeadCount!A:I,2,0),"")</f>
        <v/>
      </c>
      <c r="L850" s="21" t="str">
        <f>IF(J850&lt;&gt;"",VLOOKUP(J850,HeadCount!A:I,5,0),"")</f>
        <v/>
      </c>
      <c r="P850" s="19" t="str">
        <f t="shared" si="28"/>
        <v/>
      </c>
    </row>
    <row r="851" spans="1:16" x14ac:dyDescent="0.3">
      <c r="A851" s="19" t="str">
        <f t="shared" si="27"/>
        <v/>
      </c>
      <c r="K851" s="21" t="str">
        <f>IF(J851&lt;&gt;"",VLOOKUP(J851,HeadCount!A:I,2,0),"")</f>
        <v/>
      </c>
      <c r="L851" s="21" t="str">
        <f>IF(J851&lt;&gt;"",VLOOKUP(J851,HeadCount!A:I,5,0),"")</f>
        <v/>
      </c>
      <c r="P851" s="19" t="str">
        <f t="shared" si="28"/>
        <v/>
      </c>
    </row>
    <row r="852" spans="1:16" x14ac:dyDescent="0.3">
      <c r="A852" s="19" t="str">
        <f t="shared" si="27"/>
        <v/>
      </c>
      <c r="K852" s="21" t="str">
        <f>IF(J852&lt;&gt;"",VLOOKUP(J852,HeadCount!A:I,2,0),"")</f>
        <v/>
      </c>
      <c r="L852" s="21" t="str">
        <f>IF(J852&lt;&gt;"",VLOOKUP(J852,HeadCount!A:I,5,0),"")</f>
        <v/>
      </c>
      <c r="P852" s="19" t="str">
        <f t="shared" si="28"/>
        <v/>
      </c>
    </row>
    <row r="853" spans="1:16" x14ac:dyDescent="0.3">
      <c r="A853" s="19" t="str">
        <f t="shared" si="27"/>
        <v/>
      </c>
      <c r="K853" s="21" t="str">
        <f>IF(J853&lt;&gt;"",VLOOKUP(J853,HeadCount!A:I,2,0),"")</f>
        <v/>
      </c>
      <c r="L853" s="21" t="str">
        <f>IF(J853&lt;&gt;"",VLOOKUP(J853,HeadCount!A:I,5,0),"")</f>
        <v/>
      </c>
      <c r="P853" s="19" t="str">
        <f t="shared" si="28"/>
        <v/>
      </c>
    </row>
    <row r="854" spans="1:16" x14ac:dyDescent="0.3">
      <c r="A854" s="19" t="str">
        <f t="shared" si="27"/>
        <v/>
      </c>
      <c r="K854" s="21" t="str">
        <f>IF(J854&lt;&gt;"",VLOOKUP(J854,HeadCount!A:I,2,0),"")</f>
        <v/>
      </c>
      <c r="L854" s="21" t="str">
        <f>IF(J854&lt;&gt;"",VLOOKUP(J854,HeadCount!A:I,5,0),"")</f>
        <v/>
      </c>
      <c r="P854" s="19" t="str">
        <f t="shared" si="28"/>
        <v/>
      </c>
    </row>
    <row r="855" spans="1:16" x14ac:dyDescent="0.3">
      <c r="A855" s="19" t="str">
        <f t="shared" si="27"/>
        <v/>
      </c>
      <c r="K855" s="21" t="str">
        <f>IF(J855&lt;&gt;"",VLOOKUP(J855,HeadCount!A:I,2,0),"")</f>
        <v/>
      </c>
      <c r="L855" s="21" t="str">
        <f>IF(J855&lt;&gt;"",VLOOKUP(J855,HeadCount!A:I,5,0),"")</f>
        <v/>
      </c>
      <c r="P855" s="19" t="str">
        <f t="shared" si="28"/>
        <v/>
      </c>
    </row>
    <row r="856" spans="1:16" x14ac:dyDescent="0.3">
      <c r="A856" s="19" t="str">
        <f t="shared" si="27"/>
        <v/>
      </c>
      <c r="K856" s="21" t="str">
        <f>IF(J856&lt;&gt;"",VLOOKUP(J856,HeadCount!A:I,2,0),"")</f>
        <v/>
      </c>
      <c r="L856" s="21" t="str">
        <f>IF(J856&lt;&gt;"",VLOOKUP(J856,HeadCount!A:I,5,0),"")</f>
        <v/>
      </c>
      <c r="P856" s="19" t="str">
        <f t="shared" si="28"/>
        <v/>
      </c>
    </row>
    <row r="857" spans="1:16" x14ac:dyDescent="0.3">
      <c r="A857" s="19" t="str">
        <f t="shared" si="27"/>
        <v/>
      </c>
      <c r="K857" s="21" t="str">
        <f>IF(J857&lt;&gt;"",VLOOKUP(J857,HeadCount!A:I,2,0),"")</f>
        <v/>
      </c>
      <c r="L857" s="21" t="str">
        <f>IF(J857&lt;&gt;"",VLOOKUP(J857,HeadCount!A:I,5,0),"")</f>
        <v/>
      </c>
      <c r="P857" s="19" t="str">
        <f t="shared" si="28"/>
        <v/>
      </c>
    </row>
    <row r="858" spans="1:16" x14ac:dyDescent="0.3">
      <c r="A858" s="19" t="str">
        <f t="shared" si="27"/>
        <v/>
      </c>
      <c r="K858" s="21" t="str">
        <f>IF(J858&lt;&gt;"",VLOOKUP(J858,HeadCount!A:I,2,0),"")</f>
        <v/>
      </c>
      <c r="L858" s="21" t="str">
        <f>IF(J858&lt;&gt;"",VLOOKUP(J858,HeadCount!A:I,5,0),"")</f>
        <v/>
      </c>
      <c r="P858" s="19" t="str">
        <f t="shared" si="28"/>
        <v/>
      </c>
    </row>
    <row r="859" spans="1:16" x14ac:dyDescent="0.3">
      <c r="A859" s="19" t="str">
        <f t="shared" si="27"/>
        <v/>
      </c>
      <c r="K859" s="21" t="str">
        <f>IF(J859&lt;&gt;"",VLOOKUP(J859,HeadCount!A:I,2,0),"")</f>
        <v/>
      </c>
      <c r="L859" s="21" t="str">
        <f>IF(J859&lt;&gt;"",VLOOKUP(J859,HeadCount!A:I,5,0),"")</f>
        <v/>
      </c>
      <c r="P859" s="19" t="str">
        <f t="shared" si="28"/>
        <v/>
      </c>
    </row>
    <row r="860" spans="1:16" x14ac:dyDescent="0.3">
      <c r="A860" s="19" t="str">
        <f t="shared" si="27"/>
        <v/>
      </c>
      <c r="K860" s="21" t="str">
        <f>IF(J860&lt;&gt;"",VLOOKUP(J860,HeadCount!A:I,2,0),"")</f>
        <v/>
      </c>
      <c r="L860" s="21" t="str">
        <f>IF(J860&lt;&gt;"",VLOOKUP(J860,HeadCount!A:I,5,0),"")</f>
        <v/>
      </c>
      <c r="P860" s="19" t="str">
        <f t="shared" si="28"/>
        <v/>
      </c>
    </row>
    <row r="861" spans="1:16" x14ac:dyDescent="0.3">
      <c r="A861" s="19" t="str">
        <f t="shared" si="27"/>
        <v/>
      </c>
      <c r="K861" s="21" t="str">
        <f>IF(J861&lt;&gt;"",VLOOKUP(J861,HeadCount!A:I,2,0),"")</f>
        <v/>
      </c>
      <c r="L861" s="21" t="str">
        <f>IF(J861&lt;&gt;"",VLOOKUP(J861,HeadCount!A:I,5,0),"")</f>
        <v/>
      </c>
      <c r="P861" s="19" t="str">
        <f t="shared" si="28"/>
        <v/>
      </c>
    </row>
    <row r="862" spans="1:16" x14ac:dyDescent="0.3">
      <c r="A862" s="19" t="str">
        <f t="shared" si="27"/>
        <v/>
      </c>
      <c r="K862" s="21" t="str">
        <f>IF(J862&lt;&gt;"",VLOOKUP(J862,HeadCount!A:I,2,0),"")</f>
        <v/>
      </c>
      <c r="L862" s="21" t="str">
        <f>IF(J862&lt;&gt;"",VLOOKUP(J862,HeadCount!A:I,5,0),"")</f>
        <v/>
      </c>
      <c r="P862" s="19" t="str">
        <f t="shared" si="28"/>
        <v/>
      </c>
    </row>
    <row r="863" spans="1:16" x14ac:dyDescent="0.3">
      <c r="A863" s="19" t="str">
        <f t="shared" si="27"/>
        <v/>
      </c>
      <c r="K863" s="21" t="str">
        <f>IF(J863&lt;&gt;"",VLOOKUP(J863,HeadCount!A:I,2,0),"")</f>
        <v/>
      </c>
      <c r="L863" s="21" t="str">
        <f>IF(J863&lt;&gt;"",VLOOKUP(J863,HeadCount!A:I,5,0),"")</f>
        <v/>
      </c>
      <c r="P863" s="19" t="str">
        <f t="shared" si="28"/>
        <v/>
      </c>
    </row>
    <row r="864" spans="1:16" x14ac:dyDescent="0.3">
      <c r="A864" s="19" t="str">
        <f t="shared" si="27"/>
        <v/>
      </c>
      <c r="K864" s="21" t="str">
        <f>IF(J864&lt;&gt;"",VLOOKUP(J864,HeadCount!A:I,2,0),"")</f>
        <v/>
      </c>
      <c r="L864" s="21" t="str">
        <f>IF(J864&lt;&gt;"",VLOOKUP(J864,HeadCount!A:I,5,0),"")</f>
        <v/>
      </c>
      <c r="P864" s="19" t="str">
        <f t="shared" si="28"/>
        <v/>
      </c>
    </row>
    <row r="865" spans="1:16" x14ac:dyDescent="0.3">
      <c r="A865" s="19" t="str">
        <f t="shared" si="27"/>
        <v/>
      </c>
      <c r="K865" s="21" t="str">
        <f>IF(J865&lt;&gt;"",VLOOKUP(J865,HeadCount!A:I,2,0),"")</f>
        <v/>
      </c>
      <c r="L865" s="21" t="str">
        <f>IF(J865&lt;&gt;"",VLOOKUP(J865,HeadCount!A:I,5,0),"")</f>
        <v/>
      </c>
      <c r="P865" s="19" t="str">
        <f t="shared" si="28"/>
        <v/>
      </c>
    </row>
    <row r="866" spans="1:16" x14ac:dyDescent="0.3">
      <c r="A866" s="19" t="str">
        <f t="shared" si="27"/>
        <v/>
      </c>
      <c r="K866" s="21" t="str">
        <f>IF(J866&lt;&gt;"",VLOOKUP(J866,HeadCount!A:I,2,0),"")</f>
        <v/>
      </c>
      <c r="L866" s="21" t="str">
        <f>IF(J866&lt;&gt;"",VLOOKUP(J866,HeadCount!A:I,5,0),"")</f>
        <v/>
      </c>
      <c r="P866" s="19" t="str">
        <f t="shared" si="28"/>
        <v/>
      </c>
    </row>
    <row r="867" spans="1:16" x14ac:dyDescent="0.3">
      <c r="A867" s="19" t="str">
        <f t="shared" si="27"/>
        <v/>
      </c>
      <c r="K867" s="21" t="str">
        <f>IF(J867&lt;&gt;"",VLOOKUP(J867,HeadCount!A:I,2,0),"")</f>
        <v/>
      </c>
      <c r="L867" s="21" t="str">
        <f>IF(J867&lt;&gt;"",VLOOKUP(J867,HeadCount!A:I,5,0),"")</f>
        <v/>
      </c>
      <c r="P867" s="19" t="str">
        <f t="shared" si="28"/>
        <v/>
      </c>
    </row>
    <row r="868" spans="1:16" x14ac:dyDescent="0.3">
      <c r="A868" s="19" t="str">
        <f t="shared" si="27"/>
        <v/>
      </c>
      <c r="K868" s="21" t="str">
        <f>IF(J868&lt;&gt;"",VLOOKUP(J868,HeadCount!A:I,2,0),"")</f>
        <v/>
      </c>
      <c r="L868" s="21" t="str">
        <f>IF(J868&lt;&gt;"",VLOOKUP(J868,HeadCount!A:I,5,0),"")</f>
        <v/>
      </c>
      <c r="P868" s="19" t="str">
        <f t="shared" si="28"/>
        <v/>
      </c>
    </row>
    <row r="869" spans="1:16" x14ac:dyDescent="0.3">
      <c r="A869" s="19" t="str">
        <f t="shared" si="27"/>
        <v/>
      </c>
      <c r="K869" s="21" t="str">
        <f>IF(J869&lt;&gt;"",VLOOKUP(J869,HeadCount!A:I,2,0),"")</f>
        <v/>
      </c>
      <c r="L869" s="21" t="str">
        <f>IF(J869&lt;&gt;"",VLOOKUP(J869,HeadCount!A:I,5,0),"")</f>
        <v/>
      </c>
      <c r="P869" s="19" t="str">
        <f t="shared" si="28"/>
        <v/>
      </c>
    </row>
    <row r="870" spans="1:16" x14ac:dyDescent="0.3">
      <c r="A870" s="19" t="str">
        <f t="shared" si="27"/>
        <v/>
      </c>
      <c r="K870" s="21" t="str">
        <f>IF(J870&lt;&gt;"",VLOOKUP(J870,HeadCount!A:I,2,0),"")</f>
        <v/>
      </c>
      <c r="L870" s="21" t="str">
        <f>IF(J870&lt;&gt;"",VLOOKUP(J870,HeadCount!A:I,5,0),"")</f>
        <v/>
      </c>
      <c r="P870" s="19" t="str">
        <f t="shared" si="28"/>
        <v/>
      </c>
    </row>
    <row r="871" spans="1:16" x14ac:dyDescent="0.3">
      <c r="A871" s="19" t="str">
        <f t="shared" si="27"/>
        <v/>
      </c>
      <c r="K871" s="21" t="str">
        <f>IF(J871&lt;&gt;"",VLOOKUP(J871,HeadCount!A:I,2,0),"")</f>
        <v/>
      </c>
      <c r="L871" s="21" t="str">
        <f>IF(J871&lt;&gt;"",VLOOKUP(J871,HeadCount!A:I,5,0),"")</f>
        <v/>
      </c>
      <c r="P871" s="19" t="str">
        <f t="shared" si="28"/>
        <v/>
      </c>
    </row>
    <row r="872" spans="1:16" x14ac:dyDescent="0.3">
      <c r="A872" s="19" t="str">
        <f t="shared" si="27"/>
        <v/>
      </c>
      <c r="K872" s="21" t="str">
        <f>IF(J872&lt;&gt;"",VLOOKUP(J872,HeadCount!A:I,2,0),"")</f>
        <v/>
      </c>
      <c r="L872" s="21" t="str">
        <f>IF(J872&lt;&gt;"",VLOOKUP(J872,HeadCount!A:I,5,0),"")</f>
        <v/>
      </c>
      <c r="P872" s="19" t="str">
        <f t="shared" si="28"/>
        <v/>
      </c>
    </row>
    <row r="873" spans="1:16" x14ac:dyDescent="0.3">
      <c r="A873" s="19" t="str">
        <f t="shared" si="27"/>
        <v/>
      </c>
      <c r="K873" s="21" t="str">
        <f>IF(J873&lt;&gt;"",VLOOKUP(J873,HeadCount!A:I,2,0),"")</f>
        <v/>
      </c>
      <c r="L873" s="21" t="str">
        <f>IF(J873&lt;&gt;"",VLOOKUP(J873,HeadCount!A:I,5,0),"")</f>
        <v/>
      </c>
      <c r="P873" s="19" t="str">
        <f t="shared" si="28"/>
        <v/>
      </c>
    </row>
    <row r="874" spans="1:16" x14ac:dyDescent="0.3">
      <c r="A874" s="19" t="str">
        <f t="shared" si="27"/>
        <v/>
      </c>
      <c r="K874" s="21" t="str">
        <f>IF(J874&lt;&gt;"",VLOOKUP(J874,HeadCount!A:I,2,0),"")</f>
        <v/>
      </c>
      <c r="L874" s="21" t="str">
        <f>IF(J874&lt;&gt;"",VLOOKUP(J874,HeadCount!A:I,5,0),"")</f>
        <v/>
      </c>
      <c r="P874" s="19" t="str">
        <f t="shared" si="28"/>
        <v/>
      </c>
    </row>
    <row r="875" spans="1:16" x14ac:dyDescent="0.3">
      <c r="A875" s="19" t="str">
        <f t="shared" si="27"/>
        <v/>
      </c>
      <c r="K875" s="21" t="str">
        <f>IF(J875&lt;&gt;"",VLOOKUP(J875,HeadCount!A:I,2,0),"")</f>
        <v/>
      </c>
      <c r="L875" s="21" t="str">
        <f>IF(J875&lt;&gt;"",VLOOKUP(J875,HeadCount!A:I,5,0),"")</f>
        <v/>
      </c>
      <c r="P875" s="19" t="str">
        <f t="shared" si="28"/>
        <v/>
      </c>
    </row>
    <row r="876" spans="1:16" x14ac:dyDescent="0.3">
      <c r="A876" s="19" t="str">
        <f t="shared" si="27"/>
        <v/>
      </c>
      <c r="K876" s="21" t="str">
        <f>IF(J876&lt;&gt;"",VLOOKUP(J876,HeadCount!A:I,2,0),"")</f>
        <v/>
      </c>
      <c r="L876" s="21" t="str">
        <f>IF(J876&lt;&gt;"",VLOOKUP(J876,HeadCount!A:I,5,0),"")</f>
        <v/>
      </c>
      <c r="P876" s="19" t="str">
        <f t="shared" si="28"/>
        <v/>
      </c>
    </row>
    <row r="877" spans="1:16" x14ac:dyDescent="0.3">
      <c r="A877" s="19" t="str">
        <f t="shared" si="27"/>
        <v/>
      </c>
      <c r="K877" s="21" t="str">
        <f>IF(J877&lt;&gt;"",VLOOKUP(J877,HeadCount!A:I,2,0),"")</f>
        <v/>
      </c>
      <c r="L877" s="21" t="str">
        <f>IF(J877&lt;&gt;"",VLOOKUP(J877,HeadCount!A:I,5,0),"")</f>
        <v/>
      </c>
      <c r="P877" s="19" t="str">
        <f t="shared" si="28"/>
        <v/>
      </c>
    </row>
    <row r="878" spans="1:16" x14ac:dyDescent="0.3">
      <c r="A878" s="19" t="str">
        <f t="shared" si="27"/>
        <v/>
      </c>
      <c r="K878" s="21" t="str">
        <f>IF(J878&lt;&gt;"",VLOOKUP(J878,HeadCount!A:I,2,0),"")</f>
        <v/>
      </c>
      <c r="L878" s="21" t="str">
        <f>IF(J878&lt;&gt;"",VLOOKUP(J878,HeadCount!A:I,5,0),"")</f>
        <v/>
      </c>
      <c r="P878" s="19" t="str">
        <f t="shared" si="28"/>
        <v/>
      </c>
    </row>
    <row r="879" spans="1:16" x14ac:dyDescent="0.3">
      <c r="A879" s="19" t="str">
        <f t="shared" si="27"/>
        <v/>
      </c>
      <c r="K879" s="21" t="str">
        <f>IF(J879&lt;&gt;"",VLOOKUP(J879,HeadCount!A:I,2,0),"")</f>
        <v/>
      </c>
      <c r="L879" s="21" t="str">
        <f>IF(J879&lt;&gt;"",VLOOKUP(J879,HeadCount!A:I,5,0),"")</f>
        <v/>
      </c>
      <c r="P879" s="19" t="str">
        <f t="shared" si="28"/>
        <v/>
      </c>
    </row>
    <row r="880" spans="1:16" x14ac:dyDescent="0.3">
      <c r="A880" s="19" t="str">
        <f t="shared" si="27"/>
        <v/>
      </c>
      <c r="E880" s="27"/>
      <c r="K880" s="21" t="str">
        <f>IF(J880&lt;&gt;"",VLOOKUP(J880,HeadCount!A:I,2,0),"")</f>
        <v/>
      </c>
      <c r="L880" s="21" t="str">
        <f>IF(J880&lt;&gt;"",VLOOKUP(J880,HeadCount!A:I,5,0),"")</f>
        <v/>
      </c>
      <c r="P880" s="19" t="str">
        <f t="shared" si="28"/>
        <v/>
      </c>
    </row>
    <row r="881" spans="1:16" x14ac:dyDescent="0.3">
      <c r="A881" s="19" t="str">
        <f t="shared" si="27"/>
        <v/>
      </c>
      <c r="K881" s="21" t="str">
        <f>IF(J881&lt;&gt;"",VLOOKUP(J881,HeadCount!A:I,2,0),"")</f>
        <v/>
      </c>
      <c r="L881" s="21" t="str">
        <f>IF(J881&lt;&gt;"",VLOOKUP(J881,HeadCount!A:I,5,0),"")</f>
        <v/>
      </c>
      <c r="P881" s="19" t="str">
        <f t="shared" si="28"/>
        <v/>
      </c>
    </row>
    <row r="882" spans="1:16" x14ac:dyDescent="0.3">
      <c r="A882" s="19" t="str">
        <f t="shared" si="27"/>
        <v/>
      </c>
      <c r="E882" s="30"/>
      <c r="K882" s="21" t="str">
        <f>IF(J882&lt;&gt;"",VLOOKUP(J882,HeadCount!A:I,2,0),"")</f>
        <v/>
      </c>
      <c r="L882" s="21" t="str">
        <f>IF(J882&lt;&gt;"",VLOOKUP(J882,HeadCount!A:I,5,0),"")</f>
        <v/>
      </c>
      <c r="P882" s="19" t="str">
        <f t="shared" si="28"/>
        <v/>
      </c>
    </row>
    <row r="883" spans="1:16" x14ac:dyDescent="0.3">
      <c r="A883" s="19" t="str">
        <f t="shared" si="27"/>
        <v/>
      </c>
      <c r="K883" s="21" t="str">
        <f>IF(J883&lt;&gt;"",VLOOKUP(J883,HeadCount!A:I,2,0),"")</f>
        <v/>
      </c>
      <c r="L883" s="21" t="str">
        <f>IF(J883&lt;&gt;"",VLOOKUP(J883,HeadCount!A:I,5,0),"")</f>
        <v/>
      </c>
      <c r="P883" s="19" t="str">
        <f t="shared" si="28"/>
        <v/>
      </c>
    </row>
    <row r="884" spans="1:16" x14ac:dyDescent="0.3">
      <c r="A884" s="19" t="str">
        <f t="shared" si="27"/>
        <v/>
      </c>
      <c r="K884" s="21" t="str">
        <f>IF(J884&lt;&gt;"",VLOOKUP(J884,HeadCount!A:I,2,0),"")</f>
        <v/>
      </c>
      <c r="L884" s="21" t="str">
        <f>IF(J884&lt;&gt;"",VLOOKUP(J884,HeadCount!A:I,5,0),"")</f>
        <v/>
      </c>
      <c r="P884" s="19" t="str">
        <f t="shared" si="28"/>
        <v/>
      </c>
    </row>
    <row r="885" spans="1:16" x14ac:dyDescent="0.3">
      <c r="A885" s="19" t="str">
        <f t="shared" si="27"/>
        <v/>
      </c>
      <c r="K885" s="21" t="str">
        <f>IF(J885&lt;&gt;"",VLOOKUP(J885,HeadCount!A:I,2,0),"")</f>
        <v/>
      </c>
      <c r="L885" s="21" t="str">
        <f>IF(J885&lt;&gt;"",VLOOKUP(J885,HeadCount!A:I,5,0),"")</f>
        <v/>
      </c>
      <c r="P885" s="19" t="str">
        <f t="shared" si="28"/>
        <v/>
      </c>
    </row>
    <row r="886" spans="1:16" x14ac:dyDescent="0.3">
      <c r="A886" s="19" t="str">
        <f t="shared" si="27"/>
        <v/>
      </c>
      <c r="K886" s="21" t="str">
        <f>IF(J886&lt;&gt;"",VLOOKUP(J886,HeadCount!A:I,2,0),"")</f>
        <v/>
      </c>
      <c r="L886" s="21" t="str">
        <f>IF(J886&lt;&gt;"",VLOOKUP(J886,HeadCount!A:I,5,0),"")</f>
        <v/>
      </c>
      <c r="P886" s="19" t="str">
        <f t="shared" si="28"/>
        <v/>
      </c>
    </row>
    <row r="887" spans="1:16" x14ac:dyDescent="0.3">
      <c r="A887" s="19" t="str">
        <f t="shared" si="27"/>
        <v/>
      </c>
      <c r="K887" s="21" t="str">
        <f>IF(J887&lt;&gt;"",VLOOKUP(J887,HeadCount!A:I,2,0),"")</f>
        <v/>
      </c>
      <c r="L887" s="21" t="str">
        <f>IF(J887&lt;&gt;"",VLOOKUP(J887,HeadCount!A:I,5,0),"")</f>
        <v/>
      </c>
      <c r="P887" s="19" t="str">
        <f t="shared" si="28"/>
        <v/>
      </c>
    </row>
    <row r="888" spans="1:16" x14ac:dyDescent="0.3">
      <c r="A888" s="19" t="str">
        <f t="shared" si="27"/>
        <v/>
      </c>
      <c r="K888" s="21" t="str">
        <f>IF(J888&lt;&gt;"",VLOOKUP(J888,HeadCount!A:I,2,0),"")</f>
        <v/>
      </c>
      <c r="L888" s="21" t="str">
        <f>IF(J888&lt;&gt;"",VLOOKUP(J888,HeadCount!A:I,5,0),"")</f>
        <v/>
      </c>
      <c r="P888" s="19" t="str">
        <f t="shared" si="28"/>
        <v/>
      </c>
    </row>
    <row r="889" spans="1:16" x14ac:dyDescent="0.3">
      <c r="A889" s="19" t="str">
        <f t="shared" si="27"/>
        <v/>
      </c>
      <c r="K889" s="21" t="str">
        <f>IF(J889&lt;&gt;"",VLOOKUP(J889,HeadCount!A:I,2,0),"")</f>
        <v/>
      </c>
      <c r="L889" s="21" t="str">
        <f>IF(J889&lt;&gt;"",VLOOKUP(J889,HeadCount!A:I,5,0),"")</f>
        <v/>
      </c>
      <c r="P889" s="19" t="str">
        <f t="shared" si="28"/>
        <v/>
      </c>
    </row>
    <row r="890" spans="1:16" x14ac:dyDescent="0.3">
      <c r="A890" s="19" t="str">
        <f t="shared" si="27"/>
        <v/>
      </c>
      <c r="K890" s="21" t="str">
        <f>IF(J890&lt;&gt;"",VLOOKUP(J890,HeadCount!A:I,2,0),"")</f>
        <v/>
      </c>
      <c r="L890" s="21" t="str">
        <f>IF(J890&lt;&gt;"",VLOOKUP(J890,HeadCount!A:I,5,0),"")</f>
        <v/>
      </c>
      <c r="P890" s="19" t="str">
        <f t="shared" si="28"/>
        <v/>
      </c>
    </row>
    <row r="891" spans="1:16" x14ac:dyDescent="0.3">
      <c r="A891" s="19" t="str">
        <f t="shared" si="27"/>
        <v/>
      </c>
      <c r="K891" s="21" t="str">
        <f>IF(J891&lt;&gt;"",VLOOKUP(J891,HeadCount!A:I,2,0),"")</f>
        <v/>
      </c>
      <c r="L891" s="21" t="str">
        <f>IF(J891&lt;&gt;"",VLOOKUP(J891,HeadCount!A:I,5,0),"")</f>
        <v/>
      </c>
      <c r="P891" s="19" t="str">
        <f t="shared" si="28"/>
        <v/>
      </c>
    </row>
    <row r="892" spans="1:16" x14ac:dyDescent="0.3">
      <c r="A892" s="19" t="str">
        <f t="shared" si="27"/>
        <v/>
      </c>
      <c r="K892" s="21" t="str">
        <f>IF(J892&lt;&gt;"",VLOOKUP(J892,HeadCount!A:I,2,0),"")</f>
        <v/>
      </c>
      <c r="L892" s="21" t="str">
        <f>IF(J892&lt;&gt;"",VLOOKUP(J892,HeadCount!A:I,5,0),"")</f>
        <v/>
      </c>
      <c r="P892" s="19" t="str">
        <f t="shared" si="28"/>
        <v/>
      </c>
    </row>
    <row r="893" spans="1:16" x14ac:dyDescent="0.3">
      <c r="A893" s="19" t="str">
        <f t="shared" si="27"/>
        <v/>
      </c>
      <c r="K893" s="21" t="str">
        <f>IF(J893&lt;&gt;"",VLOOKUP(J893,HeadCount!A:I,2,0),"")</f>
        <v/>
      </c>
      <c r="L893" s="21" t="str">
        <f>IF(J893&lt;&gt;"",VLOOKUP(J893,HeadCount!A:I,5,0),"")</f>
        <v/>
      </c>
      <c r="P893" s="19" t="str">
        <f t="shared" si="28"/>
        <v/>
      </c>
    </row>
    <row r="894" spans="1:16" x14ac:dyDescent="0.3">
      <c r="A894" s="19" t="str">
        <f t="shared" si="27"/>
        <v/>
      </c>
      <c r="K894" s="21" t="str">
        <f>IF(J894&lt;&gt;"",VLOOKUP(J894,HeadCount!A:I,2,0),"")</f>
        <v/>
      </c>
      <c r="L894" s="21" t="str">
        <f>IF(J894&lt;&gt;"",VLOOKUP(J894,HeadCount!A:I,5,0),"")</f>
        <v/>
      </c>
      <c r="P894" s="19" t="str">
        <f t="shared" si="28"/>
        <v/>
      </c>
    </row>
    <row r="895" spans="1:16" x14ac:dyDescent="0.3">
      <c r="A895" s="19" t="str">
        <f t="shared" si="27"/>
        <v/>
      </c>
      <c r="K895" s="21" t="str">
        <f>IF(J895&lt;&gt;"",VLOOKUP(J895,HeadCount!A:I,2,0),"")</f>
        <v/>
      </c>
      <c r="L895" s="21" t="str">
        <f>IF(J895&lt;&gt;"",VLOOKUP(J895,HeadCount!A:I,5,0),"")</f>
        <v/>
      </c>
      <c r="P895" s="19" t="str">
        <f t="shared" si="28"/>
        <v/>
      </c>
    </row>
    <row r="896" spans="1:16" x14ac:dyDescent="0.3">
      <c r="A896" s="19" t="str">
        <f t="shared" si="27"/>
        <v/>
      </c>
      <c r="K896" s="21" t="str">
        <f>IF(J896&lt;&gt;"",VLOOKUP(J896,HeadCount!A:I,2,0),"")</f>
        <v/>
      </c>
      <c r="L896" s="21" t="str">
        <f>IF(J896&lt;&gt;"",VLOOKUP(J896,HeadCount!A:I,5,0),"")</f>
        <v/>
      </c>
      <c r="P896" s="19" t="str">
        <f t="shared" si="28"/>
        <v/>
      </c>
    </row>
    <row r="897" spans="1:16" x14ac:dyDescent="0.3">
      <c r="A897" s="19" t="str">
        <f t="shared" si="27"/>
        <v/>
      </c>
      <c r="K897" s="21" t="str">
        <f>IF(J897&lt;&gt;"",VLOOKUP(J897,HeadCount!A:I,2,0),"")</f>
        <v/>
      </c>
      <c r="L897" s="21" t="str">
        <f>IF(J897&lt;&gt;"",VLOOKUP(J897,HeadCount!A:I,5,0),"")</f>
        <v/>
      </c>
      <c r="P897" s="19" t="str">
        <f t="shared" si="28"/>
        <v/>
      </c>
    </row>
    <row r="898" spans="1:16" x14ac:dyDescent="0.3">
      <c r="A898" s="19" t="str">
        <f t="shared" ref="A898:A961" si="29">IF(C898&lt;&gt;"",ROW(A897),"")</f>
        <v/>
      </c>
      <c r="K898" s="21" t="str">
        <f>IF(J898&lt;&gt;"",VLOOKUP(J898,HeadCount!A:I,2,0),"")</f>
        <v/>
      </c>
      <c r="L898" s="21" t="str">
        <f>IF(J898&lt;&gt;"",VLOOKUP(J898,HeadCount!A:I,5,0),"")</f>
        <v/>
      </c>
      <c r="P898" s="19" t="str">
        <f t="shared" si="28"/>
        <v/>
      </c>
    </row>
    <row r="899" spans="1:16" x14ac:dyDescent="0.3">
      <c r="A899" s="19" t="str">
        <f t="shared" si="29"/>
        <v/>
      </c>
      <c r="K899" s="21" t="str">
        <f>IF(J899&lt;&gt;"",VLOOKUP(J899,HeadCount!A:I,2,0),"")</f>
        <v/>
      </c>
      <c r="L899" s="21" t="str">
        <f>IF(J899&lt;&gt;"",VLOOKUP(J899,HeadCount!A:I,5,0),"")</f>
        <v/>
      </c>
      <c r="P899" s="19" t="str">
        <f t="shared" ref="P899:P962" si="30">IF(N899="","",(O899-N899)+1)</f>
        <v/>
      </c>
    </row>
    <row r="900" spans="1:16" x14ac:dyDescent="0.3">
      <c r="A900" s="19" t="str">
        <f t="shared" si="29"/>
        <v/>
      </c>
      <c r="K900" s="21" t="str">
        <f>IF(J900&lt;&gt;"",VLOOKUP(J900,HeadCount!A:I,2,0),"")</f>
        <v/>
      </c>
      <c r="L900" s="21" t="str">
        <f>IF(J900&lt;&gt;"",VLOOKUP(J900,HeadCount!A:I,5,0),"")</f>
        <v/>
      </c>
      <c r="P900" s="19" t="str">
        <f t="shared" si="30"/>
        <v/>
      </c>
    </row>
    <row r="901" spans="1:16" x14ac:dyDescent="0.3">
      <c r="A901" s="19" t="str">
        <f t="shared" si="29"/>
        <v/>
      </c>
      <c r="K901" s="21" t="str">
        <f>IF(J901&lt;&gt;"",VLOOKUP(J901,HeadCount!A:I,2,0),"")</f>
        <v/>
      </c>
      <c r="L901" s="21" t="str">
        <f>IF(J901&lt;&gt;"",VLOOKUP(J901,HeadCount!A:I,5,0),"")</f>
        <v/>
      </c>
      <c r="P901" s="19" t="str">
        <f t="shared" si="30"/>
        <v/>
      </c>
    </row>
    <row r="902" spans="1:16" x14ac:dyDescent="0.3">
      <c r="A902" s="19" t="str">
        <f t="shared" si="29"/>
        <v/>
      </c>
      <c r="K902" s="21" t="str">
        <f>IF(J902&lt;&gt;"",VLOOKUP(J902,HeadCount!A:I,2,0),"")</f>
        <v/>
      </c>
      <c r="L902" s="21" t="str">
        <f>IF(J902&lt;&gt;"",VLOOKUP(J902,HeadCount!A:I,5,0),"")</f>
        <v/>
      </c>
      <c r="P902" s="19" t="str">
        <f t="shared" si="30"/>
        <v/>
      </c>
    </row>
    <row r="903" spans="1:16" x14ac:dyDescent="0.3">
      <c r="A903" s="19" t="str">
        <f t="shared" si="29"/>
        <v/>
      </c>
      <c r="K903" s="21" t="str">
        <f>IF(J903&lt;&gt;"",VLOOKUP(J903,HeadCount!A:I,2,0),"")</f>
        <v/>
      </c>
      <c r="L903" s="21" t="str">
        <f>IF(J903&lt;&gt;"",VLOOKUP(J903,HeadCount!A:I,5,0),"")</f>
        <v/>
      </c>
      <c r="P903" s="19" t="str">
        <f t="shared" si="30"/>
        <v/>
      </c>
    </row>
    <row r="904" spans="1:16" x14ac:dyDescent="0.3">
      <c r="A904" s="19" t="str">
        <f t="shared" si="29"/>
        <v/>
      </c>
      <c r="K904" s="21" t="str">
        <f>IF(J904&lt;&gt;"",VLOOKUP(J904,HeadCount!A:I,2,0),"")</f>
        <v/>
      </c>
      <c r="L904" s="21" t="str">
        <f>IF(J904&lt;&gt;"",VLOOKUP(J904,HeadCount!A:I,5,0),"")</f>
        <v/>
      </c>
      <c r="P904" s="19" t="str">
        <f t="shared" si="30"/>
        <v/>
      </c>
    </row>
    <row r="905" spans="1:16" x14ac:dyDescent="0.3">
      <c r="A905" s="19" t="str">
        <f t="shared" si="29"/>
        <v/>
      </c>
      <c r="K905" s="21" t="str">
        <f>IF(J905&lt;&gt;"",VLOOKUP(J905,HeadCount!A:I,2,0),"")</f>
        <v/>
      </c>
      <c r="L905" s="21" t="str">
        <f>IF(J905&lt;&gt;"",VLOOKUP(J905,HeadCount!A:I,5,0),"")</f>
        <v/>
      </c>
      <c r="P905" s="19" t="str">
        <f t="shared" si="30"/>
        <v/>
      </c>
    </row>
    <row r="906" spans="1:16" x14ac:dyDescent="0.3">
      <c r="A906" s="19" t="str">
        <f t="shared" si="29"/>
        <v/>
      </c>
      <c r="E906" s="38"/>
      <c r="K906" s="21" t="str">
        <f>IF(J906&lt;&gt;"",VLOOKUP(J906,HeadCount!A:I,2,0),"")</f>
        <v/>
      </c>
      <c r="L906" s="21" t="str">
        <f>IF(J906&lt;&gt;"",VLOOKUP(J906,HeadCount!A:I,5,0),"")</f>
        <v/>
      </c>
      <c r="P906" s="19" t="str">
        <f t="shared" si="30"/>
        <v/>
      </c>
    </row>
    <row r="907" spans="1:16" x14ac:dyDescent="0.3">
      <c r="A907" s="19" t="str">
        <f t="shared" si="29"/>
        <v/>
      </c>
      <c r="K907" s="21" t="str">
        <f>IF(J907&lt;&gt;"",VLOOKUP(J907,HeadCount!A:I,2,0),"")</f>
        <v/>
      </c>
      <c r="L907" s="21" t="str">
        <f>IF(J907&lt;&gt;"",VLOOKUP(J907,HeadCount!A:I,5,0),"")</f>
        <v/>
      </c>
      <c r="P907" s="19" t="str">
        <f t="shared" si="30"/>
        <v/>
      </c>
    </row>
    <row r="908" spans="1:16" x14ac:dyDescent="0.3">
      <c r="A908" s="19" t="str">
        <f t="shared" si="29"/>
        <v/>
      </c>
      <c r="K908" s="21" t="str">
        <f>IF(J908&lt;&gt;"",VLOOKUP(J908,HeadCount!A:I,2,0),"")</f>
        <v/>
      </c>
      <c r="L908" s="21" t="str">
        <f>IF(J908&lt;&gt;"",VLOOKUP(J908,HeadCount!A:I,5,0),"")</f>
        <v/>
      </c>
      <c r="P908" s="19" t="str">
        <f t="shared" si="30"/>
        <v/>
      </c>
    </row>
    <row r="909" spans="1:16" x14ac:dyDescent="0.3">
      <c r="A909" s="19" t="str">
        <f t="shared" si="29"/>
        <v/>
      </c>
      <c r="K909" s="21" t="str">
        <f>IF(J909&lt;&gt;"",VLOOKUP(J909,HeadCount!A:I,2,0),"")</f>
        <v/>
      </c>
      <c r="L909" s="21" t="str">
        <f>IF(J909&lt;&gt;"",VLOOKUP(J909,HeadCount!A:I,5,0),"")</f>
        <v/>
      </c>
      <c r="P909" s="19" t="str">
        <f t="shared" si="30"/>
        <v/>
      </c>
    </row>
    <row r="910" spans="1:16" x14ac:dyDescent="0.3">
      <c r="A910" s="19" t="str">
        <f t="shared" si="29"/>
        <v/>
      </c>
      <c r="K910" s="21" t="str">
        <f>IF(J910&lt;&gt;"",VLOOKUP(J910,HeadCount!A:I,2,0),"")</f>
        <v/>
      </c>
      <c r="L910" s="21" t="str">
        <f>IF(J910&lt;&gt;"",VLOOKUP(J910,HeadCount!A:I,5,0),"")</f>
        <v/>
      </c>
      <c r="P910" s="19" t="str">
        <f t="shared" si="30"/>
        <v/>
      </c>
    </row>
    <row r="911" spans="1:16" x14ac:dyDescent="0.3">
      <c r="A911" s="19" t="str">
        <f t="shared" si="29"/>
        <v/>
      </c>
      <c r="K911" s="21" t="str">
        <f>IF(J911&lt;&gt;"",VLOOKUP(J911,HeadCount!A:I,2,0),"")</f>
        <v/>
      </c>
      <c r="L911" s="21" t="str">
        <f>IF(J911&lt;&gt;"",VLOOKUP(J911,HeadCount!A:I,5,0),"")</f>
        <v/>
      </c>
      <c r="P911" s="19" t="str">
        <f t="shared" si="30"/>
        <v/>
      </c>
    </row>
    <row r="912" spans="1:16" x14ac:dyDescent="0.3">
      <c r="A912" s="19" t="str">
        <f t="shared" si="29"/>
        <v/>
      </c>
      <c r="K912" s="21" t="str">
        <f>IF(J912&lt;&gt;"",VLOOKUP(J912,HeadCount!A:I,2,0),"")</f>
        <v/>
      </c>
      <c r="L912" s="21" t="str">
        <f>IF(J912&lt;&gt;"",VLOOKUP(J912,HeadCount!A:I,5,0),"")</f>
        <v/>
      </c>
      <c r="P912" s="19" t="str">
        <f t="shared" si="30"/>
        <v/>
      </c>
    </row>
    <row r="913" spans="1:16" x14ac:dyDescent="0.3">
      <c r="A913" s="19" t="str">
        <f t="shared" si="29"/>
        <v/>
      </c>
      <c r="K913" s="21" t="str">
        <f>IF(J913&lt;&gt;"",VLOOKUP(J913,HeadCount!A:I,2,0),"")</f>
        <v/>
      </c>
      <c r="L913" s="21" t="str">
        <f>IF(J913&lt;&gt;"",VLOOKUP(J913,HeadCount!A:I,5,0),"")</f>
        <v/>
      </c>
      <c r="P913" s="19" t="str">
        <f t="shared" si="30"/>
        <v/>
      </c>
    </row>
    <row r="914" spans="1:16" x14ac:dyDescent="0.3">
      <c r="A914" s="19" t="str">
        <f t="shared" si="29"/>
        <v/>
      </c>
      <c r="K914" s="21" t="str">
        <f>IF(J914&lt;&gt;"",VLOOKUP(J914,HeadCount!A:I,2,0),"")</f>
        <v/>
      </c>
      <c r="L914" s="21" t="str">
        <f>IF(J914&lt;&gt;"",VLOOKUP(J914,HeadCount!A:I,5,0),"")</f>
        <v/>
      </c>
      <c r="P914" s="19" t="str">
        <f t="shared" si="30"/>
        <v/>
      </c>
    </row>
    <row r="915" spans="1:16" x14ac:dyDescent="0.3">
      <c r="A915" s="19" t="str">
        <f t="shared" si="29"/>
        <v/>
      </c>
      <c r="K915" s="21" t="str">
        <f>IF(J915&lt;&gt;"",VLOOKUP(J915,HeadCount!A:I,2,0),"")</f>
        <v/>
      </c>
      <c r="L915" s="21" t="str">
        <f>IF(J915&lt;&gt;"",VLOOKUP(J915,HeadCount!A:I,5,0),"")</f>
        <v/>
      </c>
      <c r="P915" s="19" t="str">
        <f t="shared" si="30"/>
        <v/>
      </c>
    </row>
    <row r="916" spans="1:16" x14ac:dyDescent="0.3">
      <c r="A916" s="19" t="str">
        <f t="shared" si="29"/>
        <v/>
      </c>
      <c r="K916" s="21" t="str">
        <f>IF(J916&lt;&gt;"",VLOOKUP(J916,HeadCount!A:I,2,0),"")</f>
        <v/>
      </c>
      <c r="L916" s="21" t="str">
        <f>IF(J916&lt;&gt;"",VLOOKUP(J916,HeadCount!A:I,5,0),"")</f>
        <v/>
      </c>
      <c r="P916" s="19" t="str">
        <f t="shared" si="30"/>
        <v/>
      </c>
    </row>
    <row r="917" spans="1:16" x14ac:dyDescent="0.3">
      <c r="A917" s="19" t="str">
        <f t="shared" si="29"/>
        <v/>
      </c>
      <c r="K917" s="21" t="str">
        <f>IF(J917&lt;&gt;"",VLOOKUP(J917,HeadCount!A:I,2,0),"")</f>
        <v/>
      </c>
      <c r="L917" s="21" t="str">
        <f>IF(J917&lt;&gt;"",VLOOKUP(J917,HeadCount!A:I,5,0),"")</f>
        <v/>
      </c>
      <c r="P917" s="19" t="str">
        <f t="shared" si="30"/>
        <v/>
      </c>
    </row>
    <row r="918" spans="1:16" x14ac:dyDescent="0.3">
      <c r="A918" s="19" t="str">
        <f t="shared" si="29"/>
        <v/>
      </c>
      <c r="K918" s="21" t="str">
        <f>IF(J918&lt;&gt;"",VLOOKUP(J918,HeadCount!A:I,2,0),"")</f>
        <v/>
      </c>
      <c r="L918" s="21" t="str">
        <f>IF(J918&lt;&gt;"",VLOOKUP(J918,HeadCount!A:I,5,0),"")</f>
        <v/>
      </c>
      <c r="P918" s="19" t="str">
        <f t="shared" si="30"/>
        <v/>
      </c>
    </row>
    <row r="919" spans="1:16" x14ac:dyDescent="0.3">
      <c r="A919" s="19" t="str">
        <f t="shared" si="29"/>
        <v/>
      </c>
      <c r="K919" s="21" t="str">
        <f>IF(J919&lt;&gt;"",VLOOKUP(J919,HeadCount!A:I,2,0),"")</f>
        <v/>
      </c>
      <c r="L919" s="21" t="str">
        <f>IF(J919&lt;&gt;"",VLOOKUP(J919,HeadCount!A:I,5,0),"")</f>
        <v/>
      </c>
      <c r="P919" s="19" t="str">
        <f t="shared" si="30"/>
        <v/>
      </c>
    </row>
    <row r="920" spans="1:16" x14ac:dyDescent="0.3">
      <c r="A920" s="19" t="str">
        <f t="shared" si="29"/>
        <v/>
      </c>
      <c r="K920" s="21" t="str">
        <f>IF(J920&lt;&gt;"",VLOOKUP(J920,HeadCount!A:I,2,0),"")</f>
        <v/>
      </c>
      <c r="L920" s="21" t="str">
        <f>IF(J920&lt;&gt;"",VLOOKUP(J920,HeadCount!A:I,5,0),"")</f>
        <v/>
      </c>
      <c r="P920" s="19" t="str">
        <f t="shared" si="30"/>
        <v/>
      </c>
    </row>
    <row r="921" spans="1:16" x14ac:dyDescent="0.3">
      <c r="A921" s="19" t="str">
        <f t="shared" si="29"/>
        <v/>
      </c>
      <c r="K921" s="21" t="str">
        <f>IF(J921&lt;&gt;"",VLOOKUP(J921,HeadCount!A:I,2,0),"")</f>
        <v/>
      </c>
      <c r="L921" s="21" t="str">
        <f>IF(J921&lt;&gt;"",VLOOKUP(J921,HeadCount!A:I,5,0),"")</f>
        <v/>
      </c>
      <c r="P921" s="19" t="str">
        <f t="shared" si="30"/>
        <v/>
      </c>
    </row>
    <row r="922" spans="1:16" x14ac:dyDescent="0.3">
      <c r="A922" s="19" t="str">
        <f t="shared" si="29"/>
        <v/>
      </c>
      <c r="K922" s="21" t="str">
        <f>IF(J922&lt;&gt;"",VLOOKUP(J922,HeadCount!A:I,2,0),"")</f>
        <v/>
      </c>
      <c r="L922" s="21" t="str">
        <f>IF(J922&lt;&gt;"",VLOOKUP(J922,HeadCount!A:I,5,0),"")</f>
        <v/>
      </c>
      <c r="P922" s="19" t="str">
        <f t="shared" si="30"/>
        <v/>
      </c>
    </row>
    <row r="923" spans="1:16" x14ac:dyDescent="0.3">
      <c r="A923" s="19" t="str">
        <f t="shared" si="29"/>
        <v/>
      </c>
      <c r="E923" s="18"/>
      <c r="K923" s="21" t="str">
        <f>IF(J923&lt;&gt;"",VLOOKUP(J923,HeadCount!A:I,2,0),"")</f>
        <v/>
      </c>
      <c r="L923" s="21" t="str">
        <f>IF(J923&lt;&gt;"",VLOOKUP(J923,HeadCount!A:I,5,0),"")</f>
        <v/>
      </c>
      <c r="P923" s="19" t="str">
        <f t="shared" si="30"/>
        <v/>
      </c>
    </row>
    <row r="924" spans="1:16" x14ac:dyDescent="0.3">
      <c r="A924" s="19" t="str">
        <f t="shared" si="29"/>
        <v/>
      </c>
      <c r="K924" s="21" t="str">
        <f>IF(J924&lt;&gt;"",VLOOKUP(J924,HeadCount!A:I,2,0),"")</f>
        <v/>
      </c>
      <c r="L924" s="21" t="str">
        <f>IF(J924&lt;&gt;"",VLOOKUP(J924,HeadCount!A:I,5,0),"")</f>
        <v/>
      </c>
      <c r="P924" s="19" t="str">
        <f t="shared" si="30"/>
        <v/>
      </c>
    </row>
    <row r="925" spans="1:16" x14ac:dyDescent="0.3">
      <c r="A925" s="19" t="str">
        <f t="shared" si="29"/>
        <v/>
      </c>
      <c r="K925" s="21" t="str">
        <f>IF(J925&lt;&gt;"",VLOOKUP(J925,HeadCount!A:I,2,0),"")</f>
        <v/>
      </c>
      <c r="L925" s="21" t="str">
        <f>IF(J925&lt;&gt;"",VLOOKUP(J925,HeadCount!A:I,5,0),"")</f>
        <v/>
      </c>
      <c r="P925" s="19" t="str">
        <f t="shared" si="30"/>
        <v/>
      </c>
    </row>
    <row r="926" spans="1:16" x14ac:dyDescent="0.3">
      <c r="A926" s="19" t="str">
        <f t="shared" si="29"/>
        <v/>
      </c>
      <c r="K926" s="21" t="str">
        <f>IF(J926&lt;&gt;"",VLOOKUP(J926,HeadCount!A:I,2,0),"")</f>
        <v/>
      </c>
      <c r="L926" s="21" t="str">
        <f>IF(J926&lt;&gt;"",VLOOKUP(J926,HeadCount!A:I,5,0),"")</f>
        <v/>
      </c>
      <c r="P926" s="19" t="str">
        <f t="shared" si="30"/>
        <v/>
      </c>
    </row>
    <row r="927" spans="1:16" x14ac:dyDescent="0.3">
      <c r="A927" s="19" t="str">
        <f t="shared" si="29"/>
        <v/>
      </c>
      <c r="K927" s="21" t="str">
        <f>IF(J927&lt;&gt;"",VLOOKUP(J927,HeadCount!A:I,2,0),"")</f>
        <v/>
      </c>
      <c r="L927" s="21" t="str">
        <f>IF(J927&lt;&gt;"",VLOOKUP(J927,HeadCount!A:I,5,0),"")</f>
        <v/>
      </c>
      <c r="P927" s="19" t="str">
        <f t="shared" si="30"/>
        <v/>
      </c>
    </row>
    <row r="928" spans="1:16" x14ac:dyDescent="0.3">
      <c r="A928" s="19" t="str">
        <f t="shared" si="29"/>
        <v/>
      </c>
      <c r="K928" s="21" t="str">
        <f>IF(J928&lt;&gt;"",VLOOKUP(J928,HeadCount!A:I,2,0),"")</f>
        <v/>
      </c>
      <c r="L928" s="21" t="str">
        <f>IF(J928&lt;&gt;"",VLOOKUP(J928,HeadCount!A:I,5,0),"")</f>
        <v/>
      </c>
      <c r="P928" s="19" t="str">
        <f t="shared" si="30"/>
        <v/>
      </c>
    </row>
    <row r="929" spans="1:16" x14ac:dyDescent="0.3">
      <c r="A929" s="19" t="str">
        <f t="shared" si="29"/>
        <v/>
      </c>
      <c r="K929" s="21" t="str">
        <f>IF(J929&lt;&gt;"",VLOOKUP(J929,HeadCount!A:I,2,0),"")</f>
        <v/>
      </c>
      <c r="L929" s="21" t="str">
        <f>IF(J929&lt;&gt;"",VLOOKUP(J929,HeadCount!A:I,5,0),"")</f>
        <v/>
      </c>
      <c r="P929" s="19" t="str">
        <f t="shared" si="30"/>
        <v/>
      </c>
    </row>
    <row r="930" spans="1:16" x14ac:dyDescent="0.3">
      <c r="A930" s="19" t="str">
        <f t="shared" si="29"/>
        <v/>
      </c>
      <c r="K930" s="21" t="str">
        <f>IF(J930&lt;&gt;"",VLOOKUP(J930,HeadCount!A:I,2,0),"")</f>
        <v/>
      </c>
      <c r="L930" s="21" t="str">
        <f>IF(J930&lt;&gt;"",VLOOKUP(J930,HeadCount!A:I,5,0),"")</f>
        <v/>
      </c>
      <c r="P930" s="19" t="str">
        <f t="shared" si="30"/>
        <v/>
      </c>
    </row>
    <row r="931" spans="1:16" x14ac:dyDescent="0.3">
      <c r="A931" s="19" t="str">
        <f t="shared" si="29"/>
        <v/>
      </c>
      <c r="K931" s="21" t="str">
        <f>IF(J931&lt;&gt;"",VLOOKUP(J931,HeadCount!A:I,2,0),"")</f>
        <v/>
      </c>
      <c r="L931" s="21" t="str">
        <f>IF(J931&lt;&gt;"",VLOOKUP(J931,HeadCount!A:I,5,0),"")</f>
        <v/>
      </c>
      <c r="P931" s="19" t="str">
        <f t="shared" si="30"/>
        <v/>
      </c>
    </row>
    <row r="932" spans="1:16" x14ac:dyDescent="0.3">
      <c r="A932" s="19" t="str">
        <f t="shared" si="29"/>
        <v/>
      </c>
      <c r="K932" s="21" t="str">
        <f>IF(J932&lt;&gt;"",VLOOKUP(J932,HeadCount!A:I,2,0),"")</f>
        <v/>
      </c>
      <c r="L932" s="21" t="str">
        <f>IF(J932&lt;&gt;"",VLOOKUP(J932,HeadCount!A:I,5,0),"")</f>
        <v/>
      </c>
      <c r="P932" s="19" t="str">
        <f t="shared" si="30"/>
        <v/>
      </c>
    </row>
    <row r="933" spans="1:16" x14ac:dyDescent="0.3">
      <c r="A933" s="19" t="str">
        <f t="shared" si="29"/>
        <v/>
      </c>
      <c r="K933" s="21" t="str">
        <f>IF(J933&lt;&gt;"",VLOOKUP(J933,HeadCount!A:I,2,0),"")</f>
        <v/>
      </c>
      <c r="L933" s="21" t="str">
        <f>IF(J933&lt;&gt;"",VLOOKUP(J933,HeadCount!A:I,5,0),"")</f>
        <v/>
      </c>
      <c r="P933" s="19" t="str">
        <f t="shared" si="30"/>
        <v/>
      </c>
    </row>
    <row r="934" spans="1:16" x14ac:dyDescent="0.3">
      <c r="A934" s="19" t="str">
        <f t="shared" si="29"/>
        <v/>
      </c>
      <c r="K934" s="21" t="str">
        <f>IF(J934&lt;&gt;"",VLOOKUP(J934,HeadCount!A:I,2,0),"")</f>
        <v/>
      </c>
      <c r="L934" s="21" t="str">
        <f>IF(J934&lt;&gt;"",VLOOKUP(J934,HeadCount!A:I,5,0),"")</f>
        <v/>
      </c>
      <c r="P934" s="19" t="str">
        <f t="shared" si="30"/>
        <v/>
      </c>
    </row>
    <row r="935" spans="1:16" x14ac:dyDescent="0.3">
      <c r="A935" s="19" t="str">
        <f t="shared" si="29"/>
        <v/>
      </c>
      <c r="K935" s="21" t="str">
        <f>IF(J935&lt;&gt;"",VLOOKUP(J935,HeadCount!A:I,2,0),"")</f>
        <v/>
      </c>
      <c r="L935" s="21" t="str">
        <f>IF(J935&lt;&gt;"",VLOOKUP(J935,HeadCount!A:I,5,0),"")</f>
        <v/>
      </c>
      <c r="P935" s="19" t="str">
        <f t="shared" si="30"/>
        <v/>
      </c>
    </row>
    <row r="936" spans="1:16" x14ac:dyDescent="0.3">
      <c r="A936" s="19" t="str">
        <f t="shared" si="29"/>
        <v/>
      </c>
      <c r="K936" s="21" t="str">
        <f>IF(J936&lt;&gt;"",VLOOKUP(J936,HeadCount!A:I,2,0),"")</f>
        <v/>
      </c>
      <c r="L936" s="21" t="str">
        <f>IF(J936&lt;&gt;"",VLOOKUP(J936,HeadCount!A:I,5,0),"")</f>
        <v/>
      </c>
      <c r="P936" s="19" t="str">
        <f t="shared" si="30"/>
        <v/>
      </c>
    </row>
    <row r="937" spans="1:16" x14ac:dyDescent="0.3">
      <c r="A937" s="19" t="str">
        <f t="shared" si="29"/>
        <v/>
      </c>
      <c r="K937" s="21" t="str">
        <f>IF(J937&lt;&gt;"",VLOOKUP(J937,HeadCount!A:I,2,0),"")</f>
        <v/>
      </c>
      <c r="L937" s="21" t="str">
        <f>IF(J937&lt;&gt;"",VLOOKUP(J937,HeadCount!A:I,5,0),"")</f>
        <v/>
      </c>
      <c r="P937" s="19" t="str">
        <f t="shared" si="30"/>
        <v/>
      </c>
    </row>
    <row r="938" spans="1:16" x14ac:dyDescent="0.3">
      <c r="A938" s="19" t="str">
        <f t="shared" si="29"/>
        <v/>
      </c>
      <c r="K938" s="21" t="str">
        <f>IF(J938&lt;&gt;"",VLOOKUP(J938,HeadCount!A:I,2,0),"")</f>
        <v/>
      </c>
      <c r="L938" s="21" t="str">
        <f>IF(J938&lt;&gt;"",VLOOKUP(J938,HeadCount!A:I,5,0),"")</f>
        <v/>
      </c>
      <c r="P938" s="19" t="str">
        <f t="shared" si="30"/>
        <v/>
      </c>
    </row>
    <row r="939" spans="1:16" x14ac:dyDescent="0.3">
      <c r="A939" s="19" t="str">
        <f t="shared" si="29"/>
        <v/>
      </c>
      <c r="K939" s="21" t="str">
        <f>IF(J939&lt;&gt;"",VLOOKUP(J939,HeadCount!A:I,2,0),"")</f>
        <v/>
      </c>
      <c r="L939" s="21" t="str">
        <f>IF(J939&lt;&gt;"",VLOOKUP(J939,HeadCount!A:I,5,0),"")</f>
        <v/>
      </c>
      <c r="P939" s="19" t="str">
        <f t="shared" si="30"/>
        <v/>
      </c>
    </row>
    <row r="940" spans="1:16" x14ac:dyDescent="0.3">
      <c r="A940" s="19" t="str">
        <f t="shared" si="29"/>
        <v/>
      </c>
      <c r="K940" s="21" t="str">
        <f>IF(J940&lt;&gt;"",VLOOKUP(J940,HeadCount!A:I,2,0),"")</f>
        <v/>
      </c>
      <c r="L940" s="21" t="str">
        <f>IF(J940&lt;&gt;"",VLOOKUP(J940,HeadCount!A:I,5,0),"")</f>
        <v/>
      </c>
      <c r="P940" s="19" t="str">
        <f t="shared" si="30"/>
        <v/>
      </c>
    </row>
    <row r="941" spans="1:16" x14ac:dyDescent="0.3">
      <c r="A941" s="19" t="str">
        <f t="shared" si="29"/>
        <v/>
      </c>
      <c r="K941" s="21" t="str">
        <f>IF(J941&lt;&gt;"",VLOOKUP(J941,HeadCount!A:I,2,0),"")</f>
        <v/>
      </c>
      <c r="L941" s="21" t="str">
        <f>IF(J941&lt;&gt;"",VLOOKUP(J941,HeadCount!A:I,5,0),"")</f>
        <v/>
      </c>
      <c r="P941" s="19" t="str">
        <f t="shared" si="30"/>
        <v/>
      </c>
    </row>
    <row r="942" spans="1:16" x14ac:dyDescent="0.3">
      <c r="A942" s="19" t="str">
        <f t="shared" si="29"/>
        <v/>
      </c>
      <c r="K942" s="21" t="str">
        <f>IF(J942&lt;&gt;"",VLOOKUP(J942,HeadCount!A:I,2,0),"")</f>
        <v/>
      </c>
      <c r="L942" s="21" t="str">
        <f>IF(J942&lt;&gt;"",VLOOKUP(J942,HeadCount!A:I,5,0),"")</f>
        <v/>
      </c>
      <c r="P942" s="19" t="str">
        <f t="shared" si="30"/>
        <v/>
      </c>
    </row>
    <row r="943" spans="1:16" x14ac:dyDescent="0.3">
      <c r="A943" s="19" t="str">
        <f t="shared" si="29"/>
        <v/>
      </c>
      <c r="K943" s="21" t="str">
        <f>IF(J943&lt;&gt;"",VLOOKUP(J943,HeadCount!A:I,2,0),"")</f>
        <v/>
      </c>
      <c r="L943" s="21" t="str">
        <f>IF(J943&lt;&gt;"",VLOOKUP(J943,HeadCount!A:I,5,0),"")</f>
        <v/>
      </c>
      <c r="P943" s="19" t="str">
        <f t="shared" si="30"/>
        <v/>
      </c>
    </row>
    <row r="944" spans="1:16" x14ac:dyDescent="0.3">
      <c r="A944" s="19" t="str">
        <f t="shared" si="29"/>
        <v/>
      </c>
      <c r="K944" s="21" t="str">
        <f>IF(J944&lt;&gt;"",VLOOKUP(J944,HeadCount!A:I,2,0),"")</f>
        <v/>
      </c>
      <c r="L944" s="21" t="str">
        <f>IF(J944&lt;&gt;"",VLOOKUP(J944,HeadCount!A:I,5,0),"")</f>
        <v/>
      </c>
      <c r="P944" s="19" t="str">
        <f t="shared" si="30"/>
        <v/>
      </c>
    </row>
    <row r="945" spans="1:16" x14ac:dyDescent="0.3">
      <c r="A945" s="19" t="str">
        <f t="shared" si="29"/>
        <v/>
      </c>
      <c r="K945" s="21" t="str">
        <f>IF(J945&lt;&gt;"",VLOOKUP(J945,HeadCount!A:I,2,0),"")</f>
        <v/>
      </c>
      <c r="L945" s="21" t="str">
        <f>IF(J945&lt;&gt;"",VLOOKUP(J945,HeadCount!A:I,5,0),"")</f>
        <v/>
      </c>
      <c r="P945" s="19" t="str">
        <f t="shared" si="30"/>
        <v/>
      </c>
    </row>
    <row r="946" spans="1:16" x14ac:dyDescent="0.3">
      <c r="A946" s="19" t="str">
        <f t="shared" si="29"/>
        <v/>
      </c>
      <c r="K946" s="21" t="str">
        <f>IF(J946&lt;&gt;"",VLOOKUP(J946,HeadCount!A:I,2,0),"")</f>
        <v/>
      </c>
      <c r="L946" s="21" t="str">
        <f>IF(J946&lt;&gt;"",VLOOKUP(J946,HeadCount!A:I,5,0),"")</f>
        <v/>
      </c>
      <c r="P946" s="19" t="str">
        <f t="shared" si="30"/>
        <v/>
      </c>
    </row>
    <row r="947" spans="1:16" x14ac:dyDescent="0.3">
      <c r="A947" s="19" t="str">
        <f t="shared" si="29"/>
        <v/>
      </c>
      <c r="K947" s="21" t="str">
        <f>IF(J947&lt;&gt;"",VLOOKUP(J947,HeadCount!A:I,2,0),"")</f>
        <v/>
      </c>
      <c r="L947" s="21" t="str">
        <f>IF(J947&lt;&gt;"",VLOOKUP(J947,HeadCount!A:I,5,0),"")</f>
        <v/>
      </c>
      <c r="P947" s="19" t="str">
        <f t="shared" si="30"/>
        <v/>
      </c>
    </row>
    <row r="948" spans="1:16" x14ac:dyDescent="0.3">
      <c r="A948" s="19" t="str">
        <f t="shared" si="29"/>
        <v/>
      </c>
      <c r="K948" s="21" t="str">
        <f>IF(J948&lt;&gt;"",VLOOKUP(J948,HeadCount!A:I,2,0),"")</f>
        <v/>
      </c>
      <c r="L948" s="21" t="str">
        <f>IF(J948&lt;&gt;"",VLOOKUP(J948,HeadCount!A:I,5,0),"")</f>
        <v/>
      </c>
      <c r="P948" s="19" t="str">
        <f t="shared" si="30"/>
        <v/>
      </c>
    </row>
    <row r="949" spans="1:16" x14ac:dyDescent="0.3">
      <c r="A949" s="19" t="str">
        <f t="shared" si="29"/>
        <v/>
      </c>
      <c r="K949" s="21" t="str">
        <f>IF(J949&lt;&gt;"",VLOOKUP(J949,HeadCount!A:I,2,0),"")</f>
        <v/>
      </c>
      <c r="L949" s="21" t="str">
        <f>IF(J949&lt;&gt;"",VLOOKUP(J949,HeadCount!A:I,5,0),"")</f>
        <v/>
      </c>
      <c r="P949" s="19" t="str">
        <f t="shared" si="30"/>
        <v/>
      </c>
    </row>
    <row r="950" spans="1:16" x14ac:dyDescent="0.3">
      <c r="A950" s="19" t="str">
        <f t="shared" si="29"/>
        <v/>
      </c>
      <c r="K950" s="21" t="str">
        <f>IF(J950&lt;&gt;"",VLOOKUP(J950,HeadCount!A:I,2,0),"")</f>
        <v/>
      </c>
      <c r="L950" s="21" t="str">
        <f>IF(J950&lt;&gt;"",VLOOKUP(J950,HeadCount!A:I,5,0),"")</f>
        <v/>
      </c>
      <c r="P950" s="19" t="str">
        <f t="shared" si="30"/>
        <v/>
      </c>
    </row>
    <row r="951" spans="1:16" x14ac:dyDescent="0.3">
      <c r="A951" s="19" t="str">
        <f t="shared" si="29"/>
        <v/>
      </c>
      <c r="E951" s="37"/>
      <c r="K951" s="21" t="str">
        <f>IF(J951&lt;&gt;"",VLOOKUP(J951,HeadCount!A:I,2,0),"")</f>
        <v/>
      </c>
      <c r="L951" s="21" t="str">
        <f>IF(J951&lt;&gt;"",VLOOKUP(J951,HeadCount!A:I,5,0),"")</f>
        <v/>
      </c>
      <c r="P951" s="19" t="str">
        <f t="shared" si="30"/>
        <v/>
      </c>
    </row>
    <row r="952" spans="1:16" x14ac:dyDescent="0.3">
      <c r="A952" s="19" t="str">
        <f t="shared" si="29"/>
        <v/>
      </c>
      <c r="K952" s="21" t="str">
        <f>IF(J952&lt;&gt;"",VLOOKUP(J952,HeadCount!A:I,2,0),"")</f>
        <v/>
      </c>
      <c r="L952" s="21" t="str">
        <f>IF(J952&lt;&gt;"",VLOOKUP(J952,HeadCount!A:I,5,0),"")</f>
        <v/>
      </c>
      <c r="P952" s="19" t="str">
        <f t="shared" si="30"/>
        <v/>
      </c>
    </row>
    <row r="953" spans="1:16" x14ac:dyDescent="0.3">
      <c r="A953" s="19" t="str">
        <f t="shared" si="29"/>
        <v/>
      </c>
      <c r="K953" s="21" t="str">
        <f>IF(J953&lt;&gt;"",VLOOKUP(J953,HeadCount!A:I,2,0),"")</f>
        <v/>
      </c>
      <c r="L953" s="21" t="str">
        <f>IF(J953&lt;&gt;"",VLOOKUP(J953,HeadCount!A:I,5,0),"")</f>
        <v/>
      </c>
      <c r="P953" s="19" t="str">
        <f t="shared" si="30"/>
        <v/>
      </c>
    </row>
    <row r="954" spans="1:16" x14ac:dyDescent="0.3">
      <c r="A954" s="19" t="str">
        <f t="shared" si="29"/>
        <v/>
      </c>
      <c r="K954" s="21" t="str">
        <f>IF(J954&lt;&gt;"",VLOOKUP(J954,HeadCount!A:I,2,0),"")</f>
        <v/>
      </c>
      <c r="L954" s="21" t="str">
        <f>IF(J954&lt;&gt;"",VLOOKUP(J954,HeadCount!A:I,5,0),"")</f>
        <v/>
      </c>
      <c r="P954" s="19" t="str">
        <f t="shared" si="30"/>
        <v/>
      </c>
    </row>
    <row r="955" spans="1:16" x14ac:dyDescent="0.3">
      <c r="A955" s="19" t="str">
        <f t="shared" si="29"/>
        <v/>
      </c>
      <c r="K955" s="21" t="str">
        <f>IF(J955&lt;&gt;"",VLOOKUP(J955,HeadCount!A:I,2,0),"")</f>
        <v/>
      </c>
      <c r="L955" s="21" t="str">
        <f>IF(J955&lt;&gt;"",VLOOKUP(J955,HeadCount!A:I,5,0),"")</f>
        <v/>
      </c>
      <c r="P955" s="19" t="str">
        <f t="shared" si="30"/>
        <v/>
      </c>
    </row>
    <row r="956" spans="1:16" x14ac:dyDescent="0.3">
      <c r="A956" s="19" t="str">
        <f t="shared" si="29"/>
        <v/>
      </c>
      <c r="K956" s="21" t="str">
        <f>IF(J956&lt;&gt;"",VLOOKUP(J956,HeadCount!A:I,2,0),"")</f>
        <v/>
      </c>
      <c r="L956" s="21" t="str">
        <f>IF(J956&lt;&gt;"",VLOOKUP(J956,HeadCount!A:I,5,0),"")</f>
        <v/>
      </c>
      <c r="P956" s="19" t="str">
        <f t="shared" si="30"/>
        <v/>
      </c>
    </row>
    <row r="957" spans="1:16" x14ac:dyDescent="0.3">
      <c r="A957" s="19" t="str">
        <f t="shared" si="29"/>
        <v/>
      </c>
      <c r="K957" s="21" t="str">
        <f>IF(J957&lt;&gt;"",VLOOKUP(J957,HeadCount!A:I,2,0),"")</f>
        <v/>
      </c>
      <c r="L957" s="21" t="str">
        <f>IF(J957&lt;&gt;"",VLOOKUP(J957,HeadCount!A:I,5,0),"")</f>
        <v/>
      </c>
      <c r="P957" s="19" t="str">
        <f t="shared" si="30"/>
        <v/>
      </c>
    </row>
    <row r="958" spans="1:16" x14ac:dyDescent="0.3">
      <c r="A958" s="19" t="str">
        <f t="shared" si="29"/>
        <v/>
      </c>
      <c r="K958" s="21" t="str">
        <f>IF(J958&lt;&gt;"",VLOOKUP(J958,HeadCount!A:I,2,0),"")</f>
        <v/>
      </c>
      <c r="L958" s="21" t="str">
        <f>IF(J958&lt;&gt;"",VLOOKUP(J958,HeadCount!A:I,5,0),"")</f>
        <v/>
      </c>
      <c r="P958" s="19" t="str">
        <f t="shared" si="30"/>
        <v/>
      </c>
    </row>
    <row r="959" spans="1:16" x14ac:dyDescent="0.3">
      <c r="A959" s="19" t="str">
        <f t="shared" si="29"/>
        <v/>
      </c>
      <c r="K959" s="21" t="str">
        <f>IF(J959&lt;&gt;"",VLOOKUP(J959,HeadCount!A:I,2,0),"")</f>
        <v/>
      </c>
      <c r="L959" s="21" t="str">
        <f>IF(J959&lt;&gt;"",VLOOKUP(J959,HeadCount!A:I,5,0),"")</f>
        <v/>
      </c>
      <c r="P959" s="19" t="str">
        <f t="shared" si="30"/>
        <v/>
      </c>
    </row>
    <row r="960" spans="1:16" x14ac:dyDescent="0.3">
      <c r="A960" s="19" t="str">
        <f t="shared" si="29"/>
        <v/>
      </c>
      <c r="E960" s="37"/>
      <c r="K960" s="21" t="str">
        <f>IF(J960&lt;&gt;"",VLOOKUP(J960,HeadCount!A:I,2,0),"")</f>
        <v/>
      </c>
      <c r="L960" s="21" t="str">
        <f>IF(J960&lt;&gt;"",VLOOKUP(J960,HeadCount!A:I,5,0),"")</f>
        <v/>
      </c>
      <c r="P960" s="19" t="str">
        <f t="shared" si="30"/>
        <v/>
      </c>
    </row>
    <row r="961" spans="1:16" x14ac:dyDescent="0.3">
      <c r="A961" s="19" t="str">
        <f t="shared" si="29"/>
        <v/>
      </c>
      <c r="K961" s="21" t="str">
        <f>IF(J961&lt;&gt;"",VLOOKUP(J961,HeadCount!A:I,2,0),"")</f>
        <v/>
      </c>
      <c r="L961" s="21" t="str">
        <f>IF(J961&lt;&gt;"",VLOOKUP(J961,HeadCount!A:I,5,0),"")</f>
        <v/>
      </c>
      <c r="P961" s="19" t="str">
        <f t="shared" si="30"/>
        <v/>
      </c>
    </row>
    <row r="962" spans="1:16" x14ac:dyDescent="0.3">
      <c r="A962" s="19" t="str">
        <f t="shared" ref="A962:A1025" si="31">IF(C962&lt;&gt;"",ROW(A961),"")</f>
        <v/>
      </c>
      <c r="K962" s="21" t="str">
        <f>IF(J962&lt;&gt;"",VLOOKUP(J962,HeadCount!A:I,2,0),"")</f>
        <v/>
      </c>
      <c r="L962" s="21" t="str">
        <f>IF(J962&lt;&gt;"",VLOOKUP(J962,HeadCount!A:I,5,0),"")</f>
        <v/>
      </c>
      <c r="P962" s="19" t="str">
        <f t="shared" si="30"/>
        <v/>
      </c>
    </row>
    <row r="963" spans="1:16" x14ac:dyDescent="0.3">
      <c r="A963" s="19" t="str">
        <f t="shared" si="31"/>
        <v/>
      </c>
      <c r="E963" s="37"/>
      <c r="K963" s="21" t="str">
        <f>IF(J963&lt;&gt;"",VLOOKUP(J963,HeadCount!A:I,2,0),"")</f>
        <v/>
      </c>
      <c r="L963" s="21" t="str">
        <f>IF(J963&lt;&gt;"",VLOOKUP(J963,HeadCount!A:I,5,0),"")</f>
        <v/>
      </c>
      <c r="P963" s="19" t="str">
        <f t="shared" ref="P963:P1026" si="32">IF(N963="","",(O963-N963)+1)</f>
        <v/>
      </c>
    </row>
    <row r="964" spans="1:16" x14ac:dyDescent="0.3">
      <c r="A964" s="19" t="str">
        <f t="shared" si="31"/>
        <v/>
      </c>
      <c r="K964" s="21" t="str">
        <f>IF(J964&lt;&gt;"",VLOOKUP(J964,HeadCount!A:I,2,0),"")</f>
        <v/>
      </c>
      <c r="L964" s="21" t="str">
        <f>IF(J964&lt;&gt;"",VLOOKUP(J964,HeadCount!A:I,5,0),"")</f>
        <v/>
      </c>
      <c r="P964" s="19" t="str">
        <f t="shared" si="32"/>
        <v/>
      </c>
    </row>
    <row r="965" spans="1:16" x14ac:dyDescent="0.3">
      <c r="A965" s="19" t="str">
        <f t="shared" si="31"/>
        <v/>
      </c>
      <c r="K965" s="21" t="str">
        <f>IF(J965&lt;&gt;"",VLOOKUP(J965,HeadCount!A:I,2,0),"")</f>
        <v/>
      </c>
      <c r="L965" s="21" t="str">
        <f>IF(J965&lt;&gt;"",VLOOKUP(J965,HeadCount!A:I,5,0),"")</f>
        <v/>
      </c>
      <c r="P965" s="19" t="str">
        <f t="shared" si="32"/>
        <v/>
      </c>
    </row>
    <row r="966" spans="1:16" x14ac:dyDescent="0.3">
      <c r="A966" s="19" t="str">
        <f t="shared" si="31"/>
        <v/>
      </c>
      <c r="K966" s="21" t="str">
        <f>IF(J966&lt;&gt;"",VLOOKUP(J966,HeadCount!A:I,2,0),"")</f>
        <v/>
      </c>
      <c r="L966" s="21" t="str">
        <f>IF(J966&lt;&gt;"",VLOOKUP(J966,HeadCount!A:I,5,0),"")</f>
        <v/>
      </c>
      <c r="P966" s="19" t="str">
        <f t="shared" si="32"/>
        <v/>
      </c>
    </row>
    <row r="967" spans="1:16" x14ac:dyDescent="0.3">
      <c r="A967" s="19" t="str">
        <f t="shared" si="31"/>
        <v/>
      </c>
      <c r="K967" s="21" t="str">
        <f>IF(J967&lt;&gt;"",VLOOKUP(J967,HeadCount!A:I,2,0),"")</f>
        <v/>
      </c>
      <c r="L967" s="21" t="str">
        <f>IF(J967&lt;&gt;"",VLOOKUP(J967,HeadCount!A:I,5,0),"")</f>
        <v/>
      </c>
      <c r="P967" s="19" t="str">
        <f t="shared" si="32"/>
        <v/>
      </c>
    </row>
    <row r="968" spans="1:16" x14ac:dyDescent="0.3">
      <c r="A968" s="19" t="str">
        <f t="shared" si="31"/>
        <v/>
      </c>
      <c r="E968" s="37"/>
      <c r="K968" s="21" t="str">
        <f>IF(J968&lt;&gt;"",VLOOKUP(J968,HeadCount!A:I,2,0),"")</f>
        <v/>
      </c>
      <c r="L968" s="21" t="str">
        <f>IF(J968&lt;&gt;"",VLOOKUP(J968,HeadCount!A:I,5,0),"")</f>
        <v/>
      </c>
      <c r="P968" s="19" t="str">
        <f t="shared" si="32"/>
        <v/>
      </c>
    </row>
    <row r="969" spans="1:16" x14ac:dyDescent="0.3">
      <c r="A969" s="19" t="str">
        <f t="shared" si="31"/>
        <v/>
      </c>
      <c r="E969" s="37"/>
      <c r="K969" s="21" t="str">
        <f>IF(J969&lt;&gt;"",VLOOKUP(J969,HeadCount!A:I,2,0),"")</f>
        <v/>
      </c>
      <c r="L969" s="21" t="str">
        <f>IF(J969&lt;&gt;"",VLOOKUP(J969,HeadCount!A:I,5,0),"")</f>
        <v/>
      </c>
      <c r="P969" s="19" t="str">
        <f t="shared" si="32"/>
        <v/>
      </c>
    </row>
    <row r="970" spans="1:16" x14ac:dyDescent="0.3">
      <c r="A970" s="19" t="str">
        <f t="shared" si="31"/>
        <v/>
      </c>
      <c r="K970" s="21" t="str">
        <f>IF(J970&lt;&gt;"",VLOOKUP(J970,HeadCount!A:I,2,0),"")</f>
        <v/>
      </c>
      <c r="L970" s="21" t="str">
        <f>IF(J970&lt;&gt;"",VLOOKUP(J970,HeadCount!A:I,5,0),"")</f>
        <v/>
      </c>
      <c r="P970" s="19" t="str">
        <f t="shared" si="32"/>
        <v/>
      </c>
    </row>
    <row r="971" spans="1:16" x14ac:dyDescent="0.3">
      <c r="A971" s="19" t="str">
        <f t="shared" si="31"/>
        <v/>
      </c>
      <c r="E971" s="31"/>
      <c r="K971" s="21" t="str">
        <f>IF(J971&lt;&gt;"",VLOOKUP(J971,HeadCount!A:I,2,0),"")</f>
        <v/>
      </c>
      <c r="L971" s="21" t="str">
        <f>IF(J971&lt;&gt;"",VLOOKUP(J971,HeadCount!A:I,5,0),"")</f>
        <v/>
      </c>
      <c r="P971" s="19" t="str">
        <f t="shared" si="32"/>
        <v/>
      </c>
    </row>
    <row r="972" spans="1:16" x14ac:dyDescent="0.3">
      <c r="A972" s="19" t="str">
        <f t="shared" si="31"/>
        <v/>
      </c>
      <c r="K972" s="21" t="str">
        <f>IF(J972&lt;&gt;"",VLOOKUP(J972,HeadCount!A:I,2,0),"")</f>
        <v/>
      </c>
      <c r="L972" s="21" t="str">
        <f>IF(J972&lt;&gt;"",VLOOKUP(J972,HeadCount!A:I,5,0),"")</f>
        <v/>
      </c>
      <c r="P972" s="19" t="str">
        <f t="shared" si="32"/>
        <v/>
      </c>
    </row>
    <row r="973" spans="1:16" x14ac:dyDescent="0.3">
      <c r="A973" s="19" t="str">
        <f t="shared" si="31"/>
        <v/>
      </c>
      <c r="K973" s="21" t="str">
        <f>IF(J973&lt;&gt;"",VLOOKUP(J973,HeadCount!A:I,2,0),"")</f>
        <v/>
      </c>
      <c r="L973" s="21" t="str">
        <f>IF(J973&lt;&gt;"",VLOOKUP(J973,HeadCount!A:I,5,0),"")</f>
        <v/>
      </c>
      <c r="P973" s="19" t="str">
        <f t="shared" si="32"/>
        <v/>
      </c>
    </row>
    <row r="974" spans="1:16" x14ac:dyDescent="0.3">
      <c r="A974" s="19" t="str">
        <f t="shared" si="31"/>
        <v/>
      </c>
      <c r="E974" s="37"/>
      <c r="K974" s="21" t="str">
        <f>IF(J974&lt;&gt;"",VLOOKUP(J974,HeadCount!A:I,2,0),"")</f>
        <v/>
      </c>
      <c r="L974" s="21" t="str">
        <f>IF(J974&lt;&gt;"",VLOOKUP(J974,HeadCount!A:I,5,0),"")</f>
        <v/>
      </c>
      <c r="P974" s="19" t="str">
        <f t="shared" si="32"/>
        <v/>
      </c>
    </row>
    <row r="975" spans="1:16" x14ac:dyDescent="0.3">
      <c r="A975" s="19" t="str">
        <f t="shared" si="31"/>
        <v/>
      </c>
      <c r="K975" s="21" t="str">
        <f>IF(J975&lt;&gt;"",VLOOKUP(J975,HeadCount!A:I,2,0),"")</f>
        <v/>
      </c>
      <c r="L975" s="21" t="str">
        <f>IF(J975&lt;&gt;"",VLOOKUP(J975,HeadCount!A:I,5,0),"")</f>
        <v/>
      </c>
      <c r="P975" s="19" t="str">
        <f t="shared" si="32"/>
        <v/>
      </c>
    </row>
    <row r="976" spans="1:16" x14ac:dyDescent="0.3">
      <c r="A976" s="19" t="str">
        <f t="shared" si="31"/>
        <v/>
      </c>
      <c r="E976" s="37"/>
      <c r="K976" s="21" t="str">
        <f>IF(J976&lt;&gt;"",VLOOKUP(J976,HeadCount!A:I,2,0),"")</f>
        <v/>
      </c>
      <c r="L976" s="21" t="str">
        <f>IF(J976&lt;&gt;"",VLOOKUP(J976,HeadCount!A:I,5,0),"")</f>
        <v/>
      </c>
      <c r="P976" s="19" t="str">
        <f t="shared" si="32"/>
        <v/>
      </c>
    </row>
    <row r="977" spans="1:18" x14ac:dyDescent="0.3">
      <c r="A977" s="19" t="str">
        <f t="shared" si="31"/>
        <v/>
      </c>
      <c r="K977" s="21" t="str">
        <f>IF(J977&lt;&gt;"",VLOOKUP(J977,HeadCount!A:I,2,0),"")</f>
        <v/>
      </c>
      <c r="L977" s="21" t="str">
        <f>IF(J977&lt;&gt;"",VLOOKUP(J977,HeadCount!A:I,5,0),"")</f>
        <v/>
      </c>
      <c r="P977" s="19" t="str">
        <f t="shared" si="32"/>
        <v/>
      </c>
    </row>
    <row r="978" spans="1:18" x14ac:dyDescent="0.3">
      <c r="A978" s="19" t="str">
        <f t="shared" si="31"/>
        <v/>
      </c>
      <c r="K978" s="21" t="str">
        <f>IF(J978&lt;&gt;"",VLOOKUP(J978,HeadCount!A:I,2,0),"")</f>
        <v/>
      </c>
      <c r="L978" s="21" t="str">
        <f>IF(J978&lt;&gt;"",VLOOKUP(J978,HeadCount!A:I,5,0),"")</f>
        <v/>
      </c>
      <c r="P978" s="19" t="str">
        <f t="shared" si="32"/>
        <v/>
      </c>
    </row>
    <row r="979" spans="1:18" x14ac:dyDescent="0.3">
      <c r="A979" s="19" t="str">
        <f t="shared" si="31"/>
        <v/>
      </c>
      <c r="K979" s="21" t="str">
        <f>IF(J979&lt;&gt;"",VLOOKUP(J979,HeadCount!A:I,2,0),"")</f>
        <v/>
      </c>
      <c r="L979" s="21" t="str">
        <f>IF(J979&lt;&gt;"",VLOOKUP(J979,HeadCount!A:I,5,0),"")</f>
        <v/>
      </c>
      <c r="P979" s="19" t="str">
        <f t="shared" si="32"/>
        <v/>
      </c>
    </row>
    <row r="980" spans="1:18" x14ac:dyDescent="0.3">
      <c r="A980" s="19" t="str">
        <f t="shared" si="31"/>
        <v/>
      </c>
      <c r="K980" s="21" t="str">
        <f>IF(J980&lt;&gt;"",VLOOKUP(J980,HeadCount!A:I,2,0),"")</f>
        <v/>
      </c>
      <c r="L980" s="21" t="str">
        <f>IF(J980&lt;&gt;"",VLOOKUP(J980,HeadCount!A:I,5,0),"")</f>
        <v/>
      </c>
      <c r="P980" s="19" t="str">
        <f t="shared" si="32"/>
        <v/>
      </c>
    </row>
    <row r="981" spans="1:18" x14ac:dyDescent="0.3">
      <c r="A981" s="19" t="str">
        <f t="shared" si="31"/>
        <v/>
      </c>
      <c r="E981" s="37"/>
      <c r="K981" s="21" t="str">
        <f>IF(J981&lt;&gt;"",VLOOKUP(J981,HeadCount!A:I,2,0),"")</f>
        <v/>
      </c>
      <c r="L981" s="21" t="str">
        <f>IF(J981&lt;&gt;"",VLOOKUP(J981,HeadCount!A:I,5,0),"")</f>
        <v/>
      </c>
      <c r="P981" s="19" t="str">
        <f t="shared" si="32"/>
        <v/>
      </c>
    </row>
    <row r="982" spans="1:18" x14ac:dyDescent="0.3">
      <c r="A982" s="19" t="str">
        <f t="shared" si="31"/>
        <v/>
      </c>
      <c r="B982" s="32"/>
      <c r="C982" s="32"/>
      <c r="D982" s="32"/>
      <c r="E982" s="32"/>
      <c r="F982" s="32"/>
      <c r="H982" s="32"/>
      <c r="I982" s="32"/>
      <c r="J982" s="33"/>
      <c r="K982" s="21" t="str">
        <f>IF(J982&lt;&gt;"",VLOOKUP(J982,HeadCount!A:I,2,0),"")</f>
        <v/>
      </c>
      <c r="L982" s="21" t="str">
        <f>IF(J982&lt;&gt;"",VLOOKUP(J982,HeadCount!A:I,5,0),"")</f>
        <v/>
      </c>
      <c r="M982" s="32"/>
      <c r="N982" s="47"/>
      <c r="O982" s="47"/>
      <c r="P982" s="19" t="str">
        <f t="shared" si="32"/>
        <v/>
      </c>
      <c r="Q982" s="32"/>
      <c r="R982" s="32"/>
    </row>
    <row r="983" spans="1:18" s="19" customFormat="1" x14ac:dyDescent="0.3">
      <c r="A983" s="19" t="str">
        <f t="shared" si="31"/>
        <v/>
      </c>
      <c r="E983" s="38"/>
      <c r="J983" s="26"/>
      <c r="K983" s="21" t="str">
        <f>IF(J983&lt;&gt;"",VLOOKUP(J983,HeadCount!A:I,2,0),"")</f>
        <v/>
      </c>
      <c r="L983" s="21" t="str">
        <f>IF(J983&lt;&gt;"",VLOOKUP(J983,HeadCount!A:I,5,0),"")</f>
        <v/>
      </c>
      <c r="N983" s="46"/>
      <c r="O983" s="46"/>
      <c r="P983" s="19" t="str">
        <f t="shared" si="32"/>
        <v/>
      </c>
    </row>
    <row r="984" spans="1:18" s="19" customFormat="1" x14ac:dyDescent="0.3">
      <c r="A984" s="19" t="str">
        <f t="shared" si="31"/>
        <v/>
      </c>
      <c r="E984" s="38"/>
      <c r="J984" s="26"/>
      <c r="K984" s="21" t="str">
        <f>IF(J984&lt;&gt;"",VLOOKUP(J984,HeadCount!A:I,2,0),"")</f>
        <v/>
      </c>
      <c r="L984" s="21" t="str">
        <f>IF(J984&lt;&gt;"",VLOOKUP(J984,HeadCount!A:I,5,0),"")</f>
        <v/>
      </c>
      <c r="N984" s="46"/>
      <c r="O984" s="46"/>
      <c r="P984" s="19" t="str">
        <f t="shared" si="32"/>
        <v/>
      </c>
    </row>
    <row r="985" spans="1:18" x14ac:dyDescent="0.3">
      <c r="A985" s="19" t="str">
        <f t="shared" si="31"/>
        <v/>
      </c>
      <c r="K985" s="21" t="str">
        <f>IF(J985&lt;&gt;"",VLOOKUP(J985,HeadCount!A:I,2,0),"")</f>
        <v/>
      </c>
      <c r="L985" s="21" t="str">
        <f>IF(J985&lt;&gt;"",VLOOKUP(J985,HeadCount!A:I,5,0),"")</f>
        <v/>
      </c>
      <c r="P985" s="19" t="str">
        <f t="shared" si="32"/>
        <v/>
      </c>
    </row>
    <row r="986" spans="1:18" x14ac:dyDescent="0.3">
      <c r="A986" s="19" t="str">
        <f t="shared" si="31"/>
        <v/>
      </c>
      <c r="K986" s="21" t="str">
        <f>IF(J986&lt;&gt;"",VLOOKUP(J986,HeadCount!A:I,2,0),"")</f>
        <v/>
      </c>
      <c r="L986" s="21" t="str">
        <f>IF(J986&lt;&gt;"",VLOOKUP(J986,HeadCount!A:I,5,0),"")</f>
        <v/>
      </c>
      <c r="P986" s="19" t="str">
        <f t="shared" si="32"/>
        <v/>
      </c>
    </row>
    <row r="987" spans="1:18" x14ac:dyDescent="0.3">
      <c r="A987" s="19" t="str">
        <f t="shared" si="31"/>
        <v/>
      </c>
      <c r="K987" s="21" t="str">
        <f>IF(J987&lt;&gt;"",VLOOKUP(J987,HeadCount!A:I,2,0),"")</f>
        <v/>
      </c>
      <c r="L987" s="21" t="str">
        <f>IF(J987&lt;&gt;"",VLOOKUP(J987,HeadCount!A:I,5,0),"")</f>
        <v/>
      </c>
      <c r="P987" s="19" t="str">
        <f t="shared" si="32"/>
        <v/>
      </c>
    </row>
    <row r="988" spans="1:18" s="19" customFormat="1" x14ac:dyDescent="0.3">
      <c r="A988" s="19" t="str">
        <f t="shared" si="31"/>
        <v/>
      </c>
      <c r="E988" s="38"/>
      <c r="J988" s="26"/>
      <c r="K988" s="21" t="str">
        <f>IF(J988&lt;&gt;"",VLOOKUP(J988,HeadCount!A:I,2,0),"")</f>
        <v/>
      </c>
      <c r="L988" s="21" t="str">
        <f>IF(J988&lt;&gt;"",VLOOKUP(J988,HeadCount!A:I,5,0),"")</f>
        <v/>
      </c>
      <c r="N988" s="46"/>
      <c r="O988" s="46"/>
      <c r="P988" s="19" t="str">
        <f t="shared" si="32"/>
        <v/>
      </c>
    </row>
    <row r="989" spans="1:18" x14ac:dyDescent="0.3">
      <c r="A989" s="19" t="str">
        <f t="shared" si="31"/>
        <v/>
      </c>
      <c r="K989" s="21" t="str">
        <f>IF(J989&lt;&gt;"",VLOOKUP(J989,HeadCount!A:I,2,0),"")</f>
        <v/>
      </c>
      <c r="L989" s="21" t="str">
        <f>IF(J989&lt;&gt;"",VLOOKUP(J989,HeadCount!A:I,5,0),"")</f>
        <v/>
      </c>
      <c r="P989" s="19" t="str">
        <f t="shared" si="32"/>
        <v/>
      </c>
    </row>
    <row r="990" spans="1:18" x14ac:dyDescent="0.3">
      <c r="A990" s="19" t="str">
        <f t="shared" si="31"/>
        <v/>
      </c>
      <c r="K990" s="21" t="str">
        <f>IF(J990&lt;&gt;"",VLOOKUP(J990,HeadCount!A:I,2,0),"")</f>
        <v/>
      </c>
      <c r="L990" s="21" t="str">
        <f>IF(J990&lt;&gt;"",VLOOKUP(J990,HeadCount!A:I,5,0),"")</f>
        <v/>
      </c>
      <c r="P990" s="19" t="str">
        <f t="shared" si="32"/>
        <v/>
      </c>
    </row>
    <row r="991" spans="1:18" x14ac:dyDescent="0.3">
      <c r="A991" s="19" t="str">
        <f t="shared" si="31"/>
        <v/>
      </c>
      <c r="K991" s="21" t="str">
        <f>IF(J991&lt;&gt;"",VLOOKUP(J991,HeadCount!A:I,2,0),"")</f>
        <v/>
      </c>
      <c r="L991" s="21" t="str">
        <f>IF(J991&lt;&gt;"",VLOOKUP(J991,HeadCount!A:I,5,0),"")</f>
        <v/>
      </c>
      <c r="P991" s="19" t="str">
        <f t="shared" si="32"/>
        <v/>
      </c>
    </row>
    <row r="992" spans="1:18" x14ac:dyDescent="0.3">
      <c r="A992" s="19" t="str">
        <f t="shared" si="31"/>
        <v/>
      </c>
      <c r="K992" s="21" t="str">
        <f>IF(J992&lt;&gt;"",VLOOKUP(J992,HeadCount!A:I,2,0),"")</f>
        <v/>
      </c>
      <c r="L992" s="21" t="str">
        <f>IF(J992&lt;&gt;"",VLOOKUP(J992,HeadCount!A:I,5,0),"")</f>
        <v/>
      </c>
      <c r="P992" s="19" t="str">
        <f t="shared" si="32"/>
        <v/>
      </c>
    </row>
    <row r="993" spans="1:16" x14ac:dyDescent="0.3">
      <c r="A993" s="19" t="str">
        <f t="shared" si="31"/>
        <v/>
      </c>
      <c r="K993" s="21" t="str">
        <f>IF(J993&lt;&gt;"",VLOOKUP(J993,HeadCount!A:I,2,0),"")</f>
        <v/>
      </c>
      <c r="L993" s="21" t="str">
        <f>IF(J993&lt;&gt;"",VLOOKUP(J993,HeadCount!A:I,5,0),"")</f>
        <v/>
      </c>
      <c r="P993" s="19" t="str">
        <f t="shared" si="32"/>
        <v/>
      </c>
    </row>
    <row r="994" spans="1:16" x14ac:dyDescent="0.3">
      <c r="A994" s="19" t="str">
        <f t="shared" si="31"/>
        <v/>
      </c>
      <c r="E994" s="37"/>
      <c r="K994" s="21" t="str">
        <f>IF(J994&lt;&gt;"",VLOOKUP(J994,HeadCount!A:I,2,0),"")</f>
        <v/>
      </c>
      <c r="L994" s="21" t="str">
        <f>IF(J994&lt;&gt;"",VLOOKUP(J994,HeadCount!A:I,5,0),"")</f>
        <v/>
      </c>
      <c r="P994" s="19" t="str">
        <f t="shared" si="32"/>
        <v/>
      </c>
    </row>
    <row r="995" spans="1:16" x14ac:dyDescent="0.3">
      <c r="A995" s="19" t="str">
        <f t="shared" si="31"/>
        <v/>
      </c>
      <c r="K995" s="21" t="str">
        <f>IF(J995&lt;&gt;"",VLOOKUP(J995,HeadCount!A:I,2,0),"")</f>
        <v/>
      </c>
      <c r="L995" s="21" t="str">
        <f>IF(J995&lt;&gt;"",VLOOKUP(J995,HeadCount!A:I,5,0),"")</f>
        <v/>
      </c>
      <c r="P995" s="19" t="str">
        <f t="shared" si="32"/>
        <v/>
      </c>
    </row>
    <row r="996" spans="1:16" x14ac:dyDescent="0.3">
      <c r="A996" s="19" t="str">
        <f t="shared" si="31"/>
        <v/>
      </c>
      <c r="K996" s="21" t="str">
        <f>IF(J996&lt;&gt;"",VLOOKUP(J996,HeadCount!A:I,2,0),"")</f>
        <v/>
      </c>
      <c r="L996" s="21" t="str">
        <f>IF(J996&lt;&gt;"",VLOOKUP(J996,HeadCount!A:I,5,0),"")</f>
        <v/>
      </c>
      <c r="P996" s="19" t="str">
        <f t="shared" si="32"/>
        <v/>
      </c>
    </row>
    <row r="997" spans="1:16" x14ac:dyDescent="0.3">
      <c r="A997" s="19" t="str">
        <f t="shared" si="31"/>
        <v/>
      </c>
      <c r="K997" s="21" t="str">
        <f>IF(J997&lt;&gt;"",VLOOKUP(J997,HeadCount!A:I,2,0),"")</f>
        <v/>
      </c>
      <c r="L997" s="21" t="str">
        <f>IF(J997&lt;&gt;"",VLOOKUP(J997,HeadCount!A:I,5,0),"")</f>
        <v/>
      </c>
      <c r="P997" s="19" t="str">
        <f t="shared" si="32"/>
        <v/>
      </c>
    </row>
    <row r="998" spans="1:16" x14ac:dyDescent="0.3">
      <c r="A998" s="19" t="str">
        <f t="shared" si="31"/>
        <v/>
      </c>
      <c r="E998" s="37"/>
      <c r="K998" s="21" t="str">
        <f>IF(J998&lt;&gt;"",VLOOKUP(J998,HeadCount!A:I,2,0),"")</f>
        <v/>
      </c>
      <c r="L998" s="21" t="str">
        <f>IF(J998&lt;&gt;"",VLOOKUP(J998,HeadCount!A:I,5,0),"")</f>
        <v/>
      </c>
      <c r="P998" s="19" t="str">
        <f t="shared" si="32"/>
        <v/>
      </c>
    </row>
    <row r="999" spans="1:16" x14ac:dyDescent="0.3">
      <c r="A999" s="19" t="str">
        <f t="shared" si="31"/>
        <v/>
      </c>
      <c r="K999" s="21" t="str">
        <f>IF(J999&lt;&gt;"",VLOOKUP(J999,HeadCount!A:I,2,0),"")</f>
        <v/>
      </c>
      <c r="L999" s="21" t="str">
        <f>IF(J999&lt;&gt;"",VLOOKUP(J999,HeadCount!A:I,5,0),"")</f>
        <v/>
      </c>
      <c r="P999" s="19" t="str">
        <f t="shared" si="32"/>
        <v/>
      </c>
    </row>
    <row r="1000" spans="1:16" x14ac:dyDescent="0.3">
      <c r="A1000" s="19" t="str">
        <f t="shared" si="31"/>
        <v/>
      </c>
      <c r="K1000" s="21" t="str">
        <f>IF(J1000&lt;&gt;"",VLOOKUP(J1000,HeadCount!A:I,2,0),"")</f>
        <v/>
      </c>
      <c r="L1000" s="21" t="str">
        <f>IF(J1000&lt;&gt;"",VLOOKUP(J1000,HeadCount!A:I,5,0),"")</f>
        <v/>
      </c>
      <c r="P1000" s="19" t="str">
        <f t="shared" si="32"/>
        <v/>
      </c>
    </row>
    <row r="1001" spans="1:16" x14ac:dyDescent="0.3">
      <c r="A1001" s="19" t="str">
        <f t="shared" si="31"/>
        <v/>
      </c>
      <c r="K1001" s="21" t="str">
        <f>IF(J1001&lt;&gt;"",VLOOKUP(J1001,HeadCount!A:I,2,0),"")</f>
        <v/>
      </c>
      <c r="L1001" s="21" t="str">
        <f>IF(J1001&lt;&gt;"",VLOOKUP(J1001,HeadCount!A:I,5,0),"")</f>
        <v/>
      </c>
      <c r="P1001" s="19" t="str">
        <f t="shared" si="32"/>
        <v/>
      </c>
    </row>
    <row r="1002" spans="1:16" x14ac:dyDescent="0.3">
      <c r="A1002" s="19" t="str">
        <f t="shared" si="31"/>
        <v/>
      </c>
      <c r="K1002" s="21" t="str">
        <f>IF(J1002&lt;&gt;"",VLOOKUP(J1002,HeadCount!A:I,2,0),"")</f>
        <v/>
      </c>
      <c r="L1002" s="21" t="str">
        <f>IF(J1002&lt;&gt;"",VLOOKUP(J1002,HeadCount!A:I,5,0),"")</f>
        <v/>
      </c>
      <c r="P1002" s="19" t="str">
        <f t="shared" si="32"/>
        <v/>
      </c>
    </row>
    <row r="1003" spans="1:16" x14ac:dyDescent="0.3">
      <c r="A1003" s="19" t="str">
        <f t="shared" si="31"/>
        <v/>
      </c>
      <c r="K1003" s="21" t="str">
        <f>IF(J1003&lt;&gt;"",VLOOKUP(J1003,HeadCount!A:I,2,0),"")</f>
        <v/>
      </c>
      <c r="L1003" s="21" t="str">
        <f>IF(J1003&lt;&gt;"",VLOOKUP(J1003,HeadCount!A:I,5,0),"")</f>
        <v/>
      </c>
      <c r="P1003" s="19" t="str">
        <f t="shared" si="32"/>
        <v/>
      </c>
    </row>
    <row r="1004" spans="1:16" x14ac:dyDescent="0.3">
      <c r="A1004" s="19" t="str">
        <f t="shared" si="31"/>
        <v/>
      </c>
      <c r="K1004" s="21" t="str">
        <f>IF(J1004&lt;&gt;"",VLOOKUP(J1004,HeadCount!A:I,2,0),"")</f>
        <v/>
      </c>
      <c r="L1004" s="21" t="str">
        <f>IF(J1004&lt;&gt;"",VLOOKUP(J1004,HeadCount!A:I,5,0),"")</f>
        <v/>
      </c>
      <c r="P1004" s="19" t="str">
        <f t="shared" si="32"/>
        <v/>
      </c>
    </row>
    <row r="1005" spans="1:16" x14ac:dyDescent="0.3">
      <c r="A1005" s="19" t="str">
        <f t="shared" si="31"/>
        <v/>
      </c>
      <c r="K1005" s="21" t="str">
        <f>IF(J1005&lt;&gt;"",VLOOKUP(J1005,HeadCount!A:I,2,0),"")</f>
        <v/>
      </c>
      <c r="L1005" s="21" t="str">
        <f>IF(J1005&lt;&gt;"",VLOOKUP(J1005,HeadCount!A:I,5,0),"")</f>
        <v/>
      </c>
      <c r="P1005" s="19" t="str">
        <f t="shared" si="32"/>
        <v/>
      </c>
    </row>
    <row r="1006" spans="1:16" x14ac:dyDescent="0.3">
      <c r="A1006" s="19" t="str">
        <f t="shared" si="31"/>
        <v/>
      </c>
      <c r="K1006" s="21" t="str">
        <f>IF(J1006&lt;&gt;"",VLOOKUP(J1006,HeadCount!A:I,2,0),"")</f>
        <v/>
      </c>
      <c r="L1006" s="21" t="str">
        <f>IF(J1006&lt;&gt;"",VLOOKUP(J1006,HeadCount!A:I,5,0),"")</f>
        <v/>
      </c>
      <c r="P1006" s="19" t="str">
        <f t="shared" si="32"/>
        <v/>
      </c>
    </row>
    <row r="1007" spans="1:16" x14ac:dyDescent="0.3">
      <c r="A1007" s="19" t="str">
        <f t="shared" si="31"/>
        <v/>
      </c>
      <c r="K1007" s="21" t="str">
        <f>IF(J1007&lt;&gt;"",VLOOKUP(J1007,HeadCount!A:I,2,0),"")</f>
        <v/>
      </c>
      <c r="L1007" s="21" t="str">
        <f>IF(J1007&lt;&gt;"",VLOOKUP(J1007,HeadCount!A:I,5,0),"")</f>
        <v/>
      </c>
      <c r="P1007" s="19" t="str">
        <f t="shared" si="32"/>
        <v/>
      </c>
    </row>
    <row r="1008" spans="1:16" x14ac:dyDescent="0.3">
      <c r="A1008" s="19" t="str">
        <f t="shared" si="31"/>
        <v/>
      </c>
      <c r="K1008" s="21" t="str">
        <f>IF(J1008&lt;&gt;"",VLOOKUP(J1008,HeadCount!A:I,2,0),"")</f>
        <v/>
      </c>
      <c r="L1008" s="21" t="str">
        <f>IF(J1008&lt;&gt;"",VLOOKUP(J1008,HeadCount!A:I,5,0),"")</f>
        <v/>
      </c>
      <c r="P1008" s="19" t="str">
        <f t="shared" si="32"/>
        <v/>
      </c>
    </row>
    <row r="1009" spans="1:16" x14ac:dyDescent="0.3">
      <c r="A1009" s="19" t="str">
        <f t="shared" si="31"/>
        <v/>
      </c>
      <c r="K1009" s="21" t="str">
        <f>IF(J1009&lt;&gt;"",VLOOKUP(J1009,HeadCount!A:I,2,0),"")</f>
        <v/>
      </c>
      <c r="L1009" s="21" t="str">
        <f>IF(J1009&lt;&gt;"",VLOOKUP(J1009,HeadCount!A:I,5,0),"")</f>
        <v/>
      </c>
      <c r="P1009" s="19" t="str">
        <f t="shared" si="32"/>
        <v/>
      </c>
    </row>
    <row r="1010" spans="1:16" x14ac:dyDescent="0.3">
      <c r="A1010" s="19" t="str">
        <f t="shared" si="31"/>
        <v/>
      </c>
      <c r="K1010" s="21" t="str">
        <f>IF(J1010&lt;&gt;"",VLOOKUP(J1010,HeadCount!A:I,2,0),"")</f>
        <v/>
      </c>
      <c r="L1010" s="21" t="str">
        <f>IF(J1010&lt;&gt;"",VLOOKUP(J1010,HeadCount!A:I,5,0),"")</f>
        <v/>
      </c>
      <c r="P1010" s="19" t="str">
        <f t="shared" si="32"/>
        <v/>
      </c>
    </row>
    <row r="1011" spans="1:16" x14ac:dyDescent="0.3">
      <c r="A1011" s="19" t="str">
        <f t="shared" si="31"/>
        <v/>
      </c>
      <c r="K1011" s="21" t="str">
        <f>IF(J1011&lt;&gt;"",VLOOKUP(J1011,HeadCount!A:I,2,0),"")</f>
        <v/>
      </c>
      <c r="L1011" s="21" t="str">
        <f>IF(J1011&lt;&gt;"",VLOOKUP(J1011,HeadCount!A:I,5,0),"")</f>
        <v/>
      </c>
      <c r="P1011" s="19" t="str">
        <f t="shared" si="32"/>
        <v/>
      </c>
    </row>
    <row r="1012" spans="1:16" x14ac:dyDescent="0.3">
      <c r="A1012" s="19" t="str">
        <f t="shared" si="31"/>
        <v/>
      </c>
      <c r="K1012" s="21" t="str">
        <f>IF(J1012&lt;&gt;"",VLOOKUP(J1012,HeadCount!A:I,2,0),"")</f>
        <v/>
      </c>
      <c r="L1012" s="21" t="str">
        <f>IF(J1012&lt;&gt;"",VLOOKUP(J1012,HeadCount!A:I,5,0),"")</f>
        <v/>
      </c>
      <c r="P1012" s="19" t="str">
        <f t="shared" si="32"/>
        <v/>
      </c>
    </row>
    <row r="1013" spans="1:16" x14ac:dyDescent="0.3">
      <c r="A1013" s="19" t="str">
        <f t="shared" si="31"/>
        <v/>
      </c>
      <c r="K1013" s="21" t="str">
        <f>IF(J1013&lt;&gt;"",VLOOKUP(J1013,HeadCount!A:I,2,0),"")</f>
        <v/>
      </c>
      <c r="L1013" s="21" t="str">
        <f>IF(J1013&lt;&gt;"",VLOOKUP(J1013,HeadCount!A:I,5,0),"")</f>
        <v/>
      </c>
      <c r="P1013" s="19" t="str">
        <f t="shared" si="32"/>
        <v/>
      </c>
    </row>
    <row r="1014" spans="1:16" x14ac:dyDescent="0.3">
      <c r="A1014" s="19" t="str">
        <f t="shared" si="31"/>
        <v/>
      </c>
      <c r="K1014" s="21" t="str">
        <f>IF(J1014&lt;&gt;"",VLOOKUP(J1014,HeadCount!A:I,2,0),"")</f>
        <v/>
      </c>
      <c r="L1014" s="21" t="str">
        <f>IF(J1014&lt;&gt;"",VLOOKUP(J1014,HeadCount!A:I,5,0),"")</f>
        <v/>
      </c>
      <c r="P1014" s="19" t="str">
        <f t="shared" si="32"/>
        <v/>
      </c>
    </row>
    <row r="1015" spans="1:16" x14ac:dyDescent="0.3">
      <c r="A1015" s="19" t="str">
        <f t="shared" si="31"/>
        <v/>
      </c>
      <c r="K1015" s="21" t="str">
        <f>IF(J1015&lt;&gt;"",VLOOKUP(J1015,HeadCount!A:I,2,0),"")</f>
        <v/>
      </c>
      <c r="L1015" s="21" t="str">
        <f>IF(J1015&lt;&gt;"",VLOOKUP(J1015,HeadCount!A:I,5,0),"")</f>
        <v/>
      </c>
      <c r="P1015" s="19" t="str">
        <f t="shared" si="32"/>
        <v/>
      </c>
    </row>
    <row r="1016" spans="1:16" x14ac:dyDescent="0.3">
      <c r="A1016" s="19" t="str">
        <f t="shared" si="31"/>
        <v/>
      </c>
      <c r="K1016" s="21" t="str">
        <f>IF(J1016&lt;&gt;"",VLOOKUP(J1016,HeadCount!A:I,2,0),"")</f>
        <v/>
      </c>
      <c r="L1016" s="21" t="str">
        <f>IF(J1016&lt;&gt;"",VLOOKUP(J1016,HeadCount!A:I,5,0),"")</f>
        <v/>
      </c>
      <c r="P1016" s="19" t="str">
        <f t="shared" si="32"/>
        <v/>
      </c>
    </row>
    <row r="1017" spans="1:16" x14ac:dyDescent="0.3">
      <c r="A1017" s="19" t="str">
        <f t="shared" si="31"/>
        <v/>
      </c>
      <c r="K1017" s="21" t="str">
        <f>IF(J1017&lt;&gt;"",VLOOKUP(J1017,HeadCount!A:I,2,0),"")</f>
        <v/>
      </c>
      <c r="L1017" s="21" t="str">
        <f>IF(J1017&lt;&gt;"",VLOOKUP(J1017,HeadCount!A:I,5,0),"")</f>
        <v/>
      </c>
      <c r="P1017" s="19" t="str">
        <f t="shared" si="32"/>
        <v/>
      </c>
    </row>
    <row r="1018" spans="1:16" x14ac:dyDescent="0.3">
      <c r="A1018" s="19" t="str">
        <f t="shared" si="31"/>
        <v/>
      </c>
      <c r="K1018" s="21" t="str">
        <f>IF(J1018&lt;&gt;"",VLOOKUP(J1018,HeadCount!A:I,2,0),"")</f>
        <v/>
      </c>
      <c r="L1018" s="21" t="str">
        <f>IF(J1018&lt;&gt;"",VLOOKUP(J1018,HeadCount!A:I,5,0),"")</f>
        <v/>
      </c>
      <c r="P1018" s="19" t="str">
        <f t="shared" si="32"/>
        <v/>
      </c>
    </row>
    <row r="1019" spans="1:16" x14ac:dyDescent="0.3">
      <c r="A1019" s="19" t="str">
        <f t="shared" si="31"/>
        <v/>
      </c>
      <c r="K1019" s="21" t="str">
        <f>IF(J1019&lt;&gt;"",VLOOKUP(J1019,HeadCount!A:I,2,0),"")</f>
        <v/>
      </c>
      <c r="L1019" s="21" t="str">
        <f>IF(J1019&lt;&gt;"",VLOOKUP(J1019,HeadCount!A:I,5,0),"")</f>
        <v/>
      </c>
      <c r="P1019" s="19" t="str">
        <f t="shared" si="32"/>
        <v/>
      </c>
    </row>
    <row r="1020" spans="1:16" x14ac:dyDescent="0.3">
      <c r="A1020" s="19" t="str">
        <f t="shared" si="31"/>
        <v/>
      </c>
      <c r="K1020" s="21" t="str">
        <f>IF(J1020&lt;&gt;"",VLOOKUP(J1020,HeadCount!A:I,2,0),"")</f>
        <v/>
      </c>
      <c r="L1020" s="21" t="str">
        <f>IF(J1020&lt;&gt;"",VLOOKUP(J1020,HeadCount!A:I,5,0),"")</f>
        <v/>
      </c>
      <c r="P1020" s="19" t="str">
        <f t="shared" si="32"/>
        <v/>
      </c>
    </row>
    <row r="1021" spans="1:16" x14ac:dyDescent="0.3">
      <c r="A1021" s="19" t="str">
        <f t="shared" si="31"/>
        <v/>
      </c>
      <c r="K1021" s="21" t="str">
        <f>IF(J1021&lt;&gt;"",VLOOKUP(J1021,HeadCount!A:I,2,0),"")</f>
        <v/>
      </c>
      <c r="L1021" s="21" t="str">
        <f>IF(J1021&lt;&gt;"",VLOOKUP(J1021,HeadCount!A:I,5,0),"")</f>
        <v/>
      </c>
      <c r="P1021" s="19" t="str">
        <f t="shared" si="32"/>
        <v/>
      </c>
    </row>
    <row r="1022" spans="1:16" x14ac:dyDescent="0.3">
      <c r="A1022" s="19" t="str">
        <f t="shared" si="31"/>
        <v/>
      </c>
      <c r="K1022" s="21" t="str">
        <f>IF(J1022&lt;&gt;"",VLOOKUP(J1022,HeadCount!A:I,2,0),"")</f>
        <v/>
      </c>
      <c r="L1022" s="21" t="str">
        <f>IF(J1022&lt;&gt;"",VLOOKUP(J1022,HeadCount!A:I,5,0),"")</f>
        <v/>
      </c>
      <c r="P1022" s="19" t="str">
        <f t="shared" si="32"/>
        <v/>
      </c>
    </row>
    <row r="1023" spans="1:16" x14ac:dyDescent="0.3">
      <c r="A1023" s="19" t="str">
        <f t="shared" si="31"/>
        <v/>
      </c>
      <c r="K1023" s="21" t="str">
        <f>IF(J1023&lt;&gt;"",VLOOKUP(J1023,HeadCount!A:I,2,0),"")</f>
        <v/>
      </c>
      <c r="L1023" s="21" t="str">
        <f>IF(J1023&lt;&gt;"",VLOOKUP(J1023,HeadCount!A:I,5,0),"")</f>
        <v/>
      </c>
      <c r="P1023" s="19" t="str">
        <f t="shared" si="32"/>
        <v/>
      </c>
    </row>
    <row r="1024" spans="1:16" x14ac:dyDescent="0.3">
      <c r="A1024" s="19" t="str">
        <f t="shared" si="31"/>
        <v/>
      </c>
      <c r="K1024" s="21" t="str">
        <f>IF(J1024&lt;&gt;"",VLOOKUP(J1024,HeadCount!A:I,2,0),"")</f>
        <v/>
      </c>
      <c r="L1024" s="21" t="str">
        <f>IF(J1024&lt;&gt;"",VLOOKUP(J1024,HeadCount!A:I,5,0),"")</f>
        <v/>
      </c>
      <c r="P1024" s="19" t="str">
        <f t="shared" si="32"/>
        <v/>
      </c>
    </row>
    <row r="1025" spans="1:16" x14ac:dyDescent="0.3">
      <c r="A1025" s="19" t="str">
        <f t="shared" si="31"/>
        <v/>
      </c>
      <c r="K1025" s="21" t="str">
        <f>IF(J1025&lt;&gt;"",VLOOKUP(J1025,HeadCount!A:I,2,0),"")</f>
        <v/>
      </c>
      <c r="L1025" s="21" t="str">
        <f>IF(J1025&lt;&gt;"",VLOOKUP(J1025,HeadCount!A:I,5,0),"")</f>
        <v/>
      </c>
      <c r="P1025" s="19" t="str">
        <f t="shared" si="32"/>
        <v/>
      </c>
    </row>
    <row r="1026" spans="1:16" x14ac:dyDescent="0.3">
      <c r="A1026" s="19" t="str">
        <f t="shared" ref="A1026:A1089" si="33">IF(C1026&lt;&gt;"",ROW(A1025),"")</f>
        <v/>
      </c>
      <c r="K1026" s="21" t="str">
        <f>IF(J1026&lt;&gt;"",VLOOKUP(J1026,HeadCount!A:I,2,0),"")</f>
        <v/>
      </c>
      <c r="L1026" s="21" t="str">
        <f>IF(J1026&lt;&gt;"",VLOOKUP(J1026,HeadCount!A:I,5,0),"")</f>
        <v/>
      </c>
      <c r="P1026" s="19" t="str">
        <f t="shared" si="32"/>
        <v/>
      </c>
    </row>
    <row r="1027" spans="1:16" x14ac:dyDescent="0.3">
      <c r="A1027" s="19" t="str">
        <f t="shared" si="33"/>
        <v/>
      </c>
      <c r="E1027" s="38"/>
      <c r="K1027" s="21" t="str">
        <f>IF(J1027&lt;&gt;"",VLOOKUP(J1027,HeadCount!A:I,2,0),"")</f>
        <v/>
      </c>
      <c r="L1027" s="21" t="str">
        <f>IF(J1027&lt;&gt;"",VLOOKUP(J1027,HeadCount!A:I,5,0),"")</f>
        <v/>
      </c>
      <c r="P1027" s="19" t="str">
        <f t="shared" ref="P1027:P1090" si="34">IF(N1027="","",(O1027-N1027)+1)</f>
        <v/>
      </c>
    </row>
    <row r="1028" spans="1:16" x14ac:dyDescent="0.3">
      <c r="A1028" s="19" t="str">
        <f t="shared" si="33"/>
        <v/>
      </c>
      <c r="K1028" s="21" t="str">
        <f>IF(J1028&lt;&gt;"",VLOOKUP(J1028,HeadCount!A:I,2,0),"")</f>
        <v/>
      </c>
      <c r="L1028" s="21" t="str">
        <f>IF(J1028&lt;&gt;"",VLOOKUP(J1028,HeadCount!A:I,5,0),"")</f>
        <v/>
      </c>
      <c r="P1028" s="19" t="str">
        <f t="shared" si="34"/>
        <v/>
      </c>
    </row>
    <row r="1029" spans="1:16" x14ac:dyDescent="0.3">
      <c r="A1029" s="19" t="str">
        <f t="shared" si="33"/>
        <v/>
      </c>
      <c r="K1029" s="21" t="str">
        <f>IF(J1029&lt;&gt;"",VLOOKUP(J1029,HeadCount!A:I,2,0),"")</f>
        <v/>
      </c>
      <c r="L1029" s="21" t="str">
        <f>IF(J1029&lt;&gt;"",VLOOKUP(J1029,HeadCount!A:I,5,0),"")</f>
        <v/>
      </c>
      <c r="P1029" s="19" t="str">
        <f t="shared" si="34"/>
        <v/>
      </c>
    </row>
    <row r="1030" spans="1:16" x14ac:dyDescent="0.3">
      <c r="A1030" s="19" t="str">
        <f t="shared" si="33"/>
        <v/>
      </c>
      <c r="K1030" s="21" t="str">
        <f>IF(J1030&lt;&gt;"",VLOOKUP(J1030,HeadCount!A:I,2,0),"")</f>
        <v/>
      </c>
      <c r="L1030" s="21" t="str">
        <f>IF(J1030&lt;&gt;"",VLOOKUP(J1030,HeadCount!A:I,5,0),"")</f>
        <v/>
      </c>
      <c r="P1030" s="19" t="str">
        <f t="shared" si="34"/>
        <v/>
      </c>
    </row>
    <row r="1031" spans="1:16" x14ac:dyDescent="0.3">
      <c r="A1031" s="19" t="str">
        <f t="shared" si="33"/>
        <v/>
      </c>
      <c r="K1031" s="21" t="str">
        <f>IF(J1031&lt;&gt;"",VLOOKUP(J1031,HeadCount!A:I,2,0),"")</f>
        <v/>
      </c>
      <c r="L1031" s="21" t="str">
        <f>IF(J1031&lt;&gt;"",VLOOKUP(J1031,HeadCount!A:I,5,0),"")</f>
        <v/>
      </c>
      <c r="P1031" s="19" t="str">
        <f t="shared" si="34"/>
        <v/>
      </c>
    </row>
    <row r="1032" spans="1:16" x14ac:dyDescent="0.3">
      <c r="A1032" s="19" t="str">
        <f t="shared" si="33"/>
        <v/>
      </c>
      <c r="K1032" s="21" t="str">
        <f>IF(J1032&lt;&gt;"",VLOOKUP(J1032,HeadCount!A:I,2,0),"")</f>
        <v/>
      </c>
      <c r="L1032" s="21" t="str">
        <f>IF(J1032&lt;&gt;"",VLOOKUP(J1032,HeadCount!A:I,5,0),"")</f>
        <v/>
      </c>
      <c r="P1032" s="19" t="str">
        <f t="shared" si="34"/>
        <v/>
      </c>
    </row>
    <row r="1033" spans="1:16" x14ac:dyDescent="0.3">
      <c r="A1033" s="19" t="str">
        <f t="shared" si="33"/>
        <v/>
      </c>
      <c r="K1033" s="21" t="str">
        <f>IF(J1033&lt;&gt;"",VLOOKUP(J1033,HeadCount!A:I,2,0),"")</f>
        <v/>
      </c>
      <c r="L1033" s="21" t="str">
        <f>IF(J1033&lt;&gt;"",VLOOKUP(J1033,HeadCount!A:I,5,0),"")</f>
        <v/>
      </c>
      <c r="P1033" s="19" t="str">
        <f t="shared" si="34"/>
        <v/>
      </c>
    </row>
    <row r="1034" spans="1:16" x14ac:dyDescent="0.3">
      <c r="A1034" s="19" t="str">
        <f t="shared" si="33"/>
        <v/>
      </c>
      <c r="K1034" s="21" t="str">
        <f>IF(J1034&lt;&gt;"",VLOOKUP(J1034,HeadCount!A:I,2,0),"")</f>
        <v/>
      </c>
      <c r="L1034" s="21" t="str">
        <f>IF(J1034&lt;&gt;"",VLOOKUP(J1034,HeadCount!A:I,5,0),"")</f>
        <v/>
      </c>
      <c r="P1034" s="19" t="str">
        <f t="shared" si="34"/>
        <v/>
      </c>
    </row>
    <row r="1035" spans="1:16" x14ac:dyDescent="0.3">
      <c r="A1035" s="19" t="str">
        <f t="shared" si="33"/>
        <v/>
      </c>
      <c r="K1035" s="21" t="str">
        <f>IF(J1035&lt;&gt;"",VLOOKUP(J1035,HeadCount!A:I,2,0),"")</f>
        <v/>
      </c>
      <c r="L1035" s="21" t="str">
        <f>IF(J1035&lt;&gt;"",VLOOKUP(J1035,HeadCount!A:I,5,0),"")</f>
        <v/>
      </c>
      <c r="P1035" s="19" t="str">
        <f t="shared" si="34"/>
        <v/>
      </c>
    </row>
    <row r="1036" spans="1:16" x14ac:dyDescent="0.3">
      <c r="A1036" s="19" t="str">
        <f t="shared" si="33"/>
        <v/>
      </c>
      <c r="K1036" s="21" t="str">
        <f>IF(J1036&lt;&gt;"",VLOOKUP(J1036,HeadCount!A:I,2,0),"")</f>
        <v/>
      </c>
      <c r="L1036" s="21" t="str">
        <f>IF(J1036&lt;&gt;"",VLOOKUP(J1036,HeadCount!A:I,5,0),"")</f>
        <v/>
      </c>
      <c r="P1036" s="19" t="str">
        <f t="shared" si="34"/>
        <v/>
      </c>
    </row>
    <row r="1037" spans="1:16" x14ac:dyDescent="0.3">
      <c r="A1037" s="19" t="str">
        <f t="shared" si="33"/>
        <v/>
      </c>
      <c r="K1037" s="21" t="str">
        <f>IF(J1037&lt;&gt;"",VLOOKUP(J1037,HeadCount!A:I,2,0),"")</f>
        <v/>
      </c>
      <c r="L1037" s="21" t="str">
        <f>IF(J1037&lt;&gt;"",VLOOKUP(J1037,HeadCount!A:I,5,0),"")</f>
        <v/>
      </c>
      <c r="P1037" s="19" t="str">
        <f t="shared" si="34"/>
        <v/>
      </c>
    </row>
    <row r="1038" spans="1:16" x14ac:dyDescent="0.3">
      <c r="A1038" s="19" t="str">
        <f t="shared" si="33"/>
        <v/>
      </c>
      <c r="K1038" s="21" t="str">
        <f>IF(J1038&lt;&gt;"",VLOOKUP(J1038,HeadCount!A:I,2,0),"")</f>
        <v/>
      </c>
      <c r="L1038" s="21" t="str">
        <f>IF(J1038&lt;&gt;"",VLOOKUP(J1038,HeadCount!A:I,5,0),"")</f>
        <v/>
      </c>
      <c r="P1038" s="19" t="str">
        <f t="shared" si="34"/>
        <v/>
      </c>
    </row>
    <row r="1039" spans="1:16" x14ac:dyDescent="0.3">
      <c r="A1039" s="19" t="str">
        <f t="shared" si="33"/>
        <v/>
      </c>
      <c r="K1039" s="21" t="str">
        <f>IF(J1039&lt;&gt;"",VLOOKUP(J1039,HeadCount!A:I,2,0),"")</f>
        <v/>
      </c>
      <c r="L1039" s="21" t="str">
        <f>IF(J1039&lt;&gt;"",VLOOKUP(J1039,HeadCount!A:I,5,0),"")</f>
        <v/>
      </c>
      <c r="P1039" s="19" t="str">
        <f t="shared" si="34"/>
        <v/>
      </c>
    </row>
    <row r="1040" spans="1:16" x14ac:dyDescent="0.3">
      <c r="A1040" s="19" t="str">
        <f t="shared" si="33"/>
        <v/>
      </c>
      <c r="K1040" s="21" t="str">
        <f>IF(J1040&lt;&gt;"",VLOOKUP(J1040,HeadCount!A:I,2,0),"")</f>
        <v/>
      </c>
      <c r="L1040" s="21" t="str">
        <f>IF(J1040&lt;&gt;"",VLOOKUP(J1040,HeadCount!A:I,5,0),"")</f>
        <v/>
      </c>
      <c r="P1040" s="19" t="str">
        <f t="shared" si="34"/>
        <v/>
      </c>
    </row>
    <row r="1041" spans="1:16" x14ac:dyDescent="0.3">
      <c r="A1041" s="19" t="str">
        <f t="shared" si="33"/>
        <v/>
      </c>
      <c r="K1041" s="21" t="str">
        <f>IF(J1041&lt;&gt;"",VLOOKUP(J1041,HeadCount!A:I,2,0),"")</f>
        <v/>
      </c>
      <c r="L1041" s="21" t="str">
        <f>IF(J1041&lt;&gt;"",VLOOKUP(J1041,HeadCount!A:I,5,0),"")</f>
        <v/>
      </c>
      <c r="P1041" s="19" t="str">
        <f t="shared" si="34"/>
        <v/>
      </c>
    </row>
    <row r="1042" spans="1:16" x14ac:dyDescent="0.3">
      <c r="A1042" s="19" t="str">
        <f t="shared" si="33"/>
        <v/>
      </c>
      <c r="K1042" s="21" t="str">
        <f>IF(J1042&lt;&gt;"",VLOOKUP(J1042,HeadCount!A:I,2,0),"")</f>
        <v/>
      </c>
      <c r="L1042" s="21" t="str">
        <f>IF(J1042&lt;&gt;"",VLOOKUP(J1042,HeadCount!A:I,5,0),"")</f>
        <v/>
      </c>
      <c r="P1042" s="19" t="str">
        <f t="shared" si="34"/>
        <v/>
      </c>
    </row>
    <row r="1043" spans="1:16" x14ac:dyDescent="0.3">
      <c r="A1043" s="19" t="str">
        <f t="shared" si="33"/>
        <v/>
      </c>
      <c r="K1043" s="21" t="str">
        <f>IF(J1043&lt;&gt;"",VLOOKUP(J1043,HeadCount!A:I,2,0),"")</f>
        <v/>
      </c>
      <c r="L1043" s="21" t="str">
        <f>IF(J1043&lt;&gt;"",VLOOKUP(J1043,HeadCount!A:I,5,0),"")</f>
        <v/>
      </c>
      <c r="P1043" s="19" t="str">
        <f t="shared" si="34"/>
        <v/>
      </c>
    </row>
    <row r="1044" spans="1:16" x14ac:dyDescent="0.3">
      <c r="A1044" s="19" t="str">
        <f t="shared" si="33"/>
        <v/>
      </c>
      <c r="K1044" s="21" t="str">
        <f>IF(J1044&lt;&gt;"",VLOOKUP(J1044,HeadCount!A:I,2,0),"")</f>
        <v/>
      </c>
      <c r="L1044" s="21" t="str">
        <f>IF(J1044&lt;&gt;"",VLOOKUP(J1044,HeadCount!A:I,5,0),"")</f>
        <v/>
      </c>
      <c r="P1044" s="19" t="str">
        <f t="shared" si="34"/>
        <v/>
      </c>
    </row>
    <row r="1045" spans="1:16" x14ac:dyDescent="0.3">
      <c r="A1045" s="19" t="str">
        <f t="shared" si="33"/>
        <v/>
      </c>
      <c r="K1045" s="21" t="str">
        <f>IF(J1045&lt;&gt;"",VLOOKUP(J1045,HeadCount!A:I,2,0),"")</f>
        <v/>
      </c>
      <c r="L1045" s="21" t="str">
        <f>IF(J1045&lt;&gt;"",VLOOKUP(J1045,HeadCount!A:I,5,0),"")</f>
        <v/>
      </c>
      <c r="P1045" s="19" t="str">
        <f t="shared" si="34"/>
        <v/>
      </c>
    </row>
    <row r="1046" spans="1:16" x14ac:dyDescent="0.3">
      <c r="A1046" s="19" t="str">
        <f t="shared" si="33"/>
        <v/>
      </c>
      <c r="K1046" s="21" t="str">
        <f>IF(J1046&lt;&gt;"",VLOOKUP(J1046,HeadCount!A:I,2,0),"")</f>
        <v/>
      </c>
      <c r="L1046" s="21" t="str">
        <f>IF(J1046&lt;&gt;"",VLOOKUP(J1046,HeadCount!A:I,5,0),"")</f>
        <v/>
      </c>
      <c r="P1046" s="19" t="str">
        <f t="shared" si="34"/>
        <v/>
      </c>
    </row>
    <row r="1047" spans="1:16" x14ac:dyDescent="0.3">
      <c r="A1047" s="19" t="str">
        <f t="shared" si="33"/>
        <v/>
      </c>
      <c r="K1047" s="21" t="str">
        <f>IF(J1047&lt;&gt;"",VLOOKUP(J1047,HeadCount!A:I,2,0),"")</f>
        <v/>
      </c>
      <c r="L1047" s="21" t="str">
        <f>IF(J1047&lt;&gt;"",VLOOKUP(J1047,HeadCount!A:I,5,0),"")</f>
        <v/>
      </c>
      <c r="P1047" s="19" t="str">
        <f t="shared" si="34"/>
        <v/>
      </c>
    </row>
    <row r="1048" spans="1:16" x14ac:dyDescent="0.3">
      <c r="A1048" s="19" t="str">
        <f t="shared" si="33"/>
        <v/>
      </c>
      <c r="K1048" s="21" t="str">
        <f>IF(J1048&lt;&gt;"",VLOOKUP(J1048,HeadCount!A:I,2,0),"")</f>
        <v/>
      </c>
      <c r="L1048" s="21" t="str">
        <f>IF(J1048&lt;&gt;"",VLOOKUP(J1048,HeadCount!A:I,5,0),"")</f>
        <v/>
      </c>
      <c r="P1048" s="19" t="str">
        <f t="shared" si="34"/>
        <v/>
      </c>
    </row>
    <row r="1049" spans="1:16" x14ac:dyDescent="0.3">
      <c r="A1049" s="19" t="str">
        <f t="shared" si="33"/>
        <v/>
      </c>
      <c r="K1049" s="21" t="str">
        <f>IF(J1049&lt;&gt;"",VLOOKUP(J1049,HeadCount!A:I,2,0),"")</f>
        <v/>
      </c>
      <c r="L1049" s="21" t="str">
        <f>IF(J1049&lt;&gt;"",VLOOKUP(J1049,HeadCount!A:I,5,0),"")</f>
        <v/>
      </c>
      <c r="P1049" s="19" t="str">
        <f t="shared" si="34"/>
        <v/>
      </c>
    </row>
    <row r="1050" spans="1:16" x14ac:dyDescent="0.3">
      <c r="A1050" s="19" t="str">
        <f t="shared" si="33"/>
        <v/>
      </c>
      <c r="K1050" s="21" t="str">
        <f>IF(J1050&lt;&gt;"",VLOOKUP(J1050,HeadCount!A:I,2,0),"")</f>
        <v/>
      </c>
      <c r="L1050" s="21" t="str">
        <f>IF(J1050&lt;&gt;"",VLOOKUP(J1050,HeadCount!A:I,5,0),"")</f>
        <v/>
      </c>
      <c r="P1050" s="19" t="str">
        <f t="shared" si="34"/>
        <v/>
      </c>
    </row>
    <row r="1051" spans="1:16" x14ac:dyDescent="0.3">
      <c r="A1051" s="19" t="str">
        <f t="shared" si="33"/>
        <v/>
      </c>
      <c r="K1051" s="21" t="str">
        <f>IF(J1051&lt;&gt;"",VLOOKUP(J1051,HeadCount!A:I,2,0),"")</f>
        <v/>
      </c>
      <c r="L1051" s="21" t="str">
        <f>IF(J1051&lt;&gt;"",VLOOKUP(J1051,HeadCount!A:I,5,0),"")</f>
        <v/>
      </c>
      <c r="P1051" s="19" t="str">
        <f t="shared" si="34"/>
        <v/>
      </c>
    </row>
    <row r="1052" spans="1:16" x14ac:dyDescent="0.3">
      <c r="A1052" s="19" t="str">
        <f t="shared" si="33"/>
        <v/>
      </c>
      <c r="K1052" s="21" t="str">
        <f>IF(J1052&lt;&gt;"",VLOOKUP(J1052,HeadCount!A:I,2,0),"")</f>
        <v/>
      </c>
      <c r="L1052" s="21" t="str">
        <f>IF(J1052&lt;&gt;"",VLOOKUP(J1052,HeadCount!A:I,5,0),"")</f>
        <v/>
      </c>
      <c r="P1052" s="19" t="str">
        <f t="shared" si="34"/>
        <v/>
      </c>
    </row>
    <row r="1053" spans="1:16" x14ac:dyDescent="0.3">
      <c r="A1053" s="19" t="str">
        <f t="shared" si="33"/>
        <v/>
      </c>
      <c r="K1053" s="21" t="str">
        <f>IF(J1053&lt;&gt;"",VLOOKUP(J1053,HeadCount!A:I,2,0),"")</f>
        <v/>
      </c>
      <c r="L1053" s="21" t="str">
        <f>IF(J1053&lt;&gt;"",VLOOKUP(J1053,HeadCount!A:I,5,0),"")</f>
        <v/>
      </c>
      <c r="P1053" s="19" t="str">
        <f t="shared" si="34"/>
        <v/>
      </c>
    </row>
    <row r="1054" spans="1:16" x14ac:dyDescent="0.3">
      <c r="A1054" s="19" t="str">
        <f t="shared" si="33"/>
        <v/>
      </c>
      <c r="K1054" s="21" t="str">
        <f>IF(J1054&lt;&gt;"",VLOOKUP(J1054,HeadCount!A:I,2,0),"")</f>
        <v/>
      </c>
      <c r="L1054" s="21" t="str">
        <f>IF(J1054&lt;&gt;"",VLOOKUP(J1054,HeadCount!A:I,5,0),"")</f>
        <v/>
      </c>
      <c r="P1054" s="19" t="str">
        <f t="shared" si="34"/>
        <v/>
      </c>
    </row>
    <row r="1055" spans="1:16" x14ac:dyDescent="0.3">
      <c r="A1055" s="19" t="str">
        <f t="shared" si="33"/>
        <v/>
      </c>
      <c r="K1055" s="21" t="str">
        <f>IF(J1055&lt;&gt;"",VLOOKUP(J1055,HeadCount!A:I,2,0),"")</f>
        <v/>
      </c>
      <c r="L1055" s="21" t="str">
        <f>IF(J1055&lt;&gt;"",VLOOKUP(J1055,HeadCount!A:I,5,0),"")</f>
        <v/>
      </c>
      <c r="P1055" s="19" t="str">
        <f t="shared" si="34"/>
        <v/>
      </c>
    </row>
    <row r="1056" spans="1:16" x14ac:dyDescent="0.3">
      <c r="A1056" s="19" t="str">
        <f t="shared" si="33"/>
        <v/>
      </c>
      <c r="K1056" s="21" t="str">
        <f>IF(J1056&lt;&gt;"",VLOOKUP(J1056,HeadCount!A:I,2,0),"")</f>
        <v/>
      </c>
      <c r="L1056" s="21" t="str">
        <f>IF(J1056&lt;&gt;"",VLOOKUP(J1056,HeadCount!A:I,5,0),"")</f>
        <v/>
      </c>
      <c r="P1056" s="19" t="str">
        <f t="shared" si="34"/>
        <v/>
      </c>
    </row>
    <row r="1057" spans="1:16" x14ac:dyDescent="0.3">
      <c r="A1057" s="19" t="str">
        <f t="shared" si="33"/>
        <v/>
      </c>
      <c r="E1057" s="31"/>
      <c r="K1057" s="21" t="str">
        <f>IF(J1057&lt;&gt;"",VLOOKUP(J1057,HeadCount!A:I,2,0),"")</f>
        <v/>
      </c>
      <c r="L1057" s="21" t="str">
        <f>IF(J1057&lt;&gt;"",VLOOKUP(J1057,HeadCount!A:I,5,0),"")</f>
        <v/>
      </c>
      <c r="P1057" s="19" t="str">
        <f t="shared" si="34"/>
        <v/>
      </c>
    </row>
    <row r="1058" spans="1:16" x14ac:dyDescent="0.3">
      <c r="A1058" s="19" t="str">
        <f t="shared" si="33"/>
        <v/>
      </c>
      <c r="K1058" s="21" t="str">
        <f>IF(J1058&lt;&gt;"",VLOOKUP(J1058,HeadCount!A:I,2,0),"")</f>
        <v/>
      </c>
      <c r="L1058" s="21" t="str">
        <f>IF(J1058&lt;&gt;"",VLOOKUP(J1058,HeadCount!A:I,5,0),"")</f>
        <v/>
      </c>
      <c r="P1058" s="19" t="str">
        <f t="shared" si="34"/>
        <v/>
      </c>
    </row>
    <row r="1059" spans="1:16" x14ac:dyDescent="0.3">
      <c r="A1059" s="19" t="str">
        <f t="shared" si="33"/>
        <v/>
      </c>
      <c r="K1059" s="21" t="str">
        <f>IF(J1059&lt;&gt;"",VLOOKUP(J1059,HeadCount!A:I,2,0),"")</f>
        <v/>
      </c>
      <c r="L1059" s="21" t="str">
        <f>IF(J1059&lt;&gt;"",VLOOKUP(J1059,HeadCount!A:I,5,0),"")</f>
        <v/>
      </c>
      <c r="P1059" s="19" t="str">
        <f t="shared" si="34"/>
        <v/>
      </c>
    </row>
    <row r="1060" spans="1:16" x14ac:dyDescent="0.3">
      <c r="A1060" s="19" t="str">
        <f t="shared" si="33"/>
        <v/>
      </c>
      <c r="K1060" s="21" t="str">
        <f>IF(J1060&lt;&gt;"",VLOOKUP(J1060,HeadCount!A:I,2,0),"")</f>
        <v/>
      </c>
      <c r="L1060" s="21" t="str">
        <f>IF(J1060&lt;&gt;"",VLOOKUP(J1060,HeadCount!A:I,5,0),"")</f>
        <v/>
      </c>
      <c r="P1060" s="19" t="str">
        <f t="shared" si="34"/>
        <v/>
      </c>
    </row>
    <row r="1061" spans="1:16" x14ac:dyDescent="0.3">
      <c r="A1061" s="19" t="str">
        <f t="shared" si="33"/>
        <v/>
      </c>
      <c r="K1061" s="21" t="str">
        <f>IF(J1061&lt;&gt;"",VLOOKUP(J1061,HeadCount!A:I,2,0),"")</f>
        <v/>
      </c>
      <c r="L1061" s="21" t="str">
        <f>IF(J1061&lt;&gt;"",VLOOKUP(J1061,HeadCount!A:I,5,0),"")</f>
        <v/>
      </c>
      <c r="P1061" s="19" t="str">
        <f t="shared" si="34"/>
        <v/>
      </c>
    </row>
    <row r="1062" spans="1:16" x14ac:dyDescent="0.3">
      <c r="A1062" s="19" t="str">
        <f t="shared" si="33"/>
        <v/>
      </c>
      <c r="K1062" s="21" t="str">
        <f>IF(J1062&lt;&gt;"",VLOOKUP(J1062,HeadCount!A:I,2,0),"")</f>
        <v/>
      </c>
      <c r="L1062" s="21" t="str">
        <f>IF(J1062&lt;&gt;"",VLOOKUP(J1062,HeadCount!A:I,5,0),"")</f>
        <v/>
      </c>
      <c r="P1062" s="19" t="str">
        <f t="shared" si="34"/>
        <v/>
      </c>
    </row>
    <row r="1063" spans="1:16" x14ac:dyDescent="0.3">
      <c r="A1063" s="19" t="str">
        <f t="shared" si="33"/>
        <v/>
      </c>
      <c r="J1063" s="34"/>
      <c r="K1063" s="21" t="str">
        <f>IF(J1063&lt;&gt;"",VLOOKUP(J1063,HeadCount!A:I,2,0),"")</f>
        <v/>
      </c>
      <c r="L1063" s="21" t="str">
        <f>IF(J1063&lt;&gt;"",VLOOKUP(J1063,HeadCount!A:I,5,0),"")</f>
        <v/>
      </c>
      <c r="P1063" s="19" t="str">
        <f t="shared" si="34"/>
        <v/>
      </c>
    </row>
    <row r="1064" spans="1:16" x14ac:dyDescent="0.3">
      <c r="A1064" s="19" t="str">
        <f t="shared" si="33"/>
        <v/>
      </c>
      <c r="K1064" s="21" t="str">
        <f>IF(J1064&lt;&gt;"",VLOOKUP(J1064,HeadCount!A:I,2,0),"")</f>
        <v/>
      </c>
      <c r="L1064" s="21" t="str">
        <f>IF(J1064&lt;&gt;"",VLOOKUP(J1064,HeadCount!A:I,5,0),"")</f>
        <v/>
      </c>
      <c r="P1064" s="19" t="str">
        <f t="shared" si="34"/>
        <v/>
      </c>
    </row>
    <row r="1065" spans="1:16" x14ac:dyDescent="0.3">
      <c r="A1065" s="19" t="str">
        <f t="shared" si="33"/>
        <v/>
      </c>
      <c r="K1065" s="21" t="str">
        <f>IF(J1065&lt;&gt;"",VLOOKUP(J1065,HeadCount!A:I,2,0),"")</f>
        <v/>
      </c>
      <c r="L1065" s="21" t="str">
        <f>IF(J1065&lt;&gt;"",VLOOKUP(J1065,HeadCount!A:I,5,0),"")</f>
        <v/>
      </c>
      <c r="P1065" s="19" t="str">
        <f t="shared" si="34"/>
        <v/>
      </c>
    </row>
    <row r="1066" spans="1:16" x14ac:dyDescent="0.3">
      <c r="A1066" s="19" t="str">
        <f t="shared" si="33"/>
        <v/>
      </c>
      <c r="K1066" s="21" t="str">
        <f>IF(J1066&lt;&gt;"",VLOOKUP(J1066,HeadCount!A:I,2,0),"")</f>
        <v/>
      </c>
      <c r="L1066" s="21" t="str">
        <f>IF(J1066&lt;&gt;"",VLOOKUP(J1066,HeadCount!A:I,5,0),"")</f>
        <v/>
      </c>
      <c r="P1066" s="19" t="str">
        <f t="shared" si="34"/>
        <v/>
      </c>
    </row>
    <row r="1067" spans="1:16" x14ac:dyDescent="0.3">
      <c r="A1067" s="19" t="str">
        <f t="shared" si="33"/>
        <v/>
      </c>
      <c r="K1067" s="21" t="str">
        <f>IF(J1067&lt;&gt;"",VLOOKUP(J1067,HeadCount!A:I,2,0),"")</f>
        <v/>
      </c>
      <c r="L1067" s="21" t="str">
        <f>IF(J1067&lt;&gt;"",VLOOKUP(J1067,HeadCount!A:I,5,0),"")</f>
        <v/>
      </c>
      <c r="P1067" s="19" t="str">
        <f t="shared" si="34"/>
        <v/>
      </c>
    </row>
    <row r="1068" spans="1:16" x14ac:dyDescent="0.3">
      <c r="A1068" s="19" t="str">
        <f t="shared" si="33"/>
        <v/>
      </c>
      <c r="K1068" s="21" t="str">
        <f>IF(J1068&lt;&gt;"",VLOOKUP(J1068,HeadCount!A:I,2,0),"")</f>
        <v/>
      </c>
      <c r="L1068" s="21" t="str">
        <f>IF(J1068&lt;&gt;"",VLOOKUP(J1068,HeadCount!A:I,5,0),"")</f>
        <v/>
      </c>
      <c r="P1068" s="19" t="str">
        <f t="shared" si="34"/>
        <v/>
      </c>
    </row>
    <row r="1069" spans="1:16" x14ac:dyDescent="0.3">
      <c r="A1069" s="19" t="str">
        <f t="shared" si="33"/>
        <v/>
      </c>
      <c r="J1069" s="34"/>
      <c r="K1069" s="21" t="str">
        <f>IF(J1069&lt;&gt;"",VLOOKUP(J1069,HeadCount!A:I,2,0),"")</f>
        <v/>
      </c>
      <c r="L1069" s="21" t="str">
        <f>IF(J1069&lt;&gt;"",VLOOKUP(J1069,HeadCount!A:I,5,0),"")</f>
        <v/>
      </c>
      <c r="P1069" s="19" t="str">
        <f t="shared" si="34"/>
        <v/>
      </c>
    </row>
    <row r="1070" spans="1:16" x14ac:dyDescent="0.3">
      <c r="A1070" s="19" t="str">
        <f t="shared" si="33"/>
        <v/>
      </c>
      <c r="K1070" s="21" t="str">
        <f>IF(J1070&lt;&gt;"",VLOOKUP(J1070,HeadCount!A:I,2,0),"")</f>
        <v/>
      </c>
      <c r="L1070" s="21" t="str">
        <f>IF(J1070&lt;&gt;"",VLOOKUP(J1070,HeadCount!A:I,5,0),"")</f>
        <v/>
      </c>
      <c r="P1070" s="19" t="str">
        <f t="shared" si="34"/>
        <v/>
      </c>
    </row>
    <row r="1071" spans="1:16" x14ac:dyDescent="0.3">
      <c r="A1071" s="19" t="str">
        <f t="shared" si="33"/>
        <v/>
      </c>
      <c r="K1071" s="21" t="str">
        <f>IF(J1071&lt;&gt;"",VLOOKUP(J1071,HeadCount!A:I,2,0),"")</f>
        <v/>
      </c>
      <c r="L1071" s="21" t="str">
        <f>IF(J1071&lt;&gt;"",VLOOKUP(J1071,HeadCount!A:I,5,0),"")</f>
        <v/>
      </c>
      <c r="P1071" s="19" t="str">
        <f t="shared" si="34"/>
        <v/>
      </c>
    </row>
    <row r="1072" spans="1:16" x14ac:dyDescent="0.3">
      <c r="A1072" s="19" t="str">
        <f t="shared" si="33"/>
        <v/>
      </c>
      <c r="J1072" s="34"/>
      <c r="K1072" s="21" t="str">
        <f>IF(J1072&lt;&gt;"",VLOOKUP(J1072,HeadCount!A:I,2,0),"")</f>
        <v/>
      </c>
      <c r="L1072" s="21" t="str">
        <f>IF(J1072&lt;&gt;"",VLOOKUP(J1072,HeadCount!A:I,5,0),"")</f>
        <v/>
      </c>
      <c r="P1072" s="19" t="str">
        <f t="shared" si="34"/>
        <v/>
      </c>
    </row>
    <row r="1073" spans="1:16" x14ac:dyDescent="0.3">
      <c r="A1073" s="19" t="str">
        <f t="shared" si="33"/>
        <v/>
      </c>
      <c r="E1073" s="31"/>
      <c r="K1073" s="21" t="str">
        <f>IF(J1073&lt;&gt;"",VLOOKUP(J1073,HeadCount!A:I,2,0),"")</f>
        <v/>
      </c>
      <c r="L1073" s="21" t="str">
        <f>IF(J1073&lt;&gt;"",VLOOKUP(J1073,HeadCount!A:I,5,0),"")</f>
        <v/>
      </c>
      <c r="P1073" s="19" t="str">
        <f t="shared" si="34"/>
        <v/>
      </c>
    </row>
    <row r="1074" spans="1:16" x14ac:dyDescent="0.3">
      <c r="A1074" s="19" t="str">
        <f t="shared" si="33"/>
        <v/>
      </c>
      <c r="K1074" s="21" t="str">
        <f>IF(J1074&lt;&gt;"",VLOOKUP(J1074,HeadCount!A:I,2,0),"")</f>
        <v/>
      </c>
      <c r="L1074" s="21" t="str">
        <f>IF(J1074&lt;&gt;"",VLOOKUP(J1074,HeadCount!A:I,5,0),"")</f>
        <v/>
      </c>
      <c r="P1074" s="19" t="str">
        <f t="shared" si="34"/>
        <v/>
      </c>
    </row>
    <row r="1075" spans="1:16" x14ac:dyDescent="0.3">
      <c r="A1075" s="19" t="str">
        <f t="shared" si="33"/>
        <v/>
      </c>
      <c r="K1075" s="21" t="str">
        <f>IF(J1075&lt;&gt;"",VLOOKUP(J1075,HeadCount!A:I,2,0),"")</f>
        <v/>
      </c>
      <c r="L1075" s="21" t="str">
        <f>IF(J1075&lt;&gt;"",VLOOKUP(J1075,HeadCount!A:I,5,0),"")</f>
        <v/>
      </c>
      <c r="P1075" s="19" t="str">
        <f t="shared" si="34"/>
        <v/>
      </c>
    </row>
    <row r="1076" spans="1:16" x14ac:dyDescent="0.3">
      <c r="A1076" s="19" t="str">
        <f t="shared" si="33"/>
        <v/>
      </c>
      <c r="K1076" s="21" t="str">
        <f>IF(J1076&lt;&gt;"",VLOOKUP(J1076,HeadCount!A:I,2,0),"")</f>
        <v/>
      </c>
      <c r="L1076" s="21" t="str">
        <f>IF(J1076&lt;&gt;"",VLOOKUP(J1076,HeadCount!A:I,5,0),"")</f>
        <v/>
      </c>
      <c r="P1076" s="19" t="str">
        <f t="shared" si="34"/>
        <v/>
      </c>
    </row>
    <row r="1077" spans="1:16" x14ac:dyDescent="0.3">
      <c r="A1077" s="19" t="str">
        <f t="shared" si="33"/>
        <v/>
      </c>
      <c r="K1077" s="21" t="str">
        <f>IF(J1077&lt;&gt;"",VLOOKUP(J1077,HeadCount!A:I,2,0),"")</f>
        <v/>
      </c>
      <c r="L1077" s="21" t="str">
        <f>IF(J1077&lt;&gt;"",VLOOKUP(J1077,HeadCount!A:I,5,0),"")</f>
        <v/>
      </c>
      <c r="P1077" s="19" t="str">
        <f t="shared" si="34"/>
        <v/>
      </c>
    </row>
    <row r="1078" spans="1:16" x14ac:dyDescent="0.3">
      <c r="A1078" s="19" t="str">
        <f t="shared" si="33"/>
        <v/>
      </c>
      <c r="K1078" s="21" t="str">
        <f>IF(J1078&lt;&gt;"",VLOOKUP(J1078,HeadCount!A:I,2,0),"")</f>
        <v/>
      </c>
      <c r="L1078" s="21" t="str">
        <f>IF(J1078&lt;&gt;"",VLOOKUP(J1078,HeadCount!A:I,5,0),"")</f>
        <v/>
      </c>
      <c r="P1078" s="19" t="str">
        <f t="shared" si="34"/>
        <v/>
      </c>
    </row>
    <row r="1079" spans="1:16" x14ac:dyDescent="0.3">
      <c r="A1079" s="19" t="str">
        <f t="shared" si="33"/>
        <v/>
      </c>
      <c r="K1079" s="21" t="str">
        <f>IF(J1079&lt;&gt;"",VLOOKUP(J1079,HeadCount!A:I,2,0),"")</f>
        <v/>
      </c>
      <c r="L1079" s="21" t="str">
        <f>IF(J1079&lt;&gt;"",VLOOKUP(J1079,HeadCount!A:I,5,0),"")</f>
        <v/>
      </c>
      <c r="P1079" s="19" t="str">
        <f t="shared" si="34"/>
        <v/>
      </c>
    </row>
    <row r="1080" spans="1:16" x14ac:dyDescent="0.3">
      <c r="A1080" s="19" t="str">
        <f t="shared" si="33"/>
        <v/>
      </c>
      <c r="E1080" s="37"/>
      <c r="K1080" s="21" t="str">
        <f>IF(J1080&lt;&gt;"",VLOOKUP(J1080,HeadCount!A:I,2,0),"")</f>
        <v/>
      </c>
      <c r="L1080" s="21" t="str">
        <f>IF(J1080&lt;&gt;"",VLOOKUP(J1080,HeadCount!A:I,5,0),"")</f>
        <v/>
      </c>
      <c r="P1080" s="19" t="str">
        <f t="shared" si="34"/>
        <v/>
      </c>
    </row>
    <row r="1081" spans="1:16" x14ac:dyDescent="0.3">
      <c r="A1081" s="19" t="str">
        <f t="shared" si="33"/>
        <v/>
      </c>
      <c r="K1081" s="21" t="str">
        <f>IF(J1081&lt;&gt;"",VLOOKUP(J1081,HeadCount!A:I,2,0),"")</f>
        <v/>
      </c>
      <c r="L1081" s="21" t="str">
        <f>IF(J1081&lt;&gt;"",VLOOKUP(J1081,HeadCount!A:I,5,0),"")</f>
        <v/>
      </c>
      <c r="P1081" s="19" t="str">
        <f t="shared" si="34"/>
        <v/>
      </c>
    </row>
    <row r="1082" spans="1:16" x14ac:dyDescent="0.3">
      <c r="A1082" s="19" t="str">
        <f t="shared" si="33"/>
        <v/>
      </c>
      <c r="K1082" s="21" t="str">
        <f>IF(J1082&lt;&gt;"",VLOOKUP(J1082,HeadCount!A:I,2,0),"")</f>
        <v/>
      </c>
      <c r="L1082" s="21" t="str">
        <f>IF(J1082&lt;&gt;"",VLOOKUP(J1082,HeadCount!A:I,5,0),"")</f>
        <v/>
      </c>
      <c r="P1082" s="19" t="str">
        <f t="shared" si="34"/>
        <v/>
      </c>
    </row>
    <row r="1083" spans="1:16" x14ac:dyDescent="0.3">
      <c r="A1083" s="19" t="str">
        <f t="shared" si="33"/>
        <v/>
      </c>
      <c r="K1083" s="21" t="str">
        <f>IF(J1083&lt;&gt;"",VLOOKUP(J1083,HeadCount!A:I,2,0),"")</f>
        <v/>
      </c>
      <c r="L1083" s="21" t="str">
        <f>IF(J1083&lt;&gt;"",VLOOKUP(J1083,HeadCount!A:I,5,0),"")</f>
        <v/>
      </c>
      <c r="P1083" s="19" t="str">
        <f t="shared" si="34"/>
        <v/>
      </c>
    </row>
    <row r="1084" spans="1:16" x14ac:dyDescent="0.3">
      <c r="A1084" s="19" t="str">
        <f t="shared" si="33"/>
        <v/>
      </c>
      <c r="K1084" s="21" t="str">
        <f>IF(J1084&lt;&gt;"",VLOOKUP(J1084,HeadCount!A:I,2,0),"")</f>
        <v/>
      </c>
      <c r="L1084" s="21" t="str">
        <f>IF(J1084&lt;&gt;"",VLOOKUP(J1084,HeadCount!A:I,5,0),"")</f>
        <v/>
      </c>
      <c r="P1084" s="19" t="str">
        <f t="shared" si="34"/>
        <v/>
      </c>
    </row>
    <row r="1085" spans="1:16" x14ac:dyDescent="0.3">
      <c r="A1085" s="19" t="str">
        <f t="shared" si="33"/>
        <v/>
      </c>
      <c r="K1085" s="21" t="str">
        <f>IF(J1085&lt;&gt;"",VLOOKUP(J1085,HeadCount!A:I,2,0),"")</f>
        <v/>
      </c>
      <c r="L1085" s="21" t="str">
        <f>IF(J1085&lt;&gt;"",VLOOKUP(J1085,HeadCount!A:I,5,0),"")</f>
        <v/>
      </c>
      <c r="P1085" s="19" t="str">
        <f t="shared" si="34"/>
        <v/>
      </c>
    </row>
    <row r="1086" spans="1:16" x14ac:dyDescent="0.3">
      <c r="A1086" s="19" t="str">
        <f t="shared" si="33"/>
        <v/>
      </c>
      <c r="K1086" s="21" t="str">
        <f>IF(J1086&lt;&gt;"",VLOOKUP(J1086,HeadCount!A:I,2,0),"")</f>
        <v/>
      </c>
      <c r="L1086" s="21" t="str">
        <f>IF(J1086&lt;&gt;"",VLOOKUP(J1086,HeadCount!A:I,5,0),"")</f>
        <v/>
      </c>
      <c r="P1086" s="19" t="str">
        <f t="shared" si="34"/>
        <v/>
      </c>
    </row>
    <row r="1087" spans="1:16" x14ac:dyDescent="0.3">
      <c r="A1087" s="19" t="str">
        <f t="shared" si="33"/>
        <v/>
      </c>
      <c r="K1087" s="21" t="str">
        <f>IF(J1087&lt;&gt;"",VLOOKUP(J1087,HeadCount!A:I,2,0),"")</f>
        <v/>
      </c>
      <c r="L1087" s="21" t="str">
        <f>IF(J1087&lt;&gt;"",VLOOKUP(J1087,HeadCount!A:I,5,0),"")</f>
        <v/>
      </c>
      <c r="P1087" s="19" t="str">
        <f t="shared" si="34"/>
        <v/>
      </c>
    </row>
    <row r="1088" spans="1:16" x14ac:dyDescent="0.3">
      <c r="A1088" s="19" t="str">
        <f t="shared" si="33"/>
        <v/>
      </c>
      <c r="K1088" s="21" t="str">
        <f>IF(J1088&lt;&gt;"",VLOOKUP(J1088,HeadCount!A:I,2,0),"")</f>
        <v/>
      </c>
      <c r="L1088" s="21" t="str">
        <f>IF(J1088&lt;&gt;"",VLOOKUP(J1088,HeadCount!A:I,5,0),"")</f>
        <v/>
      </c>
      <c r="P1088" s="19" t="str">
        <f t="shared" si="34"/>
        <v/>
      </c>
    </row>
    <row r="1089" spans="1:16" x14ac:dyDescent="0.3">
      <c r="A1089" s="19" t="str">
        <f t="shared" si="33"/>
        <v/>
      </c>
      <c r="J1089" s="35"/>
      <c r="K1089" s="21" t="str">
        <f>IF(J1089&lt;&gt;"",VLOOKUP(J1089,HeadCount!A:I,2,0),"")</f>
        <v/>
      </c>
      <c r="L1089" s="21" t="str">
        <f>IF(J1089&lt;&gt;"",VLOOKUP(J1089,HeadCount!A:I,5,0),"")</f>
        <v/>
      </c>
      <c r="P1089" s="19" t="str">
        <f t="shared" si="34"/>
        <v/>
      </c>
    </row>
    <row r="1090" spans="1:16" x14ac:dyDescent="0.3">
      <c r="A1090" s="19" t="str">
        <f t="shared" ref="A1090:A1153" si="35">IF(C1090&lt;&gt;"",ROW(A1089),"")</f>
        <v/>
      </c>
      <c r="K1090" s="21" t="str">
        <f>IF(J1090&lt;&gt;"",VLOOKUP(J1090,HeadCount!A:I,2,0),"")</f>
        <v/>
      </c>
      <c r="L1090" s="21" t="str">
        <f>IF(J1090&lt;&gt;"",VLOOKUP(J1090,HeadCount!A:I,5,0),"")</f>
        <v/>
      </c>
      <c r="P1090" s="19" t="str">
        <f t="shared" si="34"/>
        <v/>
      </c>
    </row>
    <row r="1091" spans="1:16" x14ac:dyDescent="0.3">
      <c r="A1091" s="19" t="str">
        <f t="shared" si="35"/>
        <v/>
      </c>
      <c r="E1091" s="37"/>
      <c r="K1091" s="21" t="str">
        <f>IF(J1091&lt;&gt;"",VLOOKUP(J1091,HeadCount!A:I,2,0),"")</f>
        <v/>
      </c>
      <c r="L1091" s="21" t="str">
        <f>IF(J1091&lt;&gt;"",VLOOKUP(J1091,HeadCount!A:I,5,0),"")</f>
        <v/>
      </c>
      <c r="P1091" s="19" t="str">
        <f t="shared" ref="P1091:P1154" si="36">IF(N1091="","",(O1091-N1091)+1)</f>
        <v/>
      </c>
    </row>
    <row r="1092" spans="1:16" x14ac:dyDescent="0.3">
      <c r="A1092" s="19" t="str">
        <f t="shared" si="35"/>
        <v/>
      </c>
      <c r="K1092" s="21" t="str">
        <f>IF(J1092&lt;&gt;"",VLOOKUP(J1092,HeadCount!A:I,2,0),"")</f>
        <v/>
      </c>
      <c r="L1092" s="21" t="str">
        <f>IF(J1092&lt;&gt;"",VLOOKUP(J1092,HeadCount!A:I,5,0),"")</f>
        <v/>
      </c>
      <c r="P1092" s="19" t="str">
        <f t="shared" si="36"/>
        <v/>
      </c>
    </row>
    <row r="1093" spans="1:16" x14ac:dyDescent="0.3">
      <c r="A1093" s="19" t="str">
        <f t="shared" si="35"/>
        <v/>
      </c>
      <c r="K1093" s="21" t="str">
        <f>IF(J1093&lt;&gt;"",VLOOKUP(J1093,HeadCount!A:I,2,0),"")</f>
        <v/>
      </c>
      <c r="L1093" s="21" t="str">
        <f>IF(J1093&lt;&gt;"",VLOOKUP(J1093,HeadCount!A:I,5,0),"")</f>
        <v/>
      </c>
      <c r="P1093" s="19" t="str">
        <f t="shared" si="36"/>
        <v/>
      </c>
    </row>
    <row r="1094" spans="1:16" x14ac:dyDescent="0.3">
      <c r="A1094" s="19" t="str">
        <f t="shared" si="35"/>
        <v/>
      </c>
      <c r="K1094" s="21" t="str">
        <f>IF(J1094&lt;&gt;"",VLOOKUP(J1094,HeadCount!A:I,2,0),"")</f>
        <v/>
      </c>
      <c r="L1094" s="21" t="str">
        <f>IF(J1094&lt;&gt;"",VLOOKUP(J1094,HeadCount!A:I,5,0),"")</f>
        <v/>
      </c>
      <c r="P1094" s="19" t="str">
        <f t="shared" si="36"/>
        <v/>
      </c>
    </row>
    <row r="1095" spans="1:16" x14ac:dyDescent="0.3">
      <c r="A1095" s="19" t="str">
        <f t="shared" si="35"/>
        <v/>
      </c>
      <c r="K1095" s="21" t="str">
        <f>IF(J1095&lt;&gt;"",VLOOKUP(J1095,HeadCount!A:I,2,0),"")</f>
        <v/>
      </c>
      <c r="L1095" s="21" t="str">
        <f>IF(J1095&lt;&gt;"",VLOOKUP(J1095,HeadCount!A:I,5,0),"")</f>
        <v/>
      </c>
      <c r="P1095" s="19" t="str">
        <f t="shared" si="36"/>
        <v/>
      </c>
    </row>
    <row r="1096" spans="1:16" x14ac:dyDescent="0.3">
      <c r="A1096" s="19" t="str">
        <f t="shared" si="35"/>
        <v/>
      </c>
      <c r="K1096" s="21" t="str">
        <f>IF(J1096&lt;&gt;"",VLOOKUP(J1096,HeadCount!A:I,2,0),"")</f>
        <v/>
      </c>
      <c r="L1096" s="21" t="str">
        <f>IF(J1096&lt;&gt;"",VLOOKUP(J1096,HeadCount!A:I,5,0),"")</f>
        <v/>
      </c>
      <c r="P1096" s="19" t="str">
        <f t="shared" si="36"/>
        <v/>
      </c>
    </row>
    <row r="1097" spans="1:16" x14ac:dyDescent="0.3">
      <c r="A1097" s="19" t="str">
        <f t="shared" si="35"/>
        <v/>
      </c>
      <c r="J1097" s="34"/>
      <c r="K1097" s="21" t="str">
        <f>IF(J1097&lt;&gt;"",VLOOKUP(J1097,HeadCount!A:I,2,0),"")</f>
        <v/>
      </c>
      <c r="L1097" s="21" t="str">
        <f>IF(J1097&lt;&gt;"",VLOOKUP(J1097,HeadCount!A:I,5,0),"")</f>
        <v/>
      </c>
      <c r="P1097" s="19" t="str">
        <f t="shared" si="36"/>
        <v/>
      </c>
    </row>
    <row r="1098" spans="1:16" x14ac:dyDescent="0.3">
      <c r="A1098" s="19" t="str">
        <f t="shared" si="35"/>
        <v/>
      </c>
      <c r="K1098" s="21" t="str">
        <f>IF(J1098&lt;&gt;"",VLOOKUP(J1098,HeadCount!A:I,2,0),"")</f>
        <v/>
      </c>
      <c r="L1098" s="21" t="str">
        <f>IF(J1098&lt;&gt;"",VLOOKUP(J1098,HeadCount!A:I,5,0),"")</f>
        <v/>
      </c>
      <c r="P1098" s="19" t="str">
        <f t="shared" si="36"/>
        <v/>
      </c>
    </row>
    <row r="1099" spans="1:16" x14ac:dyDescent="0.3">
      <c r="A1099" s="19" t="str">
        <f t="shared" si="35"/>
        <v/>
      </c>
      <c r="J1099" s="34"/>
      <c r="K1099" s="21" t="str">
        <f>IF(J1099&lt;&gt;"",VLOOKUP(J1099,HeadCount!A:I,2,0),"")</f>
        <v/>
      </c>
      <c r="L1099" s="21" t="str">
        <f>IF(J1099&lt;&gt;"",VLOOKUP(J1099,HeadCount!A:I,5,0),"")</f>
        <v/>
      </c>
      <c r="P1099" s="19" t="str">
        <f t="shared" si="36"/>
        <v/>
      </c>
    </row>
    <row r="1100" spans="1:16" x14ac:dyDescent="0.3">
      <c r="A1100" s="19" t="str">
        <f t="shared" si="35"/>
        <v/>
      </c>
      <c r="K1100" s="21" t="str">
        <f>IF(J1100&lt;&gt;"",VLOOKUP(J1100,HeadCount!A:I,2,0),"")</f>
        <v/>
      </c>
      <c r="L1100" s="21" t="str">
        <f>IF(J1100&lt;&gt;"",VLOOKUP(J1100,HeadCount!A:I,5,0),"")</f>
        <v/>
      </c>
      <c r="P1100" s="19" t="str">
        <f t="shared" si="36"/>
        <v/>
      </c>
    </row>
    <row r="1101" spans="1:16" x14ac:dyDescent="0.3">
      <c r="A1101" s="19" t="str">
        <f t="shared" si="35"/>
        <v/>
      </c>
      <c r="K1101" s="21" t="str">
        <f>IF(J1101&lt;&gt;"",VLOOKUP(J1101,HeadCount!A:I,2,0),"")</f>
        <v/>
      </c>
      <c r="L1101" s="21" t="str">
        <f>IF(J1101&lt;&gt;"",VLOOKUP(J1101,HeadCount!A:I,5,0),"")</f>
        <v/>
      </c>
      <c r="P1101" s="19" t="str">
        <f t="shared" si="36"/>
        <v/>
      </c>
    </row>
    <row r="1102" spans="1:16" x14ac:dyDescent="0.3">
      <c r="A1102" s="19" t="str">
        <f t="shared" si="35"/>
        <v/>
      </c>
      <c r="E1102" s="38"/>
      <c r="K1102" s="21" t="str">
        <f>IF(J1102&lt;&gt;"",VLOOKUP(J1102,HeadCount!A:I,2,0),"")</f>
        <v/>
      </c>
      <c r="L1102" s="21" t="str">
        <f>IF(J1102&lt;&gt;"",VLOOKUP(J1102,HeadCount!A:I,5,0),"")</f>
        <v/>
      </c>
      <c r="P1102" s="19" t="str">
        <f t="shared" si="36"/>
        <v/>
      </c>
    </row>
    <row r="1103" spans="1:16" x14ac:dyDescent="0.3">
      <c r="A1103" s="19" t="str">
        <f t="shared" si="35"/>
        <v/>
      </c>
      <c r="K1103" s="21" t="str">
        <f>IF(J1103&lt;&gt;"",VLOOKUP(J1103,HeadCount!A:I,2,0),"")</f>
        <v/>
      </c>
      <c r="L1103" s="21" t="str">
        <f>IF(J1103&lt;&gt;"",VLOOKUP(J1103,HeadCount!A:I,5,0),"")</f>
        <v/>
      </c>
      <c r="P1103" s="19" t="str">
        <f t="shared" si="36"/>
        <v/>
      </c>
    </row>
    <row r="1104" spans="1:16" x14ac:dyDescent="0.3">
      <c r="A1104" s="19" t="str">
        <f t="shared" si="35"/>
        <v/>
      </c>
      <c r="K1104" s="21" t="str">
        <f>IF(J1104&lt;&gt;"",VLOOKUP(J1104,HeadCount!A:I,2,0),"")</f>
        <v/>
      </c>
      <c r="L1104" s="21" t="str">
        <f>IF(J1104&lt;&gt;"",VLOOKUP(J1104,HeadCount!A:I,5,0),"")</f>
        <v/>
      </c>
      <c r="P1104" s="19" t="str">
        <f t="shared" si="36"/>
        <v/>
      </c>
    </row>
    <row r="1105" spans="1:16" x14ac:dyDescent="0.3">
      <c r="A1105" s="19" t="str">
        <f t="shared" si="35"/>
        <v/>
      </c>
      <c r="K1105" s="21" t="str">
        <f>IF(J1105&lt;&gt;"",VLOOKUP(J1105,HeadCount!A:I,2,0),"")</f>
        <v/>
      </c>
      <c r="L1105" s="21" t="str">
        <f>IF(J1105&lt;&gt;"",VLOOKUP(J1105,HeadCount!A:I,5,0),"")</f>
        <v/>
      </c>
      <c r="P1105" s="19" t="str">
        <f t="shared" si="36"/>
        <v/>
      </c>
    </row>
    <row r="1106" spans="1:16" x14ac:dyDescent="0.3">
      <c r="A1106" s="19" t="str">
        <f t="shared" si="35"/>
        <v/>
      </c>
      <c r="E1106" s="37"/>
      <c r="K1106" s="21" t="str">
        <f>IF(J1106&lt;&gt;"",VLOOKUP(J1106,HeadCount!A:I,2,0),"")</f>
        <v/>
      </c>
      <c r="L1106" s="21" t="str">
        <f>IF(J1106&lt;&gt;"",VLOOKUP(J1106,HeadCount!A:I,5,0),"")</f>
        <v/>
      </c>
      <c r="P1106" s="19" t="str">
        <f t="shared" si="36"/>
        <v/>
      </c>
    </row>
    <row r="1107" spans="1:16" x14ac:dyDescent="0.3">
      <c r="A1107" s="19" t="str">
        <f t="shared" si="35"/>
        <v/>
      </c>
      <c r="K1107" s="21" t="str">
        <f>IF(J1107&lt;&gt;"",VLOOKUP(J1107,HeadCount!A:I,2,0),"")</f>
        <v/>
      </c>
      <c r="L1107" s="21" t="str">
        <f>IF(J1107&lt;&gt;"",VLOOKUP(J1107,HeadCount!A:I,5,0),"")</f>
        <v/>
      </c>
      <c r="P1107" s="19" t="str">
        <f t="shared" si="36"/>
        <v/>
      </c>
    </row>
    <row r="1108" spans="1:16" x14ac:dyDescent="0.3">
      <c r="A1108" s="19" t="str">
        <f t="shared" si="35"/>
        <v/>
      </c>
      <c r="K1108" s="21" t="str">
        <f>IF(J1108&lt;&gt;"",VLOOKUP(J1108,HeadCount!A:I,2,0),"")</f>
        <v/>
      </c>
      <c r="L1108" s="21" t="str">
        <f>IF(J1108&lt;&gt;"",VLOOKUP(J1108,HeadCount!A:I,5,0),"")</f>
        <v/>
      </c>
      <c r="P1108" s="19" t="str">
        <f t="shared" si="36"/>
        <v/>
      </c>
    </row>
    <row r="1109" spans="1:16" x14ac:dyDescent="0.3">
      <c r="A1109" s="19" t="str">
        <f t="shared" si="35"/>
        <v/>
      </c>
      <c r="E1109" s="31"/>
      <c r="K1109" s="21" t="str">
        <f>IF(J1109&lt;&gt;"",VLOOKUP(J1109,HeadCount!A:I,2,0),"")</f>
        <v/>
      </c>
      <c r="L1109" s="21" t="str">
        <f>IF(J1109&lt;&gt;"",VLOOKUP(J1109,HeadCount!A:I,5,0),"")</f>
        <v/>
      </c>
      <c r="P1109" s="19" t="str">
        <f t="shared" si="36"/>
        <v/>
      </c>
    </row>
    <row r="1110" spans="1:16" x14ac:dyDescent="0.3">
      <c r="A1110" s="19" t="str">
        <f t="shared" si="35"/>
        <v/>
      </c>
      <c r="K1110" s="21" t="str">
        <f>IF(J1110&lt;&gt;"",VLOOKUP(J1110,HeadCount!A:I,2,0),"")</f>
        <v/>
      </c>
      <c r="L1110" s="21" t="str">
        <f>IF(J1110&lt;&gt;"",VLOOKUP(J1110,HeadCount!A:I,5,0),"")</f>
        <v/>
      </c>
      <c r="P1110" s="19" t="str">
        <f t="shared" si="36"/>
        <v/>
      </c>
    </row>
    <row r="1111" spans="1:16" x14ac:dyDescent="0.3">
      <c r="A1111" s="19" t="str">
        <f t="shared" si="35"/>
        <v/>
      </c>
      <c r="E1111" s="38"/>
      <c r="K1111" s="21" t="str">
        <f>IF(J1111&lt;&gt;"",VLOOKUP(J1111,HeadCount!A:I,2,0),"")</f>
        <v/>
      </c>
      <c r="L1111" s="21" t="str">
        <f>IF(J1111&lt;&gt;"",VLOOKUP(J1111,HeadCount!A:I,5,0),"")</f>
        <v/>
      </c>
      <c r="P1111" s="19" t="str">
        <f t="shared" si="36"/>
        <v/>
      </c>
    </row>
    <row r="1112" spans="1:16" x14ac:dyDescent="0.3">
      <c r="A1112" s="19" t="str">
        <f t="shared" si="35"/>
        <v/>
      </c>
      <c r="E1112" s="18"/>
      <c r="K1112" s="21" t="str">
        <f>IF(J1112&lt;&gt;"",VLOOKUP(J1112,HeadCount!A:I,2,0),"")</f>
        <v/>
      </c>
      <c r="L1112" s="21" t="str">
        <f>IF(J1112&lt;&gt;"",VLOOKUP(J1112,HeadCount!A:I,5,0),"")</f>
        <v/>
      </c>
      <c r="P1112" s="19" t="str">
        <f t="shared" si="36"/>
        <v/>
      </c>
    </row>
    <row r="1113" spans="1:16" x14ac:dyDescent="0.3">
      <c r="A1113" s="19" t="str">
        <f t="shared" si="35"/>
        <v/>
      </c>
      <c r="E1113" s="37"/>
      <c r="K1113" s="21" t="str">
        <f>IF(J1113&lt;&gt;"",VLOOKUP(J1113,HeadCount!A:I,2,0),"")</f>
        <v/>
      </c>
      <c r="L1113" s="21" t="str">
        <f>IF(J1113&lt;&gt;"",VLOOKUP(J1113,HeadCount!A:I,5,0),"")</f>
        <v/>
      </c>
      <c r="P1113" s="19" t="str">
        <f t="shared" si="36"/>
        <v/>
      </c>
    </row>
    <row r="1114" spans="1:16" x14ac:dyDescent="0.3">
      <c r="A1114" s="19" t="str">
        <f t="shared" si="35"/>
        <v/>
      </c>
      <c r="K1114" s="21" t="str">
        <f>IF(J1114&lt;&gt;"",VLOOKUP(J1114,HeadCount!A:I,2,0),"")</f>
        <v/>
      </c>
      <c r="L1114" s="21" t="str">
        <f>IF(J1114&lt;&gt;"",VLOOKUP(J1114,HeadCount!A:I,5,0),"")</f>
        <v/>
      </c>
      <c r="P1114" s="19" t="str">
        <f t="shared" si="36"/>
        <v/>
      </c>
    </row>
    <row r="1115" spans="1:16" x14ac:dyDescent="0.3">
      <c r="A1115" s="19" t="str">
        <f t="shared" si="35"/>
        <v/>
      </c>
      <c r="K1115" s="21" t="str">
        <f>IF(J1115&lt;&gt;"",VLOOKUP(J1115,HeadCount!A:I,2,0),"")</f>
        <v/>
      </c>
      <c r="L1115" s="21" t="str">
        <f>IF(J1115&lt;&gt;"",VLOOKUP(J1115,HeadCount!A:I,5,0),"")</f>
        <v/>
      </c>
      <c r="P1115" s="19" t="str">
        <f t="shared" si="36"/>
        <v/>
      </c>
    </row>
    <row r="1116" spans="1:16" x14ac:dyDescent="0.3">
      <c r="A1116" s="19" t="str">
        <f t="shared" si="35"/>
        <v/>
      </c>
      <c r="K1116" s="21" t="str">
        <f>IF(J1116&lt;&gt;"",VLOOKUP(J1116,HeadCount!A:I,2,0),"")</f>
        <v/>
      </c>
      <c r="L1116" s="21" t="str">
        <f>IF(J1116&lt;&gt;"",VLOOKUP(J1116,HeadCount!A:I,5,0),"")</f>
        <v/>
      </c>
      <c r="P1116" s="19" t="str">
        <f t="shared" si="36"/>
        <v/>
      </c>
    </row>
    <row r="1117" spans="1:16" x14ac:dyDescent="0.3">
      <c r="A1117" s="19" t="str">
        <f t="shared" si="35"/>
        <v/>
      </c>
      <c r="K1117" s="21" t="str">
        <f>IF(J1117&lt;&gt;"",VLOOKUP(J1117,HeadCount!A:I,2,0),"")</f>
        <v/>
      </c>
      <c r="L1117" s="21" t="str">
        <f>IF(J1117&lt;&gt;"",VLOOKUP(J1117,HeadCount!A:I,5,0),"")</f>
        <v/>
      </c>
      <c r="P1117" s="19" t="str">
        <f t="shared" si="36"/>
        <v/>
      </c>
    </row>
    <row r="1118" spans="1:16" x14ac:dyDescent="0.3">
      <c r="A1118" s="19" t="str">
        <f t="shared" si="35"/>
        <v/>
      </c>
      <c r="K1118" s="21" t="str">
        <f>IF(J1118&lt;&gt;"",VLOOKUP(J1118,HeadCount!A:I,2,0),"")</f>
        <v/>
      </c>
      <c r="L1118" s="21" t="str">
        <f>IF(J1118&lt;&gt;"",VLOOKUP(J1118,HeadCount!A:I,5,0),"")</f>
        <v/>
      </c>
      <c r="P1118" s="19" t="str">
        <f t="shared" si="36"/>
        <v/>
      </c>
    </row>
    <row r="1119" spans="1:16" x14ac:dyDescent="0.3">
      <c r="A1119" s="19" t="str">
        <f t="shared" si="35"/>
        <v/>
      </c>
      <c r="K1119" s="21" t="str">
        <f>IF(J1119&lt;&gt;"",VLOOKUP(J1119,HeadCount!A:I,2,0),"")</f>
        <v/>
      </c>
      <c r="L1119" s="21" t="str">
        <f>IF(J1119&lt;&gt;"",VLOOKUP(J1119,HeadCount!A:I,5,0),"")</f>
        <v/>
      </c>
      <c r="P1119" s="19" t="str">
        <f t="shared" si="36"/>
        <v/>
      </c>
    </row>
    <row r="1120" spans="1:16" x14ac:dyDescent="0.3">
      <c r="A1120" s="19" t="str">
        <f t="shared" si="35"/>
        <v/>
      </c>
      <c r="E1120" s="38"/>
      <c r="K1120" s="21" t="str">
        <f>IF(J1120&lt;&gt;"",VLOOKUP(J1120,HeadCount!A:I,2,0),"")</f>
        <v/>
      </c>
      <c r="L1120" s="21" t="str">
        <f>IF(J1120&lt;&gt;"",VLOOKUP(J1120,HeadCount!A:I,5,0),"")</f>
        <v/>
      </c>
      <c r="P1120" s="19" t="str">
        <f t="shared" si="36"/>
        <v/>
      </c>
    </row>
    <row r="1121" spans="1:16" x14ac:dyDescent="0.3">
      <c r="A1121" s="19" t="str">
        <f t="shared" si="35"/>
        <v/>
      </c>
      <c r="E1121" s="38"/>
      <c r="K1121" s="21" t="str">
        <f>IF(J1121&lt;&gt;"",VLOOKUP(J1121,HeadCount!A:I,2,0),"")</f>
        <v/>
      </c>
      <c r="L1121" s="21" t="str">
        <f>IF(J1121&lt;&gt;"",VLOOKUP(J1121,HeadCount!A:I,5,0),"")</f>
        <v/>
      </c>
      <c r="P1121" s="19" t="str">
        <f t="shared" si="36"/>
        <v/>
      </c>
    </row>
    <row r="1122" spans="1:16" x14ac:dyDescent="0.3">
      <c r="A1122" s="19" t="str">
        <f t="shared" si="35"/>
        <v/>
      </c>
      <c r="K1122" s="21" t="str">
        <f>IF(J1122&lt;&gt;"",VLOOKUP(J1122,HeadCount!A:I,2,0),"")</f>
        <v/>
      </c>
      <c r="L1122" s="21" t="str">
        <f>IF(J1122&lt;&gt;"",VLOOKUP(J1122,HeadCount!A:I,5,0),"")</f>
        <v/>
      </c>
      <c r="P1122" s="19" t="str">
        <f t="shared" si="36"/>
        <v/>
      </c>
    </row>
    <row r="1123" spans="1:16" x14ac:dyDescent="0.3">
      <c r="A1123" s="19" t="str">
        <f t="shared" si="35"/>
        <v/>
      </c>
      <c r="J1123" s="34"/>
      <c r="K1123" s="21" t="str">
        <f>IF(J1123&lt;&gt;"",VLOOKUP(J1123,HeadCount!A:I,2,0),"")</f>
        <v/>
      </c>
      <c r="L1123" s="21" t="str">
        <f>IF(J1123&lt;&gt;"",VLOOKUP(J1123,HeadCount!A:I,5,0),"")</f>
        <v/>
      </c>
      <c r="P1123" s="19" t="str">
        <f t="shared" si="36"/>
        <v/>
      </c>
    </row>
    <row r="1124" spans="1:16" x14ac:dyDescent="0.3">
      <c r="A1124" s="19" t="str">
        <f t="shared" si="35"/>
        <v/>
      </c>
      <c r="K1124" s="21" t="str">
        <f>IF(J1124&lt;&gt;"",VLOOKUP(J1124,HeadCount!A:I,2,0),"")</f>
        <v/>
      </c>
      <c r="L1124" s="21" t="str">
        <f>IF(J1124&lt;&gt;"",VLOOKUP(J1124,HeadCount!A:I,5,0),"")</f>
        <v/>
      </c>
      <c r="P1124" s="19" t="str">
        <f t="shared" si="36"/>
        <v/>
      </c>
    </row>
    <row r="1125" spans="1:16" x14ac:dyDescent="0.3">
      <c r="A1125" s="19" t="str">
        <f t="shared" si="35"/>
        <v/>
      </c>
      <c r="E1125" s="31"/>
      <c r="K1125" s="21" t="str">
        <f>IF(J1125&lt;&gt;"",VLOOKUP(J1125,HeadCount!A:I,2,0),"")</f>
        <v/>
      </c>
      <c r="L1125" s="21" t="str">
        <f>IF(J1125&lt;&gt;"",VLOOKUP(J1125,HeadCount!A:I,5,0),"")</f>
        <v/>
      </c>
      <c r="P1125" s="19" t="str">
        <f t="shared" si="36"/>
        <v/>
      </c>
    </row>
    <row r="1126" spans="1:16" x14ac:dyDescent="0.3">
      <c r="A1126" s="19" t="str">
        <f t="shared" si="35"/>
        <v/>
      </c>
      <c r="K1126" s="21" t="str">
        <f>IF(J1126&lt;&gt;"",VLOOKUP(J1126,HeadCount!A:I,2,0),"")</f>
        <v/>
      </c>
      <c r="L1126" s="21" t="str">
        <f>IF(J1126&lt;&gt;"",VLOOKUP(J1126,HeadCount!A:I,5,0),"")</f>
        <v/>
      </c>
      <c r="P1126" s="19" t="str">
        <f t="shared" si="36"/>
        <v/>
      </c>
    </row>
    <row r="1127" spans="1:16" x14ac:dyDescent="0.3">
      <c r="A1127" s="19" t="str">
        <f t="shared" si="35"/>
        <v/>
      </c>
      <c r="K1127" s="21" t="str">
        <f>IF(J1127&lt;&gt;"",VLOOKUP(J1127,HeadCount!A:I,2,0),"")</f>
        <v/>
      </c>
      <c r="L1127" s="21" t="str">
        <f>IF(J1127&lt;&gt;"",VLOOKUP(J1127,HeadCount!A:I,5,0),"")</f>
        <v/>
      </c>
      <c r="P1127" s="19" t="str">
        <f t="shared" si="36"/>
        <v/>
      </c>
    </row>
    <row r="1128" spans="1:16" x14ac:dyDescent="0.3">
      <c r="A1128" s="19" t="str">
        <f t="shared" si="35"/>
        <v/>
      </c>
      <c r="K1128" s="21" t="str">
        <f>IF(J1128&lt;&gt;"",VLOOKUP(J1128,HeadCount!A:I,2,0),"")</f>
        <v/>
      </c>
      <c r="L1128" s="21" t="str">
        <f>IF(J1128&lt;&gt;"",VLOOKUP(J1128,HeadCount!A:I,5,0),"")</f>
        <v/>
      </c>
      <c r="P1128" s="19" t="str">
        <f t="shared" si="36"/>
        <v/>
      </c>
    </row>
    <row r="1129" spans="1:16" x14ac:dyDescent="0.3">
      <c r="A1129" s="19" t="str">
        <f t="shared" si="35"/>
        <v/>
      </c>
      <c r="K1129" s="21" t="str">
        <f>IF(J1129&lt;&gt;"",VLOOKUP(J1129,HeadCount!A:I,2,0),"")</f>
        <v/>
      </c>
      <c r="L1129" s="21" t="str">
        <f>IF(J1129&lt;&gt;"",VLOOKUP(J1129,HeadCount!A:I,5,0),"")</f>
        <v/>
      </c>
      <c r="P1129" s="19" t="str">
        <f t="shared" si="36"/>
        <v/>
      </c>
    </row>
    <row r="1130" spans="1:16" x14ac:dyDescent="0.3">
      <c r="A1130" s="19" t="str">
        <f t="shared" si="35"/>
        <v/>
      </c>
      <c r="K1130" s="21" t="str">
        <f>IF(J1130&lt;&gt;"",VLOOKUP(J1130,HeadCount!A:I,2,0),"")</f>
        <v/>
      </c>
      <c r="L1130" s="21" t="str">
        <f>IF(J1130&lt;&gt;"",VLOOKUP(J1130,HeadCount!A:I,5,0),"")</f>
        <v/>
      </c>
      <c r="P1130" s="19" t="str">
        <f t="shared" si="36"/>
        <v/>
      </c>
    </row>
    <row r="1131" spans="1:16" x14ac:dyDescent="0.3">
      <c r="A1131" s="19" t="str">
        <f t="shared" si="35"/>
        <v/>
      </c>
      <c r="E1131" s="18"/>
      <c r="K1131" s="21" t="str">
        <f>IF(J1131&lt;&gt;"",VLOOKUP(J1131,HeadCount!A:I,2,0),"")</f>
        <v/>
      </c>
      <c r="L1131" s="21" t="str">
        <f>IF(J1131&lt;&gt;"",VLOOKUP(J1131,HeadCount!A:I,5,0),"")</f>
        <v/>
      </c>
      <c r="P1131" s="19" t="str">
        <f t="shared" si="36"/>
        <v/>
      </c>
    </row>
    <row r="1132" spans="1:16" x14ac:dyDescent="0.3">
      <c r="A1132" s="19" t="str">
        <f t="shared" si="35"/>
        <v/>
      </c>
      <c r="E1132" s="18"/>
      <c r="K1132" s="21" t="str">
        <f>IF(J1132&lt;&gt;"",VLOOKUP(J1132,HeadCount!A:I,2,0),"")</f>
        <v/>
      </c>
      <c r="L1132" s="21" t="str">
        <f>IF(J1132&lt;&gt;"",VLOOKUP(J1132,HeadCount!A:I,5,0),"")</f>
        <v/>
      </c>
      <c r="P1132" s="19" t="str">
        <f t="shared" si="36"/>
        <v/>
      </c>
    </row>
    <row r="1133" spans="1:16" x14ac:dyDescent="0.3">
      <c r="A1133" s="19" t="str">
        <f t="shared" si="35"/>
        <v/>
      </c>
      <c r="E1133" s="18"/>
      <c r="J1133" s="34"/>
      <c r="K1133" s="21" t="str">
        <f>IF(J1133&lt;&gt;"",VLOOKUP(J1133,HeadCount!A:I,2,0),"")</f>
        <v/>
      </c>
      <c r="L1133" s="21" t="str">
        <f>IF(J1133&lt;&gt;"",VLOOKUP(J1133,HeadCount!A:I,5,0),"")</f>
        <v/>
      </c>
      <c r="P1133" s="19" t="str">
        <f t="shared" si="36"/>
        <v/>
      </c>
    </row>
    <row r="1134" spans="1:16" x14ac:dyDescent="0.3">
      <c r="A1134" s="19" t="str">
        <f t="shared" si="35"/>
        <v/>
      </c>
      <c r="K1134" s="21" t="str">
        <f>IF(J1134&lt;&gt;"",VLOOKUP(J1134,HeadCount!A:I,2,0),"")</f>
        <v/>
      </c>
      <c r="L1134" s="21" t="str">
        <f>IF(J1134&lt;&gt;"",VLOOKUP(J1134,HeadCount!A:I,5,0),"")</f>
        <v/>
      </c>
      <c r="P1134" s="19" t="str">
        <f t="shared" si="36"/>
        <v/>
      </c>
    </row>
    <row r="1135" spans="1:16" x14ac:dyDescent="0.3">
      <c r="A1135" s="19" t="str">
        <f t="shared" si="35"/>
        <v/>
      </c>
      <c r="K1135" s="21" t="str">
        <f>IF(J1135&lt;&gt;"",VLOOKUP(J1135,HeadCount!A:I,2,0),"")</f>
        <v/>
      </c>
      <c r="L1135" s="21" t="str">
        <f>IF(J1135&lt;&gt;"",VLOOKUP(J1135,HeadCount!A:I,5,0),"")</f>
        <v/>
      </c>
      <c r="P1135" s="19" t="str">
        <f t="shared" si="36"/>
        <v/>
      </c>
    </row>
    <row r="1136" spans="1:16" x14ac:dyDescent="0.3">
      <c r="A1136" s="19" t="str">
        <f t="shared" si="35"/>
        <v/>
      </c>
      <c r="K1136" s="21" t="str">
        <f>IF(J1136&lt;&gt;"",VLOOKUP(J1136,HeadCount!A:I,2,0),"")</f>
        <v/>
      </c>
      <c r="L1136" s="21" t="str">
        <f>IF(J1136&lt;&gt;"",VLOOKUP(J1136,HeadCount!A:I,5,0),"")</f>
        <v/>
      </c>
      <c r="P1136" s="19" t="str">
        <f t="shared" si="36"/>
        <v/>
      </c>
    </row>
    <row r="1137" spans="1:16" x14ac:dyDescent="0.3">
      <c r="A1137" s="19" t="str">
        <f t="shared" si="35"/>
        <v/>
      </c>
      <c r="K1137" s="21" t="str">
        <f>IF(J1137&lt;&gt;"",VLOOKUP(J1137,HeadCount!A:I,2,0),"")</f>
        <v/>
      </c>
      <c r="L1137" s="21" t="str">
        <f>IF(J1137&lt;&gt;"",VLOOKUP(J1137,HeadCount!A:I,5,0),"")</f>
        <v/>
      </c>
      <c r="P1137" s="19" t="str">
        <f t="shared" si="36"/>
        <v/>
      </c>
    </row>
    <row r="1138" spans="1:16" x14ac:dyDescent="0.3">
      <c r="A1138" s="19" t="str">
        <f t="shared" si="35"/>
        <v/>
      </c>
      <c r="K1138" s="21" t="str">
        <f>IF(J1138&lt;&gt;"",VLOOKUP(J1138,HeadCount!A:I,2,0),"")</f>
        <v/>
      </c>
      <c r="L1138" s="21" t="str">
        <f>IF(J1138&lt;&gt;"",VLOOKUP(J1138,HeadCount!A:I,5,0),"")</f>
        <v/>
      </c>
      <c r="P1138" s="19" t="str">
        <f t="shared" si="36"/>
        <v/>
      </c>
    </row>
    <row r="1139" spans="1:16" x14ac:dyDescent="0.3">
      <c r="A1139" s="19" t="str">
        <f t="shared" si="35"/>
        <v/>
      </c>
      <c r="K1139" s="21" t="str">
        <f>IF(J1139&lt;&gt;"",VLOOKUP(J1139,HeadCount!A:I,2,0),"")</f>
        <v/>
      </c>
      <c r="L1139" s="21" t="str">
        <f>IF(J1139&lt;&gt;"",VLOOKUP(J1139,HeadCount!A:I,5,0),"")</f>
        <v/>
      </c>
      <c r="P1139" s="19" t="str">
        <f t="shared" si="36"/>
        <v/>
      </c>
    </row>
    <row r="1140" spans="1:16" x14ac:dyDescent="0.3">
      <c r="A1140" s="19" t="str">
        <f t="shared" si="35"/>
        <v/>
      </c>
      <c r="K1140" s="21" t="str">
        <f>IF(J1140&lt;&gt;"",VLOOKUP(J1140,HeadCount!A:I,2,0),"")</f>
        <v/>
      </c>
      <c r="L1140" s="21" t="str">
        <f>IF(J1140&lt;&gt;"",VLOOKUP(J1140,HeadCount!A:I,5,0),"")</f>
        <v/>
      </c>
      <c r="P1140" s="19" t="str">
        <f t="shared" si="36"/>
        <v/>
      </c>
    </row>
    <row r="1141" spans="1:16" x14ac:dyDescent="0.3">
      <c r="A1141" s="19" t="str">
        <f t="shared" si="35"/>
        <v/>
      </c>
      <c r="K1141" s="21" t="str">
        <f>IF(J1141&lt;&gt;"",VLOOKUP(J1141,HeadCount!A:I,2,0),"")</f>
        <v/>
      </c>
      <c r="L1141" s="21" t="str">
        <f>IF(J1141&lt;&gt;"",VLOOKUP(J1141,HeadCount!A:I,5,0),"")</f>
        <v/>
      </c>
      <c r="P1141" s="19" t="str">
        <f t="shared" si="36"/>
        <v/>
      </c>
    </row>
    <row r="1142" spans="1:16" x14ac:dyDescent="0.3">
      <c r="A1142" s="19" t="str">
        <f t="shared" si="35"/>
        <v/>
      </c>
      <c r="K1142" s="21" t="str">
        <f>IF(J1142&lt;&gt;"",VLOOKUP(J1142,HeadCount!A:I,2,0),"")</f>
        <v/>
      </c>
      <c r="L1142" s="21" t="str">
        <f>IF(J1142&lt;&gt;"",VLOOKUP(J1142,HeadCount!A:I,5,0),"")</f>
        <v/>
      </c>
      <c r="P1142" s="19" t="str">
        <f t="shared" si="36"/>
        <v/>
      </c>
    </row>
    <row r="1143" spans="1:16" x14ac:dyDescent="0.3">
      <c r="A1143" s="19" t="str">
        <f t="shared" si="35"/>
        <v/>
      </c>
      <c r="K1143" s="21" t="str">
        <f>IF(J1143&lt;&gt;"",VLOOKUP(J1143,HeadCount!A:I,2,0),"")</f>
        <v/>
      </c>
      <c r="L1143" s="21" t="str">
        <f>IF(J1143&lt;&gt;"",VLOOKUP(J1143,HeadCount!A:I,5,0),"")</f>
        <v/>
      </c>
      <c r="P1143" s="19" t="str">
        <f t="shared" si="36"/>
        <v/>
      </c>
    </row>
    <row r="1144" spans="1:16" x14ac:dyDescent="0.3">
      <c r="A1144" s="19" t="str">
        <f t="shared" si="35"/>
        <v/>
      </c>
      <c r="K1144" s="21" t="str">
        <f>IF(J1144&lt;&gt;"",VLOOKUP(J1144,HeadCount!A:I,2,0),"")</f>
        <v/>
      </c>
      <c r="L1144" s="21" t="str">
        <f>IF(J1144&lt;&gt;"",VLOOKUP(J1144,HeadCount!A:I,5,0),"")</f>
        <v/>
      </c>
      <c r="P1144" s="19" t="str">
        <f t="shared" si="36"/>
        <v/>
      </c>
    </row>
    <row r="1145" spans="1:16" x14ac:dyDescent="0.3">
      <c r="A1145" s="19" t="str">
        <f t="shared" si="35"/>
        <v/>
      </c>
      <c r="E1145" s="31"/>
      <c r="K1145" s="21" t="str">
        <f>IF(J1145&lt;&gt;"",VLOOKUP(J1145,HeadCount!A:I,2,0),"")</f>
        <v/>
      </c>
      <c r="L1145" s="21" t="str">
        <f>IF(J1145&lt;&gt;"",VLOOKUP(J1145,HeadCount!A:I,5,0),"")</f>
        <v/>
      </c>
      <c r="P1145" s="19" t="str">
        <f t="shared" si="36"/>
        <v/>
      </c>
    </row>
    <row r="1146" spans="1:16" x14ac:dyDescent="0.3">
      <c r="A1146" s="19" t="str">
        <f t="shared" si="35"/>
        <v/>
      </c>
      <c r="K1146" s="21" t="str">
        <f>IF(J1146&lt;&gt;"",VLOOKUP(J1146,HeadCount!A:I,2,0),"")</f>
        <v/>
      </c>
      <c r="L1146" s="21" t="str">
        <f>IF(J1146&lt;&gt;"",VLOOKUP(J1146,HeadCount!A:I,5,0),"")</f>
        <v/>
      </c>
      <c r="P1146" s="19" t="str">
        <f t="shared" si="36"/>
        <v/>
      </c>
    </row>
    <row r="1147" spans="1:16" x14ac:dyDescent="0.3">
      <c r="A1147" s="19" t="str">
        <f t="shared" si="35"/>
        <v/>
      </c>
      <c r="K1147" s="21" t="str">
        <f>IF(J1147&lt;&gt;"",VLOOKUP(J1147,HeadCount!A:I,2,0),"")</f>
        <v/>
      </c>
      <c r="L1147" s="21" t="str">
        <f>IF(J1147&lt;&gt;"",VLOOKUP(J1147,HeadCount!A:I,5,0),"")</f>
        <v/>
      </c>
      <c r="P1147" s="19" t="str">
        <f t="shared" si="36"/>
        <v/>
      </c>
    </row>
    <row r="1148" spans="1:16" x14ac:dyDescent="0.3">
      <c r="A1148" s="19" t="str">
        <f t="shared" si="35"/>
        <v/>
      </c>
      <c r="J1148" s="34"/>
      <c r="K1148" s="21" t="str">
        <f>IF(J1148&lt;&gt;"",VLOOKUP(J1148,HeadCount!A:I,2,0),"")</f>
        <v/>
      </c>
      <c r="L1148" s="21" t="str">
        <f>IF(J1148&lt;&gt;"",VLOOKUP(J1148,HeadCount!A:I,5,0),"")</f>
        <v/>
      </c>
      <c r="P1148" s="19" t="str">
        <f t="shared" si="36"/>
        <v/>
      </c>
    </row>
    <row r="1149" spans="1:16" x14ac:dyDescent="0.3">
      <c r="A1149" s="19" t="str">
        <f t="shared" si="35"/>
        <v/>
      </c>
      <c r="K1149" s="21" t="str">
        <f>IF(J1149&lt;&gt;"",VLOOKUP(J1149,HeadCount!A:I,2,0),"")</f>
        <v/>
      </c>
      <c r="L1149" s="21" t="str">
        <f>IF(J1149&lt;&gt;"",VLOOKUP(J1149,HeadCount!A:I,5,0),"")</f>
        <v/>
      </c>
      <c r="P1149" s="19" t="str">
        <f t="shared" si="36"/>
        <v/>
      </c>
    </row>
    <row r="1150" spans="1:16" x14ac:dyDescent="0.3">
      <c r="A1150" s="19" t="str">
        <f t="shared" si="35"/>
        <v/>
      </c>
      <c r="E1150" s="37"/>
      <c r="K1150" s="21" t="str">
        <f>IF(J1150&lt;&gt;"",VLOOKUP(J1150,HeadCount!A:I,2,0),"")</f>
        <v/>
      </c>
      <c r="L1150" s="21" t="str">
        <f>IF(J1150&lt;&gt;"",VLOOKUP(J1150,HeadCount!A:I,5,0),"")</f>
        <v/>
      </c>
      <c r="P1150" s="19" t="str">
        <f t="shared" si="36"/>
        <v/>
      </c>
    </row>
    <row r="1151" spans="1:16" x14ac:dyDescent="0.3">
      <c r="A1151" s="19" t="str">
        <f t="shared" si="35"/>
        <v/>
      </c>
      <c r="K1151" s="21" t="str">
        <f>IF(J1151&lt;&gt;"",VLOOKUP(J1151,HeadCount!A:I,2,0),"")</f>
        <v/>
      </c>
      <c r="L1151" s="21" t="str">
        <f>IF(J1151&lt;&gt;"",VLOOKUP(J1151,HeadCount!A:I,5,0),"")</f>
        <v/>
      </c>
      <c r="P1151" s="19" t="str">
        <f t="shared" si="36"/>
        <v/>
      </c>
    </row>
    <row r="1152" spans="1:16" x14ac:dyDescent="0.3">
      <c r="A1152" s="19" t="str">
        <f t="shared" si="35"/>
        <v/>
      </c>
      <c r="E1152" s="37"/>
      <c r="K1152" s="21" t="str">
        <f>IF(J1152&lt;&gt;"",VLOOKUP(J1152,HeadCount!A:I,2,0),"")</f>
        <v/>
      </c>
      <c r="L1152" s="21" t="str">
        <f>IF(J1152&lt;&gt;"",VLOOKUP(J1152,HeadCount!A:I,5,0),"")</f>
        <v/>
      </c>
      <c r="P1152" s="19" t="str">
        <f t="shared" si="36"/>
        <v/>
      </c>
    </row>
    <row r="1153" spans="1:16" x14ac:dyDescent="0.3">
      <c r="A1153" s="19" t="str">
        <f t="shared" si="35"/>
        <v/>
      </c>
      <c r="J1153" s="34"/>
      <c r="K1153" s="21" t="str">
        <f>IF(J1153&lt;&gt;"",VLOOKUP(J1153,HeadCount!A:I,2,0),"")</f>
        <v/>
      </c>
      <c r="L1153" s="21" t="str">
        <f>IF(J1153&lt;&gt;"",VLOOKUP(J1153,HeadCount!A:I,5,0),"")</f>
        <v/>
      </c>
      <c r="P1153" s="19" t="str">
        <f t="shared" si="36"/>
        <v/>
      </c>
    </row>
    <row r="1154" spans="1:16" x14ac:dyDescent="0.3">
      <c r="A1154" s="19" t="str">
        <f t="shared" ref="A1154:A1217" si="37">IF(C1154&lt;&gt;"",ROW(A1153),"")</f>
        <v/>
      </c>
      <c r="E1154" s="31"/>
      <c r="K1154" s="21" t="str">
        <f>IF(J1154&lt;&gt;"",VLOOKUP(J1154,HeadCount!A:I,2,0),"")</f>
        <v/>
      </c>
      <c r="L1154" s="21" t="str">
        <f>IF(J1154&lt;&gt;"",VLOOKUP(J1154,HeadCount!A:I,5,0),"")</f>
        <v/>
      </c>
      <c r="P1154" s="19" t="str">
        <f t="shared" si="36"/>
        <v/>
      </c>
    </row>
    <row r="1155" spans="1:16" x14ac:dyDescent="0.3">
      <c r="A1155" s="19" t="str">
        <f t="shared" si="37"/>
        <v/>
      </c>
      <c r="K1155" s="21" t="str">
        <f>IF(J1155&lt;&gt;"",VLOOKUP(J1155,HeadCount!A:I,2,0),"")</f>
        <v/>
      </c>
      <c r="L1155" s="21" t="str">
        <f>IF(J1155&lt;&gt;"",VLOOKUP(J1155,HeadCount!A:I,5,0),"")</f>
        <v/>
      </c>
      <c r="P1155" s="19" t="str">
        <f t="shared" ref="P1155:P1218" si="38">IF(N1155="","",(O1155-N1155)+1)</f>
        <v/>
      </c>
    </row>
    <row r="1156" spans="1:16" x14ac:dyDescent="0.3">
      <c r="A1156" s="19" t="str">
        <f t="shared" si="37"/>
        <v/>
      </c>
      <c r="K1156" s="21" t="str">
        <f>IF(J1156&lt;&gt;"",VLOOKUP(J1156,HeadCount!A:I,2,0),"")</f>
        <v/>
      </c>
      <c r="L1156" s="21" t="str">
        <f>IF(J1156&lt;&gt;"",VLOOKUP(J1156,HeadCount!A:I,5,0),"")</f>
        <v/>
      </c>
      <c r="P1156" s="19" t="str">
        <f t="shared" si="38"/>
        <v/>
      </c>
    </row>
    <row r="1157" spans="1:16" x14ac:dyDescent="0.3">
      <c r="A1157" s="19" t="str">
        <f t="shared" si="37"/>
        <v/>
      </c>
      <c r="E1157" s="38"/>
      <c r="K1157" s="21" t="str">
        <f>IF(J1157&lt;&gt;"",VLOOKUP(J1157,HeadCount!A:I,2,0),"")</f>
        <v/>
      </c>
      <c r="L1157" s="21" t="str">
        <f>IF(J1157&lt;&gt;"",VLOOKUP(J1157,HeadCount!A:I,5,0),"")</f>
        <v/>
      </c>
      <c r="P1157" s="19" t="str">
        <f t="shared" si="38"/>
        <v/>
      </c>
    </row>
    <row r="1158" spans="1:16" x14ac:dyDescent="0.3">
      <c r="A1158" s="19" t="str">
        <f t="shared" si="37"/>
        <v/>
      </c>
      <c r="E1158" s="38"/>
      <c r="K1158" s="21" t="str">
        <f>IF(J1158&lt;&gt;"",VLOOKUP(J1158,HeadCount!A:I,2,0),"")</f>
        <v/>
      </c>
      <c r="L1158" s="21" t="str">
        <f>IF(J1158&lt;&gt;"",VLOOKUP(J1158,HeadCount!A:I,5,0),"")</f>
        <v/>
      </c>
      <c r="P1158" s="19" t="str">
        <f t="shared" si="38"/>
        <v/>
      </c>
    </row>
    <row r="1159" spans="1:16" x14ac:dyDescent="0.3">
      <c r="A1159" s="19" t="str">
        <f t="shared" si="37"/>
        <v/>
      </c>
      <c r="K1159" s="21" t="str">
        <f>IF(J1159&lt;&gt;"",VLOOKUP(J1159,HeadCount!A:I,2,0),"")</f>
        <v/>
      </c>
      <c r="L1159" s="21" t="str">
        <f>IF(J1159&lt;&gt;"",VLOOKUP(J1159,HeadCount!A:I,5,0),"")</f>
        <v/>
      </c>
      <c r="P1159" s="19" t="str">
        <f t="shared" si="38"/>
        <v/>
      </c>
    </row>
    <row r="1160" spans="1:16" x14ac:dyDescent="0.3">
      <c r="A1160" s="19" t="str">
        <f t="shared" si="37"/>
        <v/>
      </c>
      <c r="K1160" s="21" t="str">
        <f>IF(J1160&lt;&gt;"",VLOOKUP(J1160,HeadCount!A:I,2,0),"")</f>
        <v/>
      </c>
      <c r="L1160" s="21" t="str">
        <f>IF(J1160&lt;&gt;"",VLOOKUP(J1160,HeadCount!A:I,5,0),"")</f>
        <v/>
      </c>
      <c r="P1160" s="19" t="str">
        <f t="shared" si="38"/>
        <v/>
      </c>
    </row>
    <row r="1161" spans="1:16" x14ac:dyDescent="0.3">
      <c r="A1161" s="19" t="str">
        <f t="shared" si="37"/>
        <v/>
      </c>
      <c r="K1161" s="21" t="str">
        <f>IF(J1161&lt;&gt;"",VLOOKUP(J1161,HeadCount!A:I,2,0),"")</f>
        <v/>
      </c>
      <c r="L1161" s="21" t="str">
        <f>IF(J1161&lt;&gt;"",VLOOKUP(J1161,HeadCount!A:I,5,0),"")</f>
        <v/>
      </c>
      <c r="P1161" s="19" t="str">
        <f t="shared" si="38"/>
        <v/>
      </c>
    </row>
    <row r="1162" spans="1:16" x14ac:dyDescent="0.3">
      <c r="A1162" s="19" t="str">
        <f t="shared" si="37"/>
        <v/>
      </c>
      <c r="K1162" s="21" t="str">
        <f>IF(J1162&lt;&gt;"",VLOOKUP(J1162,HeadCount!A:I,2,0),"")</f>
        <v/>
      </c>
      <c r="L1162" s="21" t="str">
        <f>IF(J1162&lt;&gt;"",VLOOKUP(J1162,HeadCount!A:I,5,0),"")</f>
        <v/>
      </c>
      <c r="P1162" s="19" t="str">
        <f t="shared" si="38"/>
        <v/>
      </c>
    </row>
    <row r="1163" spans="1:16" x14ac:dyDescent="0.3">
      <c r="A1163" s="19" t="str">
        <f t="shared" si="37"/>
        <v/>
      </c>
      <c r="K1163" s="21" t="str">
        <f>IF(J1163&lt;&gt;"",VLOOKUP(J1163,HeadCount!A:I,2,0),"")</f>
        <v/>
      </c>
      <c r="L1163" s="21" t="str">
        <f>IF(J1163&lt;&gt;"",VLOOKUP(J1163,HeadCount!A:I,5,0),"")</f>
        <v/>
      </c>
      <c r="P1163" s="19" t="str">
        <f t="shared" si="38"/>
        <v/>
      </c>
    </row>
    <row r="1164" spans="1:16" x14ac:dyDescent="0.3">
      <c r="A1164" s="19" t="str">
        <f t="shared" si="37"/>
        <v/>
      </c>
      <c r="K1164" s="21" t="str">
        <f>IF(J1164&lt;&gt;"",VLOOKUP(J1164,HeadCount!A:I,2,0),"")</f>
        <v/>
      </c>
      <c r="L1164" s="21" t="str">
        <f>IF(J1164&lt;&gt;"",VLOOKUP(J1164,HeadCount!A:I,5,0),"")</f>
        <v/>
      </c>
      <c r="P1164" s="19" t="str">
        <f t="shared" si="38"/>
        <v/>
      </c>
    </row>
    <row r="1165" spans="1:16" x14ac:dyDescent="0.3">
      <c r="A1165" s="19" t="str">
        <f t="shared" si="37"/>
        <v/>
      </c>
      <c r="K1165" s="21" t="str">
        <f>IF(J1165&lt;&gt;"",VLOOKUP(J1165,HeadCount!A:I,2,0),"")</f>
        <v/>
      </c>
      <c r="L1165" s="21" t="str">
        <f>IF(J1165&lt;&gt;"",VLOOKUP(J1165,HeadCount!A:I,5,0),"")</f>
        <v/>
      </c>
      <c r="P1165" s="19" t="str">
        <f t="shared" si="38"/>
        <v/>
      </c>
    </row>
    <row r="1166" spans="1:16" x14ac:dyDescent="0.3">
      <c r="A1166" s="19" t="str">
        <f t="shared" si="37"/>
        <v/>
      </c>
      <c r="E1166" s="31"/>
      <c r="K1166" s="21" t="str">
        <f>IF(J1166&lt;&gt;"",VLOOKUP(J1166,HeadCount!A:I,2,0),"")</f>
        <v/>
      </c>
      <c r="L1166" s="21" t="str">
        <f>IF(J1166&lt;&gt;"",VLOOKUP(J1166,HeadCount!A:I,5,0),"")</f>
        <v/>
      </c>
      <c r="P1166" s="19" t="str">
        <f t="shared" si="38"/>
        <v/>
      </c>
    </row>
    <row r="1167" spans="1:16" x14ac:dyDescent="0.3">
      <c r="A1167" s="19" t="str">
        <f t="shared" si="37"/>
        <v/>
      </c>
      <c r="K1167" s="21" t="str">
        <f>IF(J1167&lt;&gt;"",VLOOKUP(J1167,HeadCount!A:I,2,0),"")</f>
        <v/>
      </c>
      <c r="L1167" s="21" t="str">
        <f>IF(J1167&lt;&gt;"",VLOOKUP(J1167,HeadCount!A:I,5,0),"")</f>
        <v/>
      </c>
      <c r="P1167" s="19" t="str">
        <f t="shared" si="38"/>
        <v/>
      </c>
    </row>
    <row r="1168" spans="1:16" x14ac:dyDescent="0.3">
      <c r="A1168" s="19" t="str">
        <f t="shared" si="37"/>
        <v/>
      </c>
      <c r="J1168" s="34"/>
      <c r="K1168" s="21" t="str">
        <f>IF(J1168&lt;&gt;"",VLOOKUP(J1168,HeadCount!A:I,2,0),"")</f>
        <v/>
      </c>
      <c r="L1168" s="21" t="str">
        <f>IF(J1168&lt;&gt;"",VLOOKUP(J1168,HeadCount!A:I,5,0),"")</f>
        <v/>
      </c>
      <c r="P1168" s="19" t="str">
        <f t="shared" si="38"/>
        <v/>
      </c>
    </row>
    <row r="1169" spans="1:16" x14ac:dyDescent="0.3">
      <c r="A1169" s="19" t="str">
        <f t="shared" si="37"/>
        <v/>
      </c>
      <c r="K1169" s="21" t="str">
        <f>IF(J1169&lt;&gt;"",VLOOKUP(J1169,HeadCount!A:I,2,0),"")</f>
        <v/>
      </c>
      <c r="L1169" s="21" t="str">
        <f>IF(J1169&lt;&gt;"",VLOOKUP(J1169,HeadCount!A:I,5,0),"")</f>
        <v/>
      </c>
      <c r="P1169" s="19" t="str">
        <f t="shared" si="38"/>
        <v/>
      </c>
    </row>
    <row r="1170" spans="1:16" x14ac:dyDescent="0.3">
      <c r="A1170" s="19" t="str">
        <f t="shared" si="37"/>
        <v/>
      </c>
      <c r="K1170" s="21" t="str">
        <f>IF(J1170&lt;&gt;"",VLOOKUP(J1170,HeadCount!A:I,2,0),"")</f>
        <v/>
      </c>
      <c r="L1170" s="21" t="str">
        <f>IF(J1170&lt;&gt;"",VLOOKUP(J1170,HeadCount!A:I,5,0),"")</f>
        <v/>
      </c>
      <c r="P1170" s="19" t="str">
        <f t="shared" si="38"/>
        <v/>
      </c>
    </row>
    <row r="1171" spans="1:16" x14ac:dyDescent="0.3">
      <c r="A1171" s="19" t="str">
        <f t="shared" si="37"/>
        <v/>
      </c>
      <c r="K1171" s="21" t="str">
        <f>IF(J1171&lt;&gt;"",VLOOKUP(J1171,HeadCount!A:I,2,0),"")</f>
        <v/>
      </c>
      <c r="L1171" s="21" t="str">
        <f>IF(J1171&lt;&gt;"",VLOOKUP(J1171,HeadCount!A:I,5,0),"")</f>
        <v/>
      </c>
      <c r="P1171" s="19" t="str">
        <f t="shared" si="38"/>
        <v/>
      </c>
    </row>
    <row r="1172" spans="1:16" x14ac:dyDescent="0.3">
      <c r="A1172" s="19" t="str">
        <f t="shared" si="37"/>
        <v/>
      </c>
      <c r="K1172" s="21" t="str">
        <f>IF(J1172&lt;&gt;"",VLOOKUP(J1172,HeadCount!A:I,2,0),"")</f>
        <v/>
      </c>
      <c r="L1172" s="21" t="str">
        <f>IF(J1172&lt;&gt;"",VLOOKUP(J1172,HeadCount!A:I,5,0),"")</f>
        <v/>
      </c>
      <c r="P1172" s="19" t="str">
        <f t="shared" si="38"/>
        <v/>
      </c>
    </row>
    <row r="1173" spans="1:16" x14ac:dyDescent="0.3">
      <c r="A1173" s="19" t="str">
        <f t="shared" si="37"/>
        <v/>
      </c>
      <c r="K1173" s="21" t="str">
        <f>IF(J1173&lt;&gt;"",VLOOKUP(J1173,HeadCount!A:I,2,0),"")</f>
        <v/>
      </c>
      <c r="L1173" s="21" t="str">
        <f>IF(J1173&lt;&gt;"",VLOOKUP(J1173,HeadCount!A:I,5,0),"")</f>
        <v/>
      </c>
      <c r="P1173" s="19" t="str">
        <f t="shared" si="38"/>
        <v/>
      </c>
    </row>
    <row r="1174" spans="1:16" x14ac:dyDescent="0.3">
      <c r="A1174" s="19" t="str">
        <f t="shared" si="37"/>
        <v/>
      </c>
      <c r="K1174" s="21" t="str">
        <f>IF(J1174&lt;&gt;"",VLOOKUP(J1174,HeadCount!A:I,2,0),"")</f>
        <v/>
      </c>
      <c r="L1174" s="21" t="str">
        <f>IF(J1174&lt;&gt;"",VLOOKUP(J1174,HeadCount!A:I,5,0),"")</f>
        <v/>
      </c>
      <c r="P1174" s="19" t="str">
        <f t="shared" si="38"/>
        <v/>
      </c>
    </row>
    <row r="1175" spans="1:16" x14ac:dyDescent="0.3">
      <c r="A1175" s="19" t="str">
        <f t="shared" si="37"/>
        <v/>
      </c>
      <c r="K1175" s="21" t="str">
        <f>IF(J1175&lt;&gt;"",VLOOKUP(J1175,HeadCount!A:I,2,0),"")</f>
        <v/>
      </c>
      <c r="L1175" s="21" t="str">
        <f>IF(J1175&lt;&gt;"",VLOOKUP(J1175,HeadCount!A:I,5,0),"")</f>
        <v/>
      </c>
      <c r="P1175" s="19" t="str">
        <f t="shared" si="38"/>
        <v/>
      </c>
    </row>
    <row r="1176" spans="1:16" x14ac:dyDescent="0.3">
      <c r="A1176" s="19" t="str">
        <f t="shared" si="37"/>
        <v/>
      </c>
      <c r="K1176" s="21" t="str">
        <f>IF(J1176&lt;&gt;"",VLOOKUP(J1176,HeadCount!A:I,2,0),"")</f>
        <v/>
      </c>
      <c r="L1176" s="21" t="str">
        <f>IF(J1176&lt;&gt;"",VLOOKUP(J1176,HeadCount!A:I,5,0),"")</f>
        <v/>
      </c>
      <c r="P1176" s="19" t="str">
        <f t="shared" si="38"/>
        <v/>
      </c>
    </row>
    <row r="1177" spans="1:16" x14ac:dyDescent="0.3">
      <c r="A1177" s="19" t="str">
        <f t="shared" si="37"/>
        <v/>
      </c>
      <c r="E1177" s="31"/>
      <c r="K1177" s="21" t="str">
        <f>IF(J1177&lt;&gt;"",VLOOKUP(J1177,HeadCount!A:I,2,0),"")</f>
        <v/>
      </c>
      <c r="L1177" s="21" t="str">
        <f>IF(J1177&lt;&gt;"",VLOOKUP(J1177,HeadCount!A:I,5,0),"")</f>
        <v/>
      </c>
      <c r="P1177" s="19" t="str">
        <f t="shared" si="38"/>
        <v/>
      </c>
    </row>
    <row r="1178" spans="1:16" x14ac:dyDescent="0.3">
      <c r="A1178" s="19" t="str">
        <f t="shared" si="37"/>
        <v/>
      </c>
      <c r="K1178" s="21" t="str">
        <f>IF(J1178&lt;&gt;"",VLOOKUP(J1178,HeadCount!A:I,2,0),"")</f>
        <v/>
      </c>
      <c r="L1178" s="21" t="str">
        <f>IF(J1178&lt;&gt;"",VLOOKUP(J1178,HeadCount!A:I,5,0),"")</f>
        <v/>
      </c>
      <c r="P1178" s="19" t="str">
        <f t="shared" si="38"/>
        <v/>
      </c>
    </row>
    <row r="1179" spans="1:16" x14ac:dyDescent="0.3">
      <c r="A1179" s="19" t="str">
        <f t="shared" si="37"/>
        <v/>
      </c>
      <c r="K1179" s="21" t="str">
        <f>IF(J1179&lt;&gt;"",VLOOKUP(J1179,HeadCount!A:I,2,0),"")</f>
        <v/>
      </c>
      <c r="L1179" s="21" t="str">
        <f>IF(J1179&lt;&gt;"",VLOOKUP(J1179,HeadCount!A:I,5,0),"")</f>
        <v/>
      </c>
      <c r="P1179" s="19" t="str">
        <f t="shared" si="38"/>
        <v/>
      </c>
    </row>
    <row r="1180" spans="1:16" x14ac:dyDescent="0.3">
      <c r="A1180" s="19" t="str">
        <f t="shared" si="37"/>
        <v/>
      </c>
      <c r="E1180" s="38"/>
      <c r="K1180" s="21" t="str">
        <f>IF(J1180&lt;&gt;"",VLOOKUP(J1180,HeadCount!A:I,2,0),"")</f>
        <v/>
      </c>
      <c r="L1180" s="21" t="str">
        <f>IF(J1180&lt;&gt;"",VLOOKUP(J1180,HeadCount!A:I,5,0),"")</f>
        <v/>
      </c>
      <c r="P1180" s="19" t="str">
        <f t="shared" si="38"/>
        <v/>
      </c>
    </row>
    <row r="1181" spans="1:16" x14ac:dyDescent="0.3">
      <c r="A1181" s="19" t="str">
        <f t="shared" si="37"/>
        <v/>
      </c>
      <c r="K1181" s="21" t="str">
        <f>IF(J1181&lt;&gt;"",VLOOKUP(J1181,HeadCount!A:I,2,0),"")</f>
        <v/>
      </c>
      <c r="L1181" s="21" t="str">
        <f>IF(J1181&lt;&gt;"",VLOOKUP(J1181,HeadCount!A:I,5,0),"")</f>
        <v/>
      </c>
      <c r="P1181" s="19" t="str">
        <f t="shared" si="38"/>
        <v/>
      </c>
    </row>
    <row r="1182" spans="1:16" x14ac:dyDescent="0.3">
      <c r="A1182" s="19" t="str">
        <f t="shared" si="37"/>
        <v/>
      </c>
      <c r="K1182" s="21" t="str">
        <f>IF(J1182&lt;&gt;"",VLOOKUP(J1182,HeadCount!A:I,2,0),"")</f>
        <v/>
      </c>
      <c r="L1182" s="21" t="str">
        <f>IF(J1182&lt;&gt;"",VLOOKUP(J1182,HeadCount!A:I,5,0),"")</f>
        <v/>
      </c>
      <c r="P1182" s="19" t="str">
        <f t="shared" si="38"/>
        <v/>
      </c>
    </row>
    <row r="1183" spans="1:16" x14ac:dyDescent="0.3">
      <c r="A1183" s="19" t="str">
        <f t="shared" si="37"/>
        <v/>
      </c>
      <c r="K1183" s="21" t="str">
        <f>IF(J1183&lt;&gt;"",VLOOKUP(J1183,HeadCount!A:I,2,0),"")</f>
        <v/>
      </c>
      <c r="L1183" s="21" t="str">
        <f>IF(J1183&lt;&gt;"",VLOOKUP(J1183,HeadCount!A:I,5,0),"")</f>
        <v/>
      </c>
      <c r="P1183" s="19" t="str">
        <f t="shared" si="38"/>
        <v/>
      </c>
    </row>
    <row r="1184" spans="1:16" x14ac:dyDescent="0.3">
      <c r="A1184" s="19" t="str">
        <f t="shared" si="37"/>
        <v/>
      </c>
      <c r="J1184" s="34"/>
      <c r="K1184" s="21" t="str">
        <f>IF(J1184&lt;&gt;"",VLOOKUP(J1184,HeadCount!A:I,2,0),"")</f>
        <v/>
      </c>
      <c r="L1184" s="21" t="str">
        <f>IF(J1184&lt;&gt;"",VLOOKUP(J1184,HeadCount!A:I,5,0),"")</f>
        <v/>
      </c>
      <c r="P1184" s="19" t="str">
        <f t="shared" si="38"/>
        <v/>
      </c>
    </row>
    <row r="1185" spans="1:16" x14ac:dyDescent="0.3">
      <c r="A1185" s="19" t="str">
        <f t="shared" si="37"/>
        <v/>
      </c>
      <c r="K1185" s="21" t="str">
        <f>IF(J1185&lt;&gt;"",VLOOKUP(J1185,HeadCount!A:I,2,0),"")</f>
        <v/>
      </c>
      <c r="L1185" s="21" t="str">
        <f>IF(J1185&lt;&gt;"",VLOOKUP(J1185,HeadCount!A:I,5,0),"")</f>
        <v/>
      </c>
      <c r="P1185" s="19" t="str">
        <f t="shared" si="38"/>
        <v/>
      </c>
    </row>
    <row r="1186" spans="1:16" x14ac:dyDescent="0.3">
      <c r="A1186" s="19" t="str">
        <f t="shared" si="37"/>
        <v/>
      </c>
      <c r="K1186" s="21" t="str">
        <f>IF(J1186&lt;&gt;"",VLOOKUP(J1186,HeadCount!A:I,2,0),"")</f>
        <v/>
      </c>
      <c r="L1186" s="21" t="str">
        <f>IF(J1186&lt;&gt;"",VLOOKUP(J1186,HeadCount!A:I,5,0),"")</f>
        <v/>
      </c>
      <c r="P1186" s="19" t="str">
        <f t="shared" si="38"/>
        <v/>
      </c>
    </row>
    <row r="1187" spans="1:16" x14ac:dyDescent="0.3">
      <c r="A1187" s="19" t="str">
        <f t="shared" si="37"/>
        <v/>
      </c>
      <c r="K1187" s="21" t="str">
        <f>IF(J1187&lt;&gt;"",VLOOKUP(J1187,HeadCount!A:I,2,0),"")</f>
        <v/>
      </c>
      <c r="L1187" s="21" t="str">
        <f>IF(J1187&lt;&gt;"",VLOOKUP(J1187,HeadCount!A:I,5,0),"")</f>
        <v/>
      </c>
      <c r="P1187" s="19" t="str">
        <f t="shared" si="38"/>
        <v/>
      </c>
    </row>
    <row r="1188" spans="1:16" x14ac:dyDescent="0.3">
      <c r="A1188" s="19" t="str">
        <f t="shared" si="37"/>
        <v/>
      </c>
      <c r="K1188" s="21" t="str">
        <f>IF(J1188&lt;&gt;"",VLOOKUP(J1188,HeadCount!A:I,2,0),"")</f>
        <v/>
      </c>
      <c r="L1188" s="21" t="str">
        <f>IF(J1188&lt;&gt;"",VLOOKUP(J1188,HeadCount!A:I,5,0),"")</f>
        <v/>
      </c>
      <c r="P1188" s="19" t="str">
        <f t="shared" si="38"/>
        <v/>
      </c>
    </row>
    <row r="1189" spans="1:16" x14ac:dyDescent="0.3">
      <c r="A1189" s="19" t="str">
        <f t="shared" si="37"/>
        <v/>
      </c>
      <c r="K1189" s="21" t="str">
        <f>IF(J1189&lt;&gt;"",VLOOKUP(J1189,HeadCount!A:I,2,0),"")</f>
        <v/>
      </c>
      <c r="L1189" s="21" t="str">
        <f>IF(J1189&lt;&gt;"",VLOOKUP(J1189,HeadCount!A:I,5,0),"")</f>
        <v/>
      </c>
      <c r="P1189" s="19" t="str">
        <f t="shared" si="38"/>
        <v/>
      </c>
    </row>
    <row r="1190" spans="1:16" x14ac:dyDescent="0.3">
      <c r="A1190" s="19" t="str">
        <f t="shared" si="37"/>
        <v/>
      </c>
      <c r="K1190" s="21" t="str">
        <f>IF(J1190&lt;&gt;"",VLOOKUP(J1190,HeadCount!A:I,2,0),"")</f>
        <v/>
      </c>
      <c r="L1190" s="21" t="str">
        <f>IF(J1190&lt;&gt;"",VLOOKUP(J1190,HeadCount!A:I,5,0),"")</f>
        <v/>
      </c>
      <c r="P1190" s="19" t="str">
        <f t="shared" si="38"/>
        <v/>
      </c>
    </row>
    <row r="1191" spans="1:16" x14ac:dyDescent="0.3">
      <c r="A1191" s="19" t="str">
        <f t="shared" si="37"/>
        <v/>
      </c>
      <c r="K1191" s="21" t="str">
        <f>IF(J1191&lt;&gt;"",VLOOKUP(J1191,HeadCount!A:I,2,0),"")</f>
        <v/>
      </c>
      <c r="L1191" s="21" t="str">
        <f>IF(J1191&lt;&gt;"",VLOOKUP(J1191,HeadCount!A:I,5,0),"")</f>
        <v/>
      </c>
      <c r="P1191" s="19" t="str">
        <f t="shared" si="38"/>
        <v/>
      </c>
    </row>
    <row r="1192" spans="1:16" x14ac:dyDescent="0.3">
      <c r="A1192" s="19" t="str">
        <f t="shared" si="37"/>
        <v/>
      </c>
      <c r="K1192" s="21" t="str">
        <f>IF(J1192&lt;&gt;"",VLOOKUP(J1192,HeadCount!A:I,2,0),"")</f>
        <v/>
      </c>
      <c r="L1192" s="21" t="str">
        <f>IF(J1192&lt;&gt;"",VLOOKUP(J1192,HeadCount!A:I,5,0),"")</f>
        <v/>
      </c>
      <c r="P1192" s="19" t="str">
        <f t="shared" si="38"/>
        <v/>
      </c>
    </row>
    <row r="1193" spans="1:16" x14ac:dyDescent="0.3">
      <c r="A1193" s="19" t="str">
        <f t="shared" si="37"/>
        <v/>
      </c>
      <c r="K1193" s="21" t="str">
        <f>IF(J1193&lt;&gt;"",VLOOKUP(J1193,HeadCount!A:I,2,0),"")</f>
        <v/>
      </c>
      <c r="L1193" s="21" t="str">
        <f>IF(J1193&lt;&gt;"",VLOOKUP(J1193,HeadCount!A:I,5,0),"")</f>
        <v/>
      </c>
      <c r="P1193" s="19" t="str">
        <f t="shared" si="38"/>
        <v/>
      </c>
    </row>
    <row r="1194" spans="1:16" x14ac:dyDescent="0.3">
      <c r="A1194" s="19" t="str">
        <f t="shared" si="37"/>
        <v/>
      </c>
      <c r="K1194" s="21" t="str">
        <f>IF(J1194&lt;&gt;"",VLOOKUP(J1194,HeadCount!A:I,2,0),"")</f>
        <v/>
      </c>
      <c r="L1194" s="21" t="str">
        <f>IF(J1194&lt;&gt;"",VLOOKUP(J1194,HeadCount!A:I,5,0),"")</f>
        <v/>
      </c>
      <c r="P1194" s="19" t="str">
        <f t="shared" si="38"/>
        <v/>
      </c>
    </row>
    <row r="1195" spans="1:16" x14ac:dyDescent="0.3">
      <c r="A1195" s="19" t="str">
        <f t="shared" si="37"/>
        <v/>
      </c>
      <c r="K1195" s="21" t="str">
        <f>IF(J1195&lt;&gt;"",VLOOKUP(J1195,HeadCount!A:I,2,0),"")</f>
        <v/>
      </c>
      <c r="L1195" s="21" t="str">
        <f>IF(J1195&lt;&gt;"",VLOOKUP(J1195,HeadCount!A:I,5,0),"")</f>
        <v/>
      </c>
      <c r="P1195" s="19" t="str">
        <f t="shared" si="38"/>
        <v/>
      </c>
    </row>
    <row r="1196" spans="1:16" x14ac:dyDescent="0.3">
      <c r="A1196" s="19" t="str">
        <f t="shared" si="37"/>
        <v/>
      </c>
      <c r="E1196" s="37"/>
      <c r="K1196" s="21" t="str">
        <f>IF(J1196&lt;&gt;"",VLOOKUP(J1196,HeadCount!A:I,2,0),"")</f>
        <v/>
      </c>
      <c r="L1196" s="21" t="str">
        <f>IF(J1196&lt;&gt;"",VLOOKUP(J1196,HeadCount!A:I,5,0),"")</f>
        <v/>
      </c>
      <c r="P1196" s="19" t="str">
        <f t="shared" si="38"/>
        <v/>
      </c>
    </row>
    <row r="1197" spans="1:16" x14ac:dyDescent="0.3">
      <c r="A1197" s="19" t="str">
        <f t="shared" si="37"/>
        <v/>
      </c>
      <c r="K1197" s="21" t="str">
        <f>IF(J1197&lt;&gt;"",VLOOKUP(J1197,HeadCount!A:I,2,0),"")</f>
        <v/>
      </c>
      <c r="L1197" s="21" t="str">
        <f>IF(J1197&lt;&gt;"",VLOOKUP(J1197,HeadCount!A:I,5,0),"")</f>
        <v/>
      </c>
      <c r="P1197" s="19" t="str">
        <f t="shared" si="38"/>
        <v/>
      </c>
    </row>
    <row r="1198" spans="1:16" x14ac:dyDescent="0.3">
      <c r="A1198" s="19" t="str">
        <f t="shared" si="37"/>
        <v/>
      </c>
      <c r="K1198" s="21" t="str">
        <f>IF(J1198&lt;&gt;"",VLOOKUP(J1198,HeadCount!A:I,2,0),"")</f>
        <v/>
      </c>
      <c r="L1198" s="21" t="str">
        <f>IF(J1198&lt;&gt;"",VLOOKUP(J1198,HeadCount!A:I,5,0),"")</f>
        <v/>
      </c>
      <c r="P1198" s="19" t="str">
        <f t="shared" si="38"/>
        <v/>
      </c>
    </row>
    <row r="1199" spans="1:16" x14ac:dyDescent="0.3">
      <c r="A1199" s="19" t="str">
        <f t="shared" si="37"/>
        <v/>
      </c>
      <c r="K1199" s="21" t="str">
        <f>IF(J1199&lt;&gt;"",VLOOKUP(J1199,HeadCount!A:I,2,0),"")</f>
        <v/>
      </c>
      <c r="L1199" s="21" t="str">
        <f>IF(J1199&lt;&gt;"",VLOOKUP(J1199,HeadCount!A:I,5,0),"")</f>
        <v/>
      </c>
      <c r="P1199" s="19" t="str">
        <f t="shared" si="38"/>
        <v/>
      </c>
    </row>
    <row r="1200" spans="1:16" x14ac:dyDescent="0.3">
      <c r="A1200" s="19" t="str">
        <f t="shared" si="37"/>
        <v/>
      </c>
      <c r="K1200" s="21" t="str">
        <f>IF(J1200&lt;&gt;"",VLOOKUP(J1200,HeadCount!A:I,2,0),"")</f>
        <v/>
      </c>
      <c r="L1200" s="21" t="str">
        <f>IF(J1200&lt;&gt;"",VLOOKUP(J1200,HeadCount!A:I,5,0),"")</f>
        <v/>
      </c>
      <c r="P1200" s="19" t="str">
        <f t="shared" si="38"/>
        <v/>
      </c>
    </row>
    <row r="1201" spans="1:16" x14ac:dyDescent="0.3">
      <c r="A1201" s="19" t="str">
        <f t="shared" si="37"/>
        <v/>
      </c>
      <c r="K1201" s="21" t="str">
        <f>IF(J1201&lt;&gt;"",VLOOKUP(J1201,HeadCount!A:I,2,0),"")</f>
        <v/>
      </c>
      <c r="L1201" s="21" t="str">
        <f>IF(J1201&lt;&gt;"",VLOOKUP(J1201,HeadCount!A:I,5,0),"")</f>
        <v/>
      </c>
      <c r="P1201" s="19" t="str">
        <f t="shared" si="38"/>
        <v/>
      </c>
    </row>
    <row r="1202" spans="1:16" x14ac:dyDescent="0.3">
      <c r="A1202" s="19" t="str">
        <f t="shared" si="37"/>
        <v/>
      </c>
      <c r="K1202" s="21" t="str">
        <f>IF(J1202&lt;&gt;"",VLOOKUP(J1202,HeadCount!A:I,2,0),"")</f>
        <v/>
      </c>
      <c r="L1202" s="21" t="str">
        <f>IF(J1202&lt;&gt;"",VLOOKUP(J1202,HeadCount!A:I,5,0),"")</f>
        <v/>
      </c>
      <c r="P1202" s="19" t="str">
        <f t="shared" si="38"/>
        <v/>
      </c>
    </row>
    <row r="1203" spans="1:16" x14ac:dyDescent="0.3">
      <c r="A1203" s="19" t="str">
        <f t="shared" si="37"/>
        <v/>
      </c>
      <c r="K1203" s="21" t="str">
        <f>IF(J1203&lt;&gt;"",VLOOKUP(J1203,HeadCount!A:I,2,0),"")</f>
        <v/>
      </c>
      <c r="L1203" s="21" t="str">
        <f>IF(J1203&lt;&gt;"",VLOOKUP(J1203,HeadCount!A:I,5,0),"")</f>
        <v/>
      </c>
      <c r="P1203" s="19" t="str">
        <f t="shared" si="38"/>
        <v/>
      </c>
    </row>
    <row r="1204" spans="1:16" x14ac:dyDescent="0.3">
      <c r="A1204" s="19" t="str">
        <f t="shared" si="37"/>
        <v/>
      </c>
      <c r="K1204" s="21" t="str">
        <f>IF(J1204&lt;&gt;"",VLOOKUP(J1204,HeadCount!A:I,2,0),"")</f>
        <v/>
      </c>
      <c r="L1204" s="21" t="str">
        <f>IF(J1204&lt;&gt;"",VLOOKUP(J1204,HeadCount!A:I,5,0),"")</f>
        <v/>
      </c>
      <c r="P1204" s="19" t="str">
        <f t="shared" si="38"/>
        <v/>
      </c>
    </row>
    <row r="1205" spans="1:16" x14ac:dyDescent="0.3">
      <c r="A1205" s="19" t="str">
        <f t="shared" si="37"/>
        <v/>
      </c>
      <c r="K1205" s="21" t="str">
        <f>IF(J1205&lt;&gt;"",VLOOKUP(J1205,HeadCount!A:I,2,0),"")</f>
        <v/>
      </c>
      <c r="L1205" s="21" t="str">
        <f>IF(J1205&lt;&gt;"",VLOOKUP(J1205,HeadCount!A:I,5,0),"")</f>
        <v/>
      </c>
      <c r="P1205" s="19" t="str">
        <f t="shared" si="38"/>
        <v/>
      </c>
    </row>
    <row r="1206" spans="1:16" x14ac:dyDescent="0.3">
      <c r="A1206" s="19" t="str">
        <f t="shared" si="37"/>
        <v/>
      </c>
      <c r="K1206" s="21" t="str">
        <f>IF(J1206&lt;&gt;"",VLOOKUP(J1206,HeadCount!A:I,2,0),"")</f>
        <v/>
      </c>
      <c r="L1206" s="21" t="str">
        <f>IF(J1206&lt;&gt;"",VLOOKUP(J1206,HeadCount!A:I,5,0),"")</f>
        <v/>
      </c>
      <c r="P1206" s="19" t="str">
        <f t="shared" si="38"/>
        <v/>
      </c>
    </row>
    <row r="1207" spans="1:16" x14ac:dyDescent="0.3">
      <c r="A1207" s="19" t="str">
        <f t="shared" si="37"/>
        <v/>
      </c>
      <c r="K1207" s="21" t="str">
        <f>IF(J1207&lt;&gt;"",VLOOKUP(J1207,HeadCount!A:I,2,0),"")</f>
        <v/>
      </c>
      <c r="L1207" s="21" t="str">
        <f>IF(J1207&lt;&gt;"",VLOOKUP(J1207,HeadCount!A:I,5,0),"")</f>
        <v/>
      </c>
      <c r="P1207" s="19" t="str">
        <f t="shared" si="38"/>
        <v/>
      </c>
    </row>
    <row r="1208" spans="1:16" x14ac:dyDescent="0.3">
      <c r="A1208" s="19" t="str">
        <f t="shared" si="37"/>
        <v/>
      </c>
      <c r="K1208" s="21" t="str">
        <f>IF(J1208&lt;&gt;"",VLOOKUP(J1208,HeadCount!A:I,2,0),"")</f>
        <v/>
      </c>
      <c r="L1208" s="21" t="str">
        <f>IF(J1208&lt;&gt;"",VLOOKUP(J1208,HeadCount!A:I,5,0),"")</f>
        <v/>
      </c>
      <c r="P1208" s="19" t="str">
        <f t="shared" si="38"/>
        <v/>
      </c>
    </row>
    <row r="1209" spans="1:16" x14ac:dyDescent="0.3">
      <c r="A1209" s="19" t="str">
        <f t="shared" si="37"/>
        <v/>
      </c>
      <c r="K1209" s="21" t="str">
        <f>IF(J1209&lt;&gt;"",VLOOKUP(J1209,HeadCount!A:I,2,0),"")</f>
        <v/>
      </c>
      <c r="L1209" s="21" t="str">
        <f>IF(J1209&lt;&gt;"",VLOOKUP(J1209,HeadCount!A:I,5,0),"")</f>
        <v/>
      </c>
      <c r="P1209" s="19" t="str">
        <f t="shared" si="38"/>
        <v/>
      </c>
    </row>
    <row r="1210" spans="1:16" x14ac:dyDescent="0.3">
      <c r="A1210" s="19" t="str">
        <f t="shared" si="37"/>
        <v/>
      </c>
      <c r="K1210" s="21" t="str">
        <f>IF(J1210&lt;&gt;"",VLOOKUP(J1210,HeadCount!A:I,2,0),"")</f>
        <v/>
      </c>
      <c r="L1210" s="21" t="str">
        <f>IF(J1210&lt;&gt;"",VLOOKUP(J1210,HeadCount!A:I,5,0),"")</f>
        <v/>
      </c>
      <c r="P1210" s="19" t="str">
        <f t="shared" si="38"/>
        <v/>
      </c>
    </row>
    <row r="1211" spans="1:16" x14ac:dyDescent="0.3">
      <c r="A1211" s="19" t="str">
        <f t="shared" si="37"/>
        <v/>
      </c>
      <c r="K1211" s="21" t="str">
        <f>IF(J1211&lt;&gt;"",VLOOKUP(J1211,HeadCount!A:I,2,0),"")</f>
        <v/>
      </c>
      <c r="L1211" s="21" t="str">
        <f>IF(J1211&lt;&gt;"",VLOOKUP(J1211,HeadCount!A:I,5,0),"")</f>
        <v/>
      </c>
      <c r="P1211" s="19" t="str">
        <f t="shared" si="38"/>
        <v/>
      </c>
    </row>
    <row r="1212" spans="1:16" x14ac:dyDescent="0.3">
      <c r="A1212" s="19" t="str">
        <f t="shared" si="37"/>
        <v/>
      </c>
      <c r="K1212" s="21" t="str">
        <f>IF(J1212&lt;&gt;"",VLOOKUP(J1212,HeadCount!A:I,2,0),"")</f>
        <v/>
      </c>
      <c r="L1212" s="21" t="str">
        <f>IF(J1212&lt;&gt;"",VLOOKUP(J1212,HeadCount!A:I,5,0),"")</f>
        <v/>
      </c>
      <c r="P1212" s="19" t="str">
        <f t="shared" si="38"/>
        <v/>
      </c>
    </row>
    <row r="1213" spans="1:16" x14ac:dyDescent="0.3">
      <c r="A1213" s="19" t="str">
        <f t="shared" si="37"/>
        <v/>
      </c>
      <c r="K1213" s="21" t="str">
        <f>IF(J1213&lt;&gt;"",VLOOKUP(J1213,HeadCount!A:I,2,0),"")</f>
        <v/>
      </c>
      <c r="L1213" s="21" t="str">
        <f>IF(J1213&lt;&gt;"",VLOOKUP(J1213,HeadCount!A:I,5,0),"")</f>
        <v/>
      </c>
      <c r="P1213" s="19" t="str">
        <f t="shared" si="38"/>
        <v/>
      </c>
    </row>
    <row r="1214" spans="1:16" x14ac:dyDescent="0.3">
      <c r="A1214" s="19" t="str">
        <f t="shared" si="37"/>
        <v/>
      </c>
      <c r="K1214" s="21" t="str">
        <f>IF(J1214&lt;&gt;"",VLOOKUP(J1214,HeadCount!A:I,2,0),"")</f>
        <v/>
      </c>
      <c r="L1214" s="21" t="str">
        <f>IF(J1214&lt;&gt;"",VLOOKUP(J1214,HeadCount!A:I,5,0),"")</f>
        <v/>
      </c>
      <c r="P1214" s="19" t="str">
        <f t="shared" si="38"/>
        <v/>
      </c>
    </row>
    <row r="1215" spans="1:16" x14ac:dyDescent="0.3">
      <c r="A1215" s="19" t="str">
        <f t="shared" si="37"/>
        <v/>
      </c>
      <c r="K1215" s="21" t="str">
        <f>IF(J1215&lt;&gt;"",VLOOKUP(J1215,HeadCount!A:I,2,0),"")</f>
        <v/>
      </c>
      <c r="L1215" s="21" t="str">
        <f>IF(J1215&lt;&gt;"",VLOOKUP(J1215,HeadCount!A:I,5,0),"")</f>
        <v/>
      </c>
      <c r="P1215" s="19" t="str">
        <f t="shared" si="38"/>
        <v/>
      </c>
    </row>
    <row r="1216" spans="1:16" x14ac:dyDescent="0.3">
      <c r="A1216" s="19" t="str">
        <f t="shared" si="37"/>
        <v/>
      </c>
      <c r="J1216" s="34"/>
      <c r="K1216" s="21" t="str">
        <f>IF(J1216&lt;&gt;"",VLOOKUP(J1216,HeadCount!A:I,2,0),"")</f>
        <v/>
      </c>
      <c r="L1216" s="21" t="str">
        <f>IF(J1216&lt;&gt;"",VLOOKUP(J1216,HeadCount!A:I,5,0),"")</f>
        <v/>
      </c>
      <c r="P1216" s="19" t="str">
        <f t="shared" si="38"/>
        <v/>
      </c>
    </row>
    <row r="1217" spans="1:16" x14ac:dyDescent="0.3">
      <c r="A1217" s="19" t="str">
        <f t="shared" si="37"/>
        <v/>
      </c>
      <c r="J1217" s="34"/>
      <c r="K1217" s="21" t="str">
        <f>IF(J1217&lt;&gt;"",VLOOKUP(J1217,HeadCount!A:I,2,0),"")</f>
        <v/>
      </c>
      <c r="L1217" s="21" t="str">
        <f>IF(J1217&lt;&gt;"",VLOOKUP(J1217,HeadCount!A:I,5,0),"")</f>
        <v/>
      </c>
      <c r="P1217" s="19" t="str">
        <f t="shared" si="38"/>
        <v/>
      </c>
    </row>
    <row r="1218" spans="1:16" x14ac:dyDescent="0.3">
      <c r="A1218" s="19" t="str">
        <f t="shared" ref="A1218:A1281" si="39">IF(C1218&lt;&gt;"",ROW(A1217),"")</f>
        <v/>
      </c>
      <c r="J1218" s="34"/>
      <c r="K1218" s="21" t="str">
        <f>IF(J1218&lt;&gt;"",VLOOKUP(J1218,HeadCount!A:I,2,0),"")</f>
        <v/>
      </c>
      <c r="L1218" s="21" t="str">
        <f>IF(J1218&lt;&gt;"",VLOOKUP(J1218,HeadCount!A:I,5,0),"")</f>
        <v/>
      </c>
      <c r="P1218" s="19" t="str">
        <f t="shared" si="38"/>
        <v/>
      </c>
    </row>
    <row r="1219" spans="1:16" x14ac:dyDescent="0.3">
      <c r="A1219" s="19" t="str">
        <f t="shared" si="39"/>
        <v/>
      </c>
      <c r="K1219" s="21" t="str">
        <f>IF(J1219&lt;&gt;"",VLOOKUP(J1219,HeadCount!A:I,2,0),"")</f>
        <v/>
      </c>
      <c r="L1219" s="21" t="str">
        <f>IF(J1219&lt;&gt;"",VLOOKUP(J1219,HeadCount!A:I,5,0),"")</f>
        <v/>
      </c>
      <c r="P1219" s="19" t="str">
        <f t="shared" ref="P1219:P1282" si="40">IF(N1219="","",(O1219-N1219)+1)</f>
        <v/>
      </c>
    </row>
    <row r="1220" spans="1:16" x14ac:dyDescent="0.3">
      <c r="A1220" s="19" t="str">
        <f t="shared" si="39"/>
        <v/>
      </c>
      <c r="K1220" s="21" t="str">
        <f>IF(J1220&lt;&gt;"",VLOOKUP(J1220,HeadCount!A:I,2,0),"")</f>
        <v/>
      </c>
      <c r="L1220" s="21" t="str">
        <f>IF(J1220&lt;&gt;"",VLOOKUP(J1220,HeadCount!A:I,5,0),"")</f>
        <v/>
      </c>
      <c r="P1220" s="19" t="str">
        <f t="shared" si="40"/>
        <v/>
      </c>
    </row>
    <row r="1221" spans="1:16" x14ac:dyDescent="0.3">
      <c r="A1221" s="19" t="str">
        <f t="shared" si="39"/>
        <v/>
      </c>
      <c r="K1221" s="21" t="str">
        <f>IF(J1221&lt;&gt;"",VLOOKUP(J1221,HeadCount!A:I,2,0),"")</f>
        <v/>
      </c>
      <c r="L1221" s="21" t="str">
        <f>IF(J1221&lt;&gt;"",VLOOKUP(J1221,HeadCount!A:I,5,0),"")</f>
        <v/>
      </c>
      <c r="P1221" s="19" t="str">
        <f t="shared" si="40"/>
        <v/>
      </c>
    </row>
    <row r="1222" spans="1:16" x14ac:dyDescent="0.3">
      <c r="A1222" s="19" t="str">
        <f t="shared" si="39"/>
        <v/>
      </c>
      <c r="K1222" s="21" t="str">
        <f>IF(J1222&lt;&gt;"",VLOOKUP(J1222,HeadCount!A:I,2,0),"")</f>
        <v/>
      </c>
      <c r="L1222" s="21" t="str">
        <f>IF(J1222&lt;&gt;"",VLOOKUP(J1222,HeadCount!A:I,5,0),"")</f>
        <v/>
      </c>
      <c r="P1222" s="19" t="str">
        <f t="shared" si="40"/>
        <v/>
      </c>
    </row>
    <row r="1223" spans="1:16" x14ac:dyDescent="0.3">
      <c r="A1223" s="19" t="str">
        <f t="shared" si="39"/>
        <v/>
      </c>
      <c r="K1223" s="21" t="str">
        <f>IF(J1223&lt;&gt;"",VLOOKUP(J1223,HeadCount!A:I,2,0),"")</f>
        <v/>
      </c>
      <c r="L1223" s="21" t="str">
        <f>IF(J1223&lt;&gt;"",VLOOKUP(J1223,HeadCount!A:I,5,0),"")</f>
        <v/>
      </c>
      <c r="P1223" s="19" t="str">
        <f t="shared" si="40"/>
        <v/>
      </c>
    </row>
    <row r="1224" spans="1:16" x14ac:dyDescent="0.3">
      <c r="A1224" s="19" t="str">
        <f t="shared" si="39"/>
        <v/>
      </c>
      <c r="K1224" s="21" t="str">
        <f>IF(J1224&lt;&gt;"",VLOOKUP(J1224,HeadCount!A:I,2,0),"")</f>
        <v/>
      </c>
      <c r="L1224" s="21" t="str">
        <f>IF(J1224&lt;&gt;"",VLOOKUP(J1224,HeadCount!A:I,5,0),"")</f>
        <v/>
      </c>
      <c r="P1224" s="19" t="str">
        <f t="shared" si="40"/>
        <v/>
      </c>
    </row>
    <row r="1225" spans="1:16" x14ac:dyDescent="0.3">
      <c r="A1225" s="19" t="str">
        <f t="shared" si="39"/>
        <v/>
      </c>
      <c r="K1225" s="21" t="str">
        <f>IF(J1225&lt;&gt;"",VLOOKUP(J1225,HeadCount!A:I,2,0),"")</f>
        <v/>
      </c>
      <c r="L1225" s="21" t="str">
        <f>IF(J1225&lt;&gt;"",VLOOKUP(J1225,HeadCount!A:I,5,0),"")</f>
        <v/>
      </c>
      <c r="P1225" s="19" t="str">
        <f t="shared" si="40"/>
        <v/>
      </c>
    </row>
    <row r="1226" spans="1:16" x14ac:dyDescent="0.3">
      <c r="A1226" s="19" t="str">
        <f t="shared" si="39"/>
        <v/>
      </c>
      <c r="K1226" s="21" t="str">
        <f>IF(J1226&lt;&gt;"",VLOOKUP(J1226,HeadCount!A:I,2,0),"")</f>
        <v/>
      </c>
      <c r="L1226" s="21" t="str">
        <f>IF(J1226&lt;&gt;"",VLOOKUP(J1226,HeadCount!A:I,5,0),"")</f>
        <v/>
      </c>
      <c r="P1226" s="19" t="str">
        <f t="shared" si="40"/>
        <v/>
      </c>
    </row>
    <row r="1227" spans="1:16" x14ac:dyDescent="0.3">
      <c r="A1227" s="19" t="str">
        <f t="shared" si="39"/>
        <v/>
      </c>
      <c r="K1227" s="21" t="str">
        <f>IF(J1227&lt;&gt;"",VLOOKUP(J1227,HeadCount!A:I,2,0),"")</f>
        <v/>
      </c>
      <c r="L1227" s="21" t="str">
        <f>IF(J1227&lt;&gt;"",VLOOKUP(J1227,HeadCount!A:I,5,0),"")</f>
        <v/>
      </c>
      <c r="P1227" s="19" t="str">
        <f t="shared" si="40"/>
        <v/>
      </c>
    </row>
    <row r="1228" spans="1:16" x14ac:dyDescent="0.3">
      <c r="A1228" s="19" t="str">
        <f t="shared" si="39"/>
        <v/>
      </c>
      <c r="K1228" s="21" t="str">
        <f>IF(J1228&lt;&gt;"",VLOOKUP(J1228,HeadCount!A:I,2,0),"")</f>
        <v/>
      </c>
      <c r="L1228" s="21" t="str">
        <f>IF(J1228&lt;&gt;"",VLOOKUP(J1228,HeadCount!A:I,5,0),"")</f>
        <v/>
      </c>
      <c r="P1228" s="19" t="str">
        <f t="shared" si="40"/>
        <v/>
      </c>
    </row>
    <row r="1229" spans="1:16" x14ac:dyDescent="0.3">
      <c r="A1229" s="19" t="str">
        <f t="shared" si="39"/>
        <v/>
      </c>
      <c r="K1229" s="21" t="str">
        <f>IF(J1229&lt;&gt;"",VLOOKUP(J1229,HeadCount!A:I,2,0),"")</f>
        <v/>
      </c>
      <c r="L1229" s="21" t="str">
        <f>IF(J1229&lt;&gt;"",VLOOKUP(J1229,HeadCount!A:I,5,0),"")</f>
        <v/>
      </c>
      <c r="P1229" s="19" t="str">
        <f t="shared" si="40"/>
        <v/>
      </c>
    </row>
    <row r="1230" spans="1:16" x14ac:dyDescent="0.3">
      <c r="A1230" s="19" t="str">
        <f t="shared" si="39"/>
        <v/>
      </c>
      <c r="K1230" s="21" t="str">
        <f>IF(J1230&lt;&gt;"",VLOOKUP(J1230,HeadCount!A:I,2,0),"")</f>
        <v/>
      </c>
      <c r="L1230" s="21" t="str">
        <f>IF(J1230&lt;&gt;"",VLOOKUP(J1230,HeadCount!A:I,5,0),"")</f>
        <v/>
      </c>
      <c r="P1230" s="19" t="str">
        <f t="shared" si="40"/>
        <v/>
      </c>
    </row>
    <row r="1231" spans="1:16" x14ac:dyDescent="0.3">
      <c r="A1231" s="19" t="str">
        <f t="shared" si="39"/>
        <v/>
      </c>
      <c r="K1231" s="21" t="str">
        <f>IF(J1231&lt;&gt;"",VLOOKUP(J1231,HeadCount!A:I,2,0),"")</f>
        <v/>
      </c>
      <c r="L1231" s="21" t="str">
        <f>IF(J1231&lt;&gt;"",VLOOKUP(J1231,HeadCount!A:I,5,0),"")</f>
        <v/>
      </c>
      <c r="P1231" s="19" t="str">
        <f t="shared" si="40"/>
        <v/>
      </c>
    </row>
    <row r="1232" spans="1:16" x14ac:dyDescent="0.3">
      <c r="A1232" s="19" t="str">
        <f t="shared" si="39"/>
        <v/>
      </c>
      <c r="E1232" s="37"/>
      <c r="K1232" s="21" t="str">
        <f>IF(J1232&lt;&gt;"",VLOOKUP(J1232,HeadCount!A:I,2,0),"")</f>
        <v/>
      </c>
      <c r="L1232" s="21" t="str">
        <f>IF(J1232&lt;&gt;"",VLOOKUP(J1232,HeadCount!A:I,5,0),"")</f>
        <v/>
      </c>
      <c r="P1232" s="19" t="str">
        <f t="shared" si="40"/>
        <v/>
      </c>
    </row>
    <row r="1233" spans="1:16" x14ac:dyDescent="0.3">
      <c r="A1233" s="19" t="str">
        <f t="shared" si="39"/>
        <v/>
      </c>
      <c r="K1233" s="21" t="str">
        <f>IF(J1233&lt;&gt;"",VLOOKUP(J1233,HeadCount!A:I,2,0),"")</f>
        <v/>
      </c>
      <c r="L1233" s="21" t="str">
        <f>IF(J1233&lt;&gt;"",VLOOKUP(J1233,HeadCount!A:I,5,0),"")</f>
        <v/>
      </c>
      <c r="P1233" s="19" t="str">
        <f t="shared" si="40"/>
        <v/>
      </c>
    </row>
    <row r="1234" spans="1:16" x14ac:dyDescent="0.3">
      <c r="A1234" s="19" t="str">
        <f t="shared" si="39"/>
        <v/>
      </c>
      <c r="K1234" s="21" t="str">
        <f>IF(J1234&lt;&gt;"",VLOOKUP(J1234,HeadCount!A:I,2,0),"")</f>
        <v/>
      </c>
      <c r="L1234" s="21" t="str">
        <f>IF(J1234&lt;&gt;"",VLOOKUP(J1234,HeadCount!A:I,5,0),"")</f>
        <v/>
      </c>
      <c r="P1234" s="19" t="str">
        <f t="shared" si="40"/>
        <v/>
      </c>
    </row>
    <row r="1235" spans="1:16" x14ac:dyDescent="0.3">
      <c r="A1235" s="19" t="str">
        <f t="shared" si="39"/>
        <v/>
      </c>
      <c r="K1235" s="21" t="str">
        <f>IF(J1235&lt;&gt;"",VLOOKUP(J1235,HeadCount!A:I,2,0),"")</f>
        <v/>
      </c>
      <c r="L1235" s="21" t="str">
        <f>IF(J1235&lt;&gt;"",VLOOKUP(J1235,HeadCount!A:I,5,0),"")</f>
        <v/>
      </c>
      <c r="P1235" s="19" t="str">
        <f t="shared" si="40"/>
        <v/>
      </c>
    </row>
    <row r="1236" spans="1:16" x14ac:dyDescent="0.3">
      <c r="A1236" s="19" t="str">
        <f t="shared" si="39"/>
        <v/>
      </c>
      <c r="K1236" s="21" t="str">
        <f>IF(J1236&lt;&gt;"",VLOOKUP(J1236,HeadCount!A:I,2,0),"")</f>
        <v/>
      </c>
      <c r="L1236" s="21" t="str">
        <f>IF(J1236&lt;&gt;"",VLOOKUP(J1236,HeadCount!A:I,5,0),"")</f>
        <v/>
      </c>
      <c r="P1236" s="19" t="str">
        <f t="shared" si="40"/>
        <v/>
      </c>
    </row>
    <row r="1237" spans="1:16" x14ac:dyDescent="0.3">
      <c r="A1237" s="19" t="str">
        <f t="shared" si="39"/>
        <v/>
      </c>
      <c r="K1237" s="21" t="str">
        <f>IF(J1237&lt;&gt;"",VLOOKUP(J1237,HeadCount!A:I,2,0),"")</f>
        <v/>
      </c>
      <c r="L1237" s="21" t="str">
        <f>IF(J1237&lt;&gt;"",VLOOKUP(J1237,HeadCount!A:I,5,0),"")</f>
        <v/>
      </c>
      <c r="P1237" s="19" t="str">
        <f t="shared" si="40"/>
        <v/>
      </c>
    </row>
    <row r="1238" spans="1:16" x14ac:dyDescent="0.3">
      <c r="A1238" s="19" t="str">
        <f t="shared" si="39"/>
        <v/>
      </c>
      <c r="K1238" s="21" t="str">
        <f>IF(J1238&lt;&gt;"",VLOOKUP(J1238,HeadCount!A:I,2,0),"")</f>
        <v/>
      </c>
      <c r="L1238" s="21" t="str">
        <f>IF(J1238&lt;&gt;"",VLOOKUP(J1238,HeadCount!A:I,5,0),"")</f>
        <v/>
      </c>
      <c r="P1238" s="19" t="str">
        <f t="shared" si="40"/>
        <v/>
      </c>
    </row>
    <row r="1239" spans="1:16" x14ac:dyDescent="0.3">
      <c r="A1239" s="19" t="str">
        <f t="shared" si="39"/>
        <v/>
      </c>
      <c r="K1239" s="21" t="str">
        <f>IF(J1239&lt;&gt;"",VLOOKUP(J1239,HeadCount!A:I,2,0),"")</f>
        <v/>
      </c>
      <c r="L1239" s="21" t="str">
        <f>IF(J1239&lt;&gt;"",VLOOKUP(J1239,HeadCount!A:I,5,0),"")</f>
        <v/>
      </c>
      <c r="P1239" s="19" t="str">
        <f t="shared" si="40"/>
        <v/>
      </c>
    </row>
    <row r="1240" spans="1:16" x14ac:dyDescent="0.3">
      <c r="A1240" s="19" t="str">
        <f t="shared" si="39"/>
        <v/>
      </c>
      <c r="K1240" s="21" t="str">
        <f>IF(J1240&lt;&gt;"",VLOOKUP(J1240,HeadCount!A:I,2,0),"")</f>
        <v/>
      </c>
      <c r="L1240" s="21" t="str">
        <f>IF(J1240&lt;&gt;"",VLOOKUP(J1240,HeadCount!A:I,5,0),"")</f>
        <v/>
      </c>
      <c r="P1240" s="19" t="str">
        <f t="shared" si="40"/>
        <v/>
      </c>
    </row>
    <row r="1241" spans="1:16" x14ac:dyDescent="0.3">
      <c r="A1241" s="19" t="str">
        <f t="shared" si="39"/>
        <v/>
      </c>
      <c r="K1241" s="21" t="str">
        <f>IF(J1241&lt;&gt;"",VLOOKUP(J1241,HeadCount!A:I,2,0),"")</f>
        <v/>
      </c>
      <c r="L1241" s="21" t="str">
        <f>IF(J1241&lt;&gt;"",VLOOKUP(J1241,HeadCount!A:I,5,0),"")</f>
        <v/>
      </c>
      <c r="P1241" s="19" t="str">
        <f t="shared" si="40"/>
        <v/>
      </c>
    </row>
    <row r="1242" spans="1:16" x14ac:dyDescent="0.3">
      <c r="A1242" s="19" t="str">
        <f t="shared" si="39"/>
        <v/>
      </c>
      <c r="K1242" s="21" t="str">
        <f>IF(J1242&lt;&gt;"",VLOOKUP(J1242,HeadCount!A:I,2,0),"")</f>
        <v/>
      </c>
      <c r="L1242" s="21" t="str">
        <f>IF(J1242&lt;&gt;"",VLOOKUP(J1242,HeadCount!A:I,5,0),"")</f>
        <v/>
      </c>
      <c r="P1242" s="19" t="str">
        <f t="shared" si="40"/>
        <v/>
      </c>
    </row>
    <row r="1243" spans="1:16" x14ac:dyDescent="0.3">
      <c r="A1243" s="19" t="str">
        <f t="shared" si="39"/>
        <v/>
      </c>
      <c r="K1243" s="21" t="str">
        <f>IF(J1243&lt;&gt;"",VLOOKUP(J1243,HeadCount!A:I,2,0),"")</f>
        <v/>
      </c>
      <c r="L1243" s="21" t="str">
        <f>IF(J1243&lt;&gt;"",VLOOKUP(J1243,HeadCount!A:I,5,0),"")</f>
        <v/>
      </c>
      <c r="P1243" s="19" t="str">
        <f t="shared" si="40"/>
        <v/>
      </c>
    </row>
    <row r="1244" spans="1:16" x14ac:dyDescent="0.3">
      <c r="A1244" s="19" t="str">
        <f t="shared" si="39"/>
        <v/>
      </c>
      <c r="K1244" s="21" t="str">
        <f>IF(J1244&lt;&gt;"",VLOOKUP(J1244,HeadCount!A:I,2,0),"")</f>
        <v/>
      </c>
      <c r="L1244" s="21" t="str">
        <f>IF(J1244&lt;&gt;"",VLOOKUP(J1244,HeadCount!A:I,5,0),"")</f>
        <v/>
      </c>
      <c r="P1244" s="19" t="str">
        <f t="shared" si="40"/>
        <v/>
      </c>
    </row>
    <row r="1245" spans="1:16" x14ac:dyDescent="0.3">
      <c r="A1245" s="19" t="str">
        <f t="shared" si="39"/>
        <v/>
      </c>
      <c r="K1245" s="21" t="str">
        <f>IF(J1245&lt;&gt;"",VLOOKUP(J1245,HeadCount!A:I,2,0),"")</f>
        <v/>
      </c>
      <c r="L1245" s="21" t="str">
        <f>IF(J1245&lt;&gt;"",VLOOKUP(J1245,HeadCount!A:I,5,0),"")</f>
        <v/>
      </c>
      <c r="P1245" s="19" t="str">
        <f t="shared" si="40"/>
        <v/>
      </c>
    </row>
    <row r="1246" spans="1:16" x14ac:dyDescent="0.3">
      <c r="A1246" s="19" t="str">
        <f t="shared" si="39"/>
        <v/>
      </c>
      <c r="K1246" s="21" t="str">
        <f>IF(J1246&lt;&gt;"",VLOOKUP(J1246,HeadCount!A:I,2,0),"")</f>
        <v/>
      </c>
      <c r="L1246" s="21" t="str">
        <f>IF(J1246&lt;&gt;"",VLOOKUP(J1246,HeadCount!A:I,5,0),"")</f>
        <v/>
      </c>
      <c r="P1246" s="19" t="str">
        <f t="shared" si="40"/>
        <v/>
      </c>
    </row>
    <row r="1247" spans="1:16" x14ac:dyDescent="0.3">
      <c r="A1247" s="19" t="str">
        <f t="shared" si="39"/>
        <v/>
      </c>
      <c r="K1247" s="21" t="str">
        <f>IF(J1247&lt;&gt;"",VLOOKUP(J1247,HeadCount!A:I,2,0),"")</f>
        <v/>
      </c>
      <c r="L1247" s="21" t="str">
        <f>IF(J1247&lt;&gt;"",VLOOKUP(J1247,HeadCount!A:I,5,0),"")</f>
        <v/>
      </c>
      <c r="P1247" s="19" t="str">
        <f t="shared" si="40"/>
        <v/>
      </c>
    </row>
    <row r="1248" spans="1:16" x14ac:dyDescent="0.3">
      <c r="A1248" s="19" t="str">
        <f t="shared" si="39"/>
        <v/>
      </c>
      <c r="K1248" s="21" t="str">
        <f>IF(J1248&lt;&gt;"",VLOOKUP(J1248,HeadCount!A:I,2,0),"")</f>
        <v/>
      </c>
      <c r="L1248" s="21" t="str">
        <f>IF(J1248&lt;&gt;"",VLOOKUP(J1248,HeadCount!A:I,5,0),"")</f>
        <v/>
      </c>
      <c r="P1248" s="19" t="str">
        <f t="shared" si="40"/>
        <v/>
      </c>
    </row>
    <row r="1249" spans="1:16" x14ac:dyDescent="0.3">
      <c r="A1249" s="19" t="str">
        <f t="shared" si="39"/>
        <v/>
      </c>
      <c r="K1249" s="21" t="str">
        <f>IF(J1249&lt;&gt;"",VLOOKUP(J1249,HeadCount!A:I,2,0),"")</f>
        <v/>
      </c>
      <c r="L1249" s="21" t="str">
        <f>IF(J1249&lt;&gt;"",VLOOKUP(J1249,HeadCount!A:I,5,0),"")</f>
        <v/>
      </c>
      <c r="P1249" s="19" t="str">
        <f t="shared" si="40"/>
        <v/>
      </c>
    </row>
    <row r="1250" spans="1:16" x14ac:dyDescent="0.3">
      <c r="A1250" s="19" t="str">
        <f t="shared" si="39"/>
        <v/>
      </c>
      <c r="K1250" s="21" t="str">
        <f>IF(J1250&lt;&gt;"",VLOOKUP(J1250,HeadCount!A:I,2,0),"")</f>
        <v/>
      </c>
      <c r="L1250" s="21" t="str">
        <f>IF(J1250&lt;&gt;"",VLOOKUP(J1250,HeadCount!A:I,5,0),"")</f>
        <v/>
      </c>
      <c r="P1250" s="19" t="str">
        <f t="shared" si="40"/>
        <v/>
      </c>
    </row>
    <row r="1251" spans="1:16" x14ac:dyDescent="0.3">
      <c r="A1251" s="19" t="str">
        <f t="shared" si="39"/>
        <v/>
      </c>
      <c r="K1251" s="21" t="str">
        <f>IF(J1251&lt;&gt;"",VLOOKUP(J1251,HeadCount!A:I,2,0),"")</f>
        <v/>
      </c>
      <c r="L1251" s="21" t="str">
        <f>IF(J1251&lt;&gt;"",VLOOKUP(J1251,HeadCount!A:I,5,0),"")</f>
        <v/>
      </c>
      <c r="P1251" s="19" t="str">
        <f t="shared" si="40"/>
        <v/>
      </c>
    </row>
    <row r="1252" spans="1:16" x14ac:dyDescent="0.3">
      <c r="A1252" s="19" t="str">
        <f t="shared" si="39"/>
        <v/>
      </c>
      <c r="K1252" s="21" t="str">
        <f>IF(J1252&lt;&gt;"",VLOOKUP(J1252,HeadCount!A:I,2,0),"")</f>
        <v/>
      </c>
      <c r="L1252" s="21" t="str">
        <f>IF(J1252&lt;&gt;"",VLOOKUP(J1252,HeadCount!A:I,5,0),"")</f>
        <v/>
      </c>
      <c r="P1252" s="19" t="str">
        <f t="shared" si="40"/>
        <v/>
      </c>
    </row>
    <row r="1253" spans="1:16" x14ac:dyDescent="0.3">
      <c r="A1253" s="19" t="str">
        <f t="shared" si="39"/>
        <v/>
      </c>
      <c r="K1253" s="21" t="str">
        <f>IF(J1253&lt;&gt;"",VLOOKUP(J1253,HeadCount!A:I,2,0),"")</f>
        <v/>
      </c>
      <c r="L1253" s="21" t="str">
        <f>IF(J1253&lt;&gt;"",VLOOKUP(J1253,HeadCount!A:I,5,0),"")</f>
        <v/>
      </c>
      <c r="P1253" s="19" t="str">
        <f t="shared" si="40"/>
        <v/>
      </c>
    </row>
    <row r="1254" spans="1:16" x14ac:dyDescent="0.3">
      <c r="A1254" s="19" t="str">
        <f t="shared" si="39"/>
        <v/>
      </c>
      <c r="K1254" s="21" t="str">
        <f>IF(J1254&lt;&gt;"",VLOOKUP(J1254,HeadCount!A:I,2,0),"")</f>
        <v/>
      </c>
      <c r="L1254" s="21" t="str">
        <f>IF(J1254&lt;&gt;"",VLOOKUP(J1254,HeadCount!A:I,5,0),"")</f>
        <v/>
      </c>
      <c r="P1254" s="19" t="str">
        <f t="shared" si="40"/>
        <v/>
      </c>
    </row>
    <row r="1255" spans="1:16" x14ac:dyDescent="0.3">
      <c r="A1255" s="19" t="str">
        <f t="shared" si="39"/>
        <v/>
      </c>
      <c r="K1255" s="21" t="str">
        <f>IF(J1255&lt;&gt;"",VLOOKUP(J1255,HeadCount!A:I,2,0),"")</f>
        <v/>
      </c>
      <c r="L1255" s="21" t="str">
        <f>IF(J1255&lt;&gt;"",VLOOKUP(J1255,HeadCount!A:I,5,0),"")</f>
        <v/>
      </c>
      <c r="P1255" s="19" t="str">
        <f t="shared" si="40"/>
        <v/>
      </c>
    </row>
    <row r="1256" spans="1:16" x14ac:dyDescent="0.3">
      <c r="A1256" s="19" t="str">
        <f t="shared" si="39"/>
        <v/>
      </c>
      <c r="J1256" s="34"/>
      <c r="K1256" s="21" t="str">
        <f>IF(J1256&lt;&gt;"",VLOOKUP(J1256,HeadCount!A:I,2,0),"")</f>
        <v/>
      </c>
      <c r="L1256" s="21" t="str">
        <f>IF(J1256&lt;&gt;"",VLOOKUP(J1256,HeadCount!A:I,5,0),"")</f>
        <v/>
      </c>
      <c r="P1256" s="19" t="str">
        <f t="shared" si="40"/>
        <v/>
      </c>
    </row>
    <row r="1257" spans="1:16" x14ac:dyDescent="0.3">
      <c r="A1257" s="19" t="str">
        <f t="shared" si="39"/>
        <v/>
      </c>
      <c r="J1257" s="34"/>
      <c r="K1257" s="21" t="str">
        <f>IF(J1257&lt;&gt;"",VLOOKUP(J1257,HeadCount!A:I,2,0),"")</f>
        <v/>
      </c>
      <c r="L1257" s="21" t="str">
        <f>IF(J1257&lt;&gt;"",VLOOKUP(J1257,HeadCount!A:I,5,0),"")</f>
        <v/>
      </c>
      <c r="P1257" s="19" t="str">
        <f t="shared" si="40"/>
        <v/>
      </c>
    </row>
    <row r="1258" spans="1:16" x14ac:dyDescent="0.3">
      <c r="A1258" s="19" t="str">
        <f t="shared" si="39"/>
        <v/>
      </c>
      <c r="K1258" s="21" t="str">
        <f>IF(J1258&lt;&gt;"",VLOOKUP(J1258,HeadCount!A:I,2,0),"")</f>
        <v/>
      </c>
      <c r="L1258" s="21" t="str">
        <f>IF(J1258&lt;&gt;"",VLOOKUP(J1258,HeadCount!A:I,5,0),"")</f>
        <v/>
      </c>
      <c r="P1258" s="19" t="str">
        <f t="shared" si="40"/>
        <v/>
      </c>
    </row>
    <row r="1259" spans="1:16" x14ac:dyDescent="0.3">
      <c r="A1259" s="19" t="str">
        <f t="shared" si="39"/>
        <v/>
      </c>
      <c r="K1259" s="21" t="str">
        <f>IF(J1259&lt;&gt;"",VLOOKUP(J1259,HeadCount!A:I,2,0),"")</f>
        <v/>
      </c>
      <c r="L1259" s="21" t="str">
        <f>IF(J1259&lt;&gt;"",VLOOKUP(J1259,HeadCount!A:I,5,0),"")</f>
        <v/>
      </c>
      <c r="P1259" s="19" t="str">
        <f t="shared" si="40"/>
        <v/>
      </c>
    </row>
    <row r="1260" spans="1:16" x14ac:dyDescent="0.3">
      <c r="A1260" s="19" t="str">
        <f t="shared" si="39"/>
        <v/>
      </c>
      <c r="K1260" s="21" t="str">
        <f>IF(J1260&lt;&gt;"",VLOOKUP(J1260,HeadCount!A:I,2,0),"")</f>
        <v/>
      </c>
      <c r="L1260" s="21" t="str">
        <f>IF(J1260&lt;&gt;"",VLOOKUP(J1260,HeadCount!A:I,5,0),"")</f>
        <v/>
      </c>
      <c r="P1260" s="19" t="str">
        <f t="shared" si="40"/>
        <v/>
      </c>
    </row>
    <row r="1261" spans="1:16" x14ac:dyDescent="0.3">
      <c r="A1261" s="19" t="str">
        <f t="shared" si="39"/>
        <v/>
      </c>
      <c r="E1261" s="31"/>
      <c r="K1261" s="21" t="str">
        <f>IF(J1261&lt;&gt;"",VLOOKUP(J1261,HeadCount!A:I,2,0),"")</f>
        <v/>
      </c>
      <c r="L1261" s="21" t="str">
        <f>IF(J1261&lt;&gt;"",VLOOKUP(J1261,HeadCount!A:I,5,0),"")</f>
        <v/>
      </c>
      <c r="P1261" s="19" t="str">
        <f t="shared" si="40"/>
        <v/>
      </c>
    </row>
    <row r="1262" spans="1:16" x14ac:dyDescent="0.3">
      <c r="A1262" s="19" t="str">
        <f t="shared" si="39"/>
        <v/>
      </c>
      <c r="K1262" s="21" t="str">
        <f>IF(J1262&lt;&gt;"",VLOOKUP(J1262,HeadCount!A:I,2,0),"")</f>
        <v/>
      </c>
      <c r="L1262" s="21" t="str">
        <f>IF(J1262&lt;&gt;"",VLOOKUP(J1262,HeadCount!A:I,5,0),"")</f>
        <v/>
      </c>
      <c r="P1262" s="19" t="str">
        <f t="shared" si="40"/>
        <v/>
      </c>
    </row>
    <row r="1263" spans="1:16" x14ac:dyDescent="0.3">
      <c r="A1263" s="19" t="str">
        <f t="shared" si="39"/>
        <v/>
      </c>
      <c r="K1263" s="21" t="str">
        <f>IF(J1263&lt;&gt;"",VLOOKUP(J1263,HeadCount!A:I,2,0),"")</f>
        <v/>
      </c>
      <c r="L1263" s="21" t="str">
        <f>IF(J1263&lt;&gt;"",VLOOKUP(J1263,HeadCount!A:I,5,0),"")</f>
        <v/>
      </c>
      <c r="P1263" s="19" t="str">
        <f t="shared" si="40"/>
        <v/>
      </c>
    </row>
    <row r="1264" spans="1:16" x14ac:dyDescent="0.3">
      <c r="A1264" s="19" t="str">
        <f t="shared" si="39"/>
        <v/>
      </c>
      <c r="K1264" s="21" t="str">
        <f>IF(J1264&lt;&gt;"",VLOOKUP(J1264,HeadCount!A:I,2,0),"")</f>
        <v/>
      </c>
      <c r="L1264" s="21" t="str">
        <f>IF(J1264&lt;&gt;"",VLOOKUP(J1264,HeadCount!A:I,5,0),"")</f>
        <v/>
      </c>
      <c r="P1264" s="19" t="str">
        <f t="shared" si="40"/>
        <v/>
      </c>
    </row>
    <row r="1265" spans="1:16" x14ac:dyDescent="0.3">
      <c r="A1265" s="19" t="str">
        <f t="shared" si="39"/>
        <v/>
      </c>
      <c r="K1265" s="21" t="str">
        <f>IF(J1265&lt;&gt;"",VLOOKUP(J1265,HeadCount!A:I,2,0),"")</f>
        <v/>
      </c>
      <c r="L1265" s="21" t="str">
        <f>IF(J1265&lt;&gt;"",VLOOKUP(J1265,HeadCount!A:I,5,0),"")</f>
        <v/>
      </c>
      <c r="P1265" s="19" t="str">
        <f t="shared" si="40"/>
        <v/>
      </c>
    </row>
    <row r="1266" spans="1:16" x14ac:dyDescent="0.3">
      <c r="A1266" s="19" t="str">
        <f t="shared" si="39"/>
        <v/>
      </c>
      <c r="K1266" s="21" t="str">
        <f>IF(J1266&lt;&gt;"",VLOOKUP(J1266,HeadCount!A:I,2,0),"")</f>
        <v/>
      </c>
      <c r="L1266" s="21" t="str">
        <f>IF(J1266&lt;&gt;"",VLOOKUP(J1266,HeadCount!A:I,5,0),"")</f>
        <v/>
      </c>
      <c r="P1266" s="19" t="str">
        <f t="shared" si="40"/>
        <v/>
      </c>
    </row>
    <row r="1267" spans="1:16" x14ac:dyDescent="0.3">
      <c r="A1267" s="19" t="str">
        <f t="shared" si="39"/>
        <v/>
      </c>
      <c r="K1267" s="21" t="str">
        <f>IF(J1267&lt;&gt;"",VLOOKUP(J1267,HeadCount!A:I,2,0),"")</f>
        <v/>
      </c>
      <c r="L1267" s="21" t="str">
        <f>IF(J1267&lt;&gt;"",VLOOKUP(J1267,HeadCount!A:I,5,0),"")</f>
        <v/>
      </c>
      <c r="P1267" s="19" t="str">
        <f t="shared" si="40"/>
        <v/>
      </c>
    </row>
    <row r="1268" spans="1:16" x14ac:dyDescent="0.3">
      <c r="A1268" s="19" t="str">
        <f t="shared" si="39"/>
        <v/>
      </c>
      <c r="K1268" s="21" t="str">
        <f>IF(J1268&lt;&gt;"",VLOOKUP(J1268,HeadCount!A:I,2,0),"")</f>
        <v/>
      </c>
      <c r="L1268" s="21" t="str">
        <f>IF(J1268&lt;&gt;"",VLOOKUP(J1268,HeadCount!A:I,5,0),"")</f>
        <v/>
      </c>
      <c r="P1268" s="19" t="str">
        <f t="shared" si="40"/>
        <v/>
      </c>
    </row>
    <row r="1269" spans="1:16" x14ac:dyDescent="0.3">
      <c r="A1269" s="19" t="str">
        <f t="shared" si="39"/>
        <v/>
      </c>
      <c r="K1269" s="21" t="str">
        <f>IF(J1269&lt;&gt;"",VLOOKUP(J1269,HeadCount!A:I,2,0),"")</f>
        <v/>
      </c>
      <c r="L1269" s="21" t="str">
        <f>IF(J1269&lt;&gt;"",VLOOKUP(J1269,HeadCount!A:I,5,0),"")</f>
        <v/>
      </c>
      <c r="P1269" s="19" t="str">
        <f t="shared" si="40"/>
        <v/>
      </c>
    </row>
    <row r="1270" spans="1:16" x14ac:dyDescent="0.3">
      <c r="A1270" s="19" t="str">
        <f t="shared" si="39"/>
        <v/>
      </c>
      <c r="K1270" s="21" t="str">
        <f>IF(J1270&lt;&gt;"",VLOOKUP(J1270,HeadCount!A:I,2,0),"")</f>
        <v/>
      </c>
      <c r="L1270" s="21" t="str">
        <f>IF(J1270&lt;&gt;"",VLOOKUP(J1270,HeadCount!A:I,5,0),"")</f>
        <v/>
      </c>
      <c r="P1270" s="19" t="str">
        <f t="shared" si="40"/>
        <v/>
      </c>
    </row>
    <row r="1271" spans="1:16" x14ac:dyDescent="0.3">
      <c r="A1271" s="19" t="str">
        <f t="shared" si="39"/>
        <v/>
      </c>
      <c r="E1271" s="31"/>
      <c r="K1271" s="21" t="str">
        <f>IF(J1271&lt;&gt;"",VLOOKUP(J1271,HeadCount!A:I,2,0),"")</f>
        <v/>
      </c>
      <c r="L1271" s="21" t="str">
        <f>IF(J1271&lt;&gt;"",VLOOKUP(J1271,HeadCount!A:I,5,0),"")</f>
        <v/>
      </c>
      <c r="P1271" s="19" t="str">
        <f t="shared" si="40"/>
        <v/>
      </c>
    </row>
    <row r="1272" spans="1:16" x14ac:dyDescent="0.3">
      <c r="A1272" s="19" t="str">
        <f t="shared" si="39"/>
        <v/>
      </c>
      <c r="J1272" s="34"/>
      <c r="K1272" s="21" t="str">
        <f>IF(J1272&lt;&gt;"",VLOOKUP(J1272,HeadCount!A:I,2,0),"")</f>
        <v/>
      </c>
      <c r="L1272" s="21" t="str">
        <f>IF(J1272&lt;&gt;"",VLOOKUP(J1272,HeadCount!A:I,5,0),"")</f>
        <v/>
      </c>
      <c r="P1272" s="19" t="str">
        <f t="shared" si="40"/>
        <v/>
      </c>
    </row>
    <row r="1273" spans="1:16" x14ac:dyDescent="0.3">
      <c r="A1273" s="19" t="str">
        <f t="shared" si="39"/>
        <v/>
      </c>
      <c r="J1273" s="34"/>
      <c r="K1273" s="21" t="str">
        <f>IF(J1273&lt;&gt;"",VLOOKUP(J1273,HeadCount!A:I,2,0),"")</f>
        <v/>
      </c>
      <c r="L1273" s="21" t="str">
        <f>IF(J1273&lt;&gt;"",VLOOKUP(J1273,HeadCount!A:I,5,0),"")</f>
        <v/>
      </c>
      <c r="P1273" s="19" t="str">
        <f t="shared" si="40"/>
        <v/>
      </c>
    </row>
    <row r="1274" spans="1:16" x14ac:dyDescent="0.3">
      <c r="A1274" s="19" t="str">
        <f t="shared" si="39"/>
        <v/>
      </c>
      <c r="K1274" s="21" t="str">
        <f>IF(J1274&lt;&gt;"",VLOOKUP(J1274,HeadCount!A:I,2,0),"")</f>
        <v/>
      </c>
      <c r="L1274" s="21" t="str">
        <f>IF(J1274&lt;&gt;"",VLOOKUP(J1274,HeadCount!A:I,5,0),"")</f>
        <v/>
      </c>
      <c r="P1274" s="19" t="str">
        <f t="shared" si="40"/>
        <v/>
      </c>
    </row>
    <row r="1275" spans="1:16" x14ac:dyDescent="0.3">
      <c r="A1275" s="19" t="str">
        <f t="shared" si="39"/>
        <v/>
      </c>
      <c r="K1275" s="21" t="str">
        <f>IF(J1275&lt;&gt;"",VLOOKUP(J1275,HeadCount!A:I,2,0),"")</f>
        <v/>
      </c>
      <c r="L1275" s="21" t="str">
        <f>IF(J1275&lt;&gt;"",VLOOKUP(J1275,HeadCount!A:I,5,0),"")</f>
        <v/>
      </c>
      <c r="P1275" s="19" t="str">
        <f t="shared" si="40"/>
        <v/>
      </c>
    </row>
    <row r="1276" spans="1:16" x14ac:dyDescent="0.3">
      <c r="A1276" s="19" t="str">
        <f t="shared" si="39"/>
        <v/>
      </c>
      <c r="K1276" s="21" t="str">
        <f>IF(J1276&lt;&gt;"",VLOOKUP(J1276,HeadCount!A:I,2,0),"")</f>
        <v/>
      </c>
      <c r="L1276" s="21" t="str">
        <f>IF(J1276&lt;&gt;"",VLOOKUP(J1276,HeadCount!A:I,5,0),"")</f>
        <v/>
      </c>
      <c r="P1276" s="19" t="str">
        <f t="shared" si="40"/>
        <v/>
      </c>
    </row>
    <row r="1277" spans="1:16" x14ac:dyDescent="0.3">
      <c r="A1277" s="19" t="str">
        <f t="shared" si="39"/>
        <v/>
      </c>
      <c r="K1277" s="21" t="str">
        <f>IF(J1277&lt;&gt;"",VLOOKUP(J1277,HeadCount!A:I,2,0),"")</f>
        <v/>
      </c>
      <c r="L1277" s="21" t="str">
        <f>IF(J1277&lt;&gt;"",VLOOKUP(J1277,HeadCount!A:I,5,0),"")</f>
        <v/>
      </c>
      <c r="P1277" s="19" t="str">
        <f t="shared" si="40"/>
        <v/>
      </c>
    </row>
    <row r="1278" spans="1:16" x14ac:dyDescent="0.3">
      <c r="A1278" s="19" t="str">
        <f t="shared" si="39"/>
        <v/>
      </c>
      <c r="K1278" s="21" t="str">
        <f>IF(J1278&lt;&gt;"",VLOOKUP(J1278,HeadCount!A:I,2,0),"")</f>
        <v/>
      </c>
      <c r="L1278" s="21" t="str">
        <f>IF(J1278&lt;&gt;"",VLOOKUP(J1278,HeadCount!A:I,5,0),"")</f>
        <v/>
      </c>
      <c r="P1278" s="19" t="str">
        <f t="shared" si="40"/>
        <v/>
      </c>
    </row>
    <row r="1279" spans="1:16" x14ac:dyDescent="0.3">
      <c r="A1279" s="19" t="str">
        <f t="shared" si="39"/>
        <v/>
      </c>
      <c r="E1279" s="37"/>
      <c r="K1279" s="21" t="str">
        <f>IF(J1279&lt;&gt;"",VLOOKUP(J1279,HeadCount!A:I,2,0),"")</f>
        <v/>
      </c>
      <c r="L1279" s="21" t="str">
        <f>IF(J1279&lt;&gt;"",VLOOKUP(J1279,HeadCount!A:I,5,0),"")</f>
        <v/>
      </c>
      <c r="P1279" s="19" t="str">
        <f t="shared" si="40"/>
        <v/>
      </c>
    </row>
    <row r="1280" spans="1:16" x14ac:dyDescent="0.3">
      <c r="A1280" s="19" t="str">
        <f t="shared" si="39"/>
        <v/>
      </c>
      <c r="K1280" s="21" t="str">
        <f>IF(J1280&lt;&gt;"",VLOOKUP(J1280,HeadCount!A:I,2,0),"")</f>
        <v/>
      </c>
      <c r="L1280" s="21" t="str">
        <f>IF(J1280&lt;&gt;"",VLOOKUP(J1280,HeadCount!A:I,5,0),"")</f>
        <v/>
      </c>
      <c r="P1280" s="19" t="str">
        <f t="shared" si="40"/>
        <v/>
      </c>
    </row>
    <row r="1281" spans="1:16" x14ac:dyDescent="0.3">
      <c r="A1281" s="19" t="str">
        <f t="shared" si="39"/>
        <v/>
      </c>
      <c r="K1281" s="21" t="str">
        <f>IF(J1281&lt;&gt;"",VLOOKUP(J1281,HeadCount!A:I,2,0),"")</f>
        <v/>
      </c>
      <c r="L1281" s="21" t="str">
        <f>IF(J1281&lt;&gt;"",VLOOKUP(J1281,HeadCount!A:I,5,0),"")</f>
        <v/>
      </c>
      <c r="P1281" s="19" t="str">
        <f t="shared" si="40"/>
        <v/>
      </c>
    </row>
    <row r="1282" spans="1:16" x14ac:dyDescent="0.3">
      <c r="A1282" s="19" t="str">
        <f t="shared" ref="A1282:A1345" si="41">IF(C1282&lt;&gt;"",ROW(A1281),"")</f>
        <v/>
      </c>
      <c r="K1282" s="21" t="str">
        <f>IF(J1282&lt;&gt;"",VLOOKUP(J1282,HeadCount!A:I,2,0),"")</f>
        <v/>
      </c>
      <c r="L1282" s="21" t="str">
        <f>IF(J1282&lt;&gt;"",VLOOKUP(J1282,HeadCount!A:I,5,0),"")</f>
        <v/>
      </c>
      <c r="P1282" s="19" t="str">
        <f t="shared" si="40"/>
        <v/>
      </c>
    </row>
    <row r="1283" spans="1:16" x14ac:dyDescent="0.3">
      <c r="A1283" s="19" t="str">
        <f t="shared" si="41"/>
        <v/>
      </c>
      <c r="J1283" s="34"/>
      <c r="K1283" s="21" t="str">
        <f>IF(J1283&lt;&gt;"",VLOOKUP(J1283,HeadCount!A:I,2,0),"")</f>
        <v/>
      </c>
      <c r="L1283" s="21" t="str">
        <f>IF(J1283&lt;&gt;"",VLOOKUP(J1283,HeadCount!A:I,5,0),"")</f>
        <v/>
      </c>
      <c r="P1283" s="19" t="str">
        <f t="shared" ref="P1283:P1346" si="42">IF(N1283="","",(O1283-N1283)+1)</f>
        <v/>
      </c>
    </row>
    <row r="1284" spans="1:16" x14ac:dyDescent="0.3">
      <c r="A1284" s="19" t="str">
        <f t="shared" si="41"/>
        <v/>
      </c>
      <c r="K1284" s="21" t="str">
        <f>IF(J1284&lt;&gt;"",VLOOKUP(J1284,HeadCount!A:I,2,0),"")</f>
        <v/>
      </c>
      <c r="L1284" s="21" t="str">
        <f>IF(J1284&lt;&gt;"",VLOOKUP(J1284,HeadCount!A:I,5,0),"")</f>
        <v/>
      </c>
      <c r="P1284" s="19" t="str">
        <f t="shared" si="42"/>
        <v/>
      </c>
    </row>
    <row r="1285" spans="1:16" x14ac:dyDescent="0.3">
      <c r="A1285" s="19" t="str">
        <f t="shared" si="41"/>
        <v/>
      </c>
      <c r="K1285" s="21" t="str">
        <f>IF(J1285&lt;&gt;"",VLOOKUP(J1285,HeadCount!A:I,2,0),"")</f>
        <v/>
      </c>
      <c r="L1285" s="21" t="str">
        <f>IF(J1285&lt;&gt;"",VLOOKUP(J1285,HeadCount!A:I,5,0),"")</f>
        <v/>
      </c>
      <c r="P1285" s="19" t="str">
        <f t="shared" si="42"/>
        <v/>
      </c>
    </row>
    <row r="1286" spans="1:16" x14ac:dyDescent="0.3">
      <c r="A1286" s="19" t="str">
        <f t="shared" si="41"/>
        <v/>
      </c>
      <c r="K1286" s="21" t="str">
        <f>IF(J1286&lt;&gt;"",VLOOKUP(J1286,HeadCount!A:I,2,0),"")</f>
        <v/>
      </c>
      <c r="L1286" s="21" t="str">
        <f>IF(J1286&lt;&gt;"",VLOOKUP(J1286,HeadCount!A:I,5,0),"")</f>
        <v/>
      </c>
      <c r="P1286" s="19" t="str">
        <f t="shared" si="42"/>
        <v/>
      </c>
    </row>
    <row r="1287" spans="1:16" x14ac:dyDescent="0.3">
      <c r="A1287" s="19" t="str">
        <f t="shared" si="41"/>
        <v/>
      </c>
      <c r="K1287" s="21" t="str">
        <f>IF(J1287&lt;&gt;"",VLOOKUP(J1287,HeadCount!A:I,2,0),"")</f>
        <v/>
      </c>
      <c r="L1287" s="21" t="str">
        <f>IF(J1287&lt;&gt;"",VLOOKUP(J1287,HeadCount!A:I,5,0),"")</f>
        <v/>
      </c>
      <c r="P1287" s="19" t="str">
        <f t="shared" si="42"/>
        <v/>
      </c>
    </row>
    <row r="1288" spans="1:16" x14ac:dyDescent="0.3">
      <c r="A1288" s="19" t="str">
        <f t="shared" si="41"/>
        <v/>
      </c>
      <c r="K1288" s="21" t="str">
        <f>IF(J1288&lt;&gt;"",VLOOKUP(J1288,HeadCount!A:I,2,0),"")</f>
        <v/>
      </c>
      <c r="L1288" s="21" t="str">
        <f>IF(J1288&lt;&gt;"",VLOOKUP(J1288,HeadCount!A:I,5,0),"")</f>
        <v/>
      </c>
      <c r="P1288" s="19" t="str">
        <f t="shared" si="42"/>
        <v/>
      </c>
    </row>
    <row r="1289" spans="1:16" x14ac:dyDescent="0.3">
      <c r="A1289" s="19" t="str">
        <f t="shared" si="41"/>
        <v/>
      </c>
      <c r="K1289" s="21" t="str">
        <f>IF(J1289&lt;&gt;"",VLOOKUP(J1289,HeadCount!A:I,2,0),"")</f>
        <v/>
      </c>
      <c r="L1289" s="21" t="str">
        <f>IF(J1289&lt;&gt;"",VLOOKUP(J1289,HeadCount!A:I,5,0),"")</f>
        <v/>
      </c>
      <c r="P1289" s="19" t="str">
        <f t="shared" si="42"/>
        <v/>
      </c>
    </row>
    <row r="1290" spans="1:16" x14ac:dyDescent="0.3">
      <c r="A1290" s="19" t="str">
        <f t="shared" si="41"/>
        <v/>
      </c>
      <c r="K1290" s="21" t="str">
        <f>IF(J1290&lt;&gt;"",VLOOKUP(J1290,HeadCount!A:I,2,0),"")</f>
        <v/>
      </c>
      <c r="L1290" s="21" t="str">
        <f>IF(J1290&lt;&gt;"",VLOOKUP(J1290,HeadCount!A:I,5,0),"")</f>
        <v/>
      </c>
      <c r="P1290" s="19" t="str">
        <f t="shared" si="42"/>
        <v/>
      </c>
    </row>
    <row r="1291" spans="1:16" x14ac:dyDescent="0.3">
      <c r="A1291" s="19" t="str">
        <f t="shared" si="41"/>
        <v/>
      </c>
      <c r="K1291" s="21" t="str">
        <f>IF(J1291&lt;&gt;"",VLOOKUP(J1291,HeadCount!A:I,2,0),"")</f>
        <v/>
      </c>
      <c r="L1291" s="21" t="str">
        <f>IF(J1291&lt;&gt;"",VLOOKUP(J1291,HeadCount!A:I,5,0),"")</f>
        <v/>
      </c>
      <c r="P1291" s="19" t="str">
        <f t="shared" si="42"/>
        <v/>
      </c>
    </row>
    <row r="1292" spans="1:16" x14ac:dyDescent="0.3">
      <c r="A1292" s="19" t="str">
        <f t="shared" si="41"/>
        <v/>
      </c>
      <c r="K1292" s="21" t="str">
        <f>IF(J1292&lt;&gt;"",VLOOKUP(J1292,HeadCount!A:I,2,0),"")</f>
        <v/>
      </c>
      <c r="L1292" s="21" t="str">
        <f>IF(J1292&lt;&gt;"",VLOOKUP(J1292,HeadCount!A:I,5,0),"")</f>
        <v/>
      </c>
      <c r="P1292" s="19" t="str">
        <f t="shared" si="42"/>
        <v/>
      </c>
    </row>
    <row r="1293" spans="1:16" x14ac:dyDescent="0.3">
      <c r="A1293" s="19" t="str">
        <f t="shared" si="41"/>
        <v/>
      </c>
      <c r="E1293" s="31"/>
      <c r="K1293" s="21" t="str">
        <f>IF(J1293&lt;&gt;"",VLOOKUP(J1293,HeadCount!A:I,2,0),"")</f>
        <v/>
      </c>
      <c r="L1293" s="21" t="str">
        <f>IF(J1293&lt;&gt;"",VLOOKUP(J1293,HeadCount!A:I,5,0),"")</f>
        <v/>
      </c>
      <c r="P1293" s="19" t="str">
        <f t="shared" si="42"/>
        <v/>
      </c>
    </row>
    <row r="1294" spans="1:16" x14ac:dyDescent="0.3">
      <c r="A1294" s="19" t="str">
        <f t="shared" si="41"/>
        <v/>
      </c>
      <c r="K1294" s="21" t="str">
        <f>IF(J1294&lt;&gt;"",VLOOKUP(J1294,HeadCount!A:I,2,0),"")</f>
        <v/>
      </c>
      <c r="L1294" s="21" t="str">
        <f>IF(J1294&lt;&gt;"",VLOOKUP(J1294,HeadCount!A:I,5,0),"")</f>
        <v/>
      </c>
      <c r="P1294" s="19" t="str">
        <f t="shared" si="42"/>
        <v/>
      </c>
    </row>
    <row r="1295" spans="1:16" x14ac:dyDescent="0.3">
      <c r="A1295" s="19" t="str">
        <f t="shared" si="41"/>
        <v/>
      </c>
      <c r="E1295" s="37"/>
      <c r="K1295" s="21" t="str">
        <f>IF(J1295&lt;&gt;"",VLOOKUP(J1295,HeadCount!A:I,2,0),"")</f>
        <v/>
      </c>
      <c r="L1295" s="21" t="str">
        <f>IF(J1295&lt;&gt;"",VLOOKUP(J1295,HeadCount!A:I,5,0),"")</f>
        <v/>
      </c>
      <c r="P1295" s="19" t="str">
        <f t="shared" si="42"/>
        <v/>
      </c>
    </row>
    <row r="1296" spans="1:16" x14ac:dyDescent="0.3">
      <c r="A1296" s="19" t="str">
        <f t="shared" si="41"/>
        <v/>
      </c>
      <c r="K1296" s="21" t="str">
        <f>IF(J1296&lt;&gt;"",VLOOKUP(J1296,HeadCount!A:I,2,0),"")</f>
        <v/>
      </c>
      <c r="L1296" s="21" t="str">
        <f>IF(J1296&lt;&gt;"",VLOOKUP(J1296,HeadCount!A:I,5,0),"")</f>
        <v/>
      </c>
      <c r="P1296" s="19" t="str">
        <f t="shared" si="42"/>
        <v/>
      </c>
    </row>
    <row r="1297" spans="1:16" x14ac:dyDescent="0.3">
      <c r="A1297" s="19" t="str">
        <f t="shared" si="41"/>
        <v/>
      </c>
      <c r="K1297" s="21" t="str">
        <f>IF(J1297&lt;&gt;"",VLOOKUP(J1297,HeadCount!A:I,2,0),"")</f>
        <v/>
      </c>
      <c r="L1297" s="21" t="str">
        <f>IF(J1297&lt;&gt;"",VLOOKUP(J1297,HeadCount!A:I,5,0),"")</f>
        <v/>
      </c>
      <c r="P1297" s="19" t="str">
        <f t="shared" si="42"/>
        <v/>
      </c>
    </row>
    <row r="1298" spans="1:16" x14ac:dyDescent="0.3">
      <c r="A1298" s="19" t="str">
        <f t="shared" si="41"/>
        <v/>
      </c>
      <c r="K1298" s="21" t="str">
        <f>IF(J1298&lt;&gt;"",VLOOKUP(J1298,HeadCount!A:I,2,0),"")</f>
        <v/>
      </c>
      <c r="L1298" s="21" t="str">
        <f>IF(J1298&lt;&gt;"",VLOOKUP(J1298,HeadCount!A:I,5,0),"")</f>
        <v/>
      </c>
      <c r="P1298" s="19" t="str">
        <f t="shared" si="42"/>
        <v/>
      </c>
    </row>
    <row r="1299" spans="1:16" x14ac:dyDescent="0.3">
      <c r="A1299" s="19" t="str">
        <f t="shared" si="41"/>
        <v/>
      </c>
      <c r="K1299" s="21" t="str">
        <f>IF(J1299&lt;&gt;"",VLOOKUP(J1299,HeadCount!A:I,2,0),"")</f>
        <v/>
      </c>
      <c r="L1299" s="21" t="str">
        <f>IF(J1299&lt;&gt;"",VLOOKUP(J1299,HeadCount!A:I,5,0),"")</f>
        <v/>
      </c>
      <c r="P1299" s="19" t="str">
        <f t="shared" si="42"/>
        <v/>
      </c>
    </row>
    <row r="1300" spans="1:16" x14ac:dyDescent="0.3">
      <c r="A1300" s="19" t="str">
        <f t="shared" si="41"/>
        <v/>
      </c>
      <c r="K1300" s="21" t="str">
        <f>IF(J1300&lt;&gt;"",VLOOKUP(J1300,HeadCount!A:I,2,0),"")</f>
        <v/>
      </c>
      <c r="L1300" s="21" t="str">
        <f>IF(J1300&lt;&gt;"",VLOOKUP(J1300,HeadCount!A:I,5,0),"")</f>
        <v/>
      </c>
      <c r="P1300" s="19" t="str">
        <f t="shared" si="42"/>
        <v/>
      </c>
    </row>
    <row r="1301" spans="1:16" x14ac:dyDescent="0.3">
      <c r="A1301" s="19" t="str">
        <f t="shared" si="41"/>
        <v/>
      </c>
      <c r="K1301" s="21" t="str">
        <f>IF(J1301&lt;&gt;"",VLOOKUP(J1301,HeadCount!A:I,2,0),"")</f>
        <v/>
      </c>
      <c r="L1301" s="21" t="str">
        <f>IF(J1301&lt;&gt;"",VLOOKUP(J1301,HeadCount!A:I,5,0),"")</f>
        <v/>
      </c>
      <c r="P1301" s="19" t="str">
        <f t="shared" si="42"/>
        <v/>
      </c>
    </row>
    <row r="1302" spans="1:16" x14ac:dyDescent="0.3">
      <c r="A1302" s="19" t="str">
        <f t="shared" si="41"/>
        <v/>
      </c>
      <c r="E1302" s="38"/>
      <c r="K1302" s="21" t="str">
        <f>IF(J1302&lt;&gt;"",VLOOKUP(J1302,HeadCount!A:I,2,0),"")</f>
        <v/>
      </c>
      <c r="L1302" s="21" t="str">
        <f>IF(J1302&lt;&gt;"",VLOOKUP(J1302,HeadCount!A:I,5,0),"")</f>
        <v/>
      </c>
      <c r="P1302" s="19" t="str">
        <f t="shared" si="42"/>
        <v/>
      </c>
    </row>
    <row r="1303" spans="1:16" x14ac:dyDescent="0.3">
      <c r="A1303" s="19" t="str">
        <f t="shared" si="41"/>
        <v/>
      </c>
      <c r="K1303" s="21" t="str">
        <f>IF(J1303&lt;&gt;"",VLOOKUP(J1303,HeadCount!A:I,2,0),"")</f>
        <v/>
      </c>
      <c r="L1303" s="21" t="str">
        <f>IF(J1303&lt;&gt;"",VLOOKUP(J1303,HeadCount!A:I,5,0),"")</f>
        <v/>
      </c>
      <c r="P1303" s="19" t="str">
        <f t="shared" si="42"/>
        <v/>
      </c>
    </row>
    <row r="1304" spans="1:16" x14ac:dyDescent="0.3">
      <c r="A1304" s="19" t="str">
        <f t="shared" si="41"/>
        <v/>
      </c>
      <c r="E1304" s="37"/>
      <c r="K1304" s="21" t="str">
        <f>IF(J1304&lt;&gt;"",VLOOKUP(J1304,HeadCount!A:I,2,0),"")</f>
        <v/>
      </c>
      <c r="L1304" s="21" t="str">
        <f>IF(J1304&lt;&gt;"",VLOOKUP(J1304,HeadCount!A:I,5,0),"")</f>
        <v/>
      </c>
      <c r="P1304" s="19" t="str">
        <f t="shared" si="42"/>
        <v/>
      </c>
    </row>
    <row r="1305" spans="1:16" x14ac:dyDescent="0.3">
      <c r="A1305" s="19" t="str">
        <f t="shared" si="41"/>
        <v/>
      </c>
      <c r="K1305" s="21" t="str">
        <f>IF(J1305&lt;&gt;"",VLOOKUP(J1305,HeadCount!A:I,2,0),"")</f>
        <v/>
      </c>
      <c r="L1305" s="21" t="str">
        <f>IF(J1305&lt;&gt;"",VLOOKUP(J1305,HeadCount!A:I,5,0),"")</f>
        <v/>
      </c>
      <c r="P1305" s="19" t="str">
        <f t="shared" si="42"/>
        <v/>
      </c>
    </row>
    <row r="1306" spans="1:16" x14ac:dyDescent="0.3">
      <c r="A1306" s="19" t="str">
        <f t="shared" si="41"/>
        <v/>
      </c>
      <c r="K1306" s="21" t="str">
        <f>IF(J1306&lt;&gt;"",VLOOKUP(J1306,HeadCount!A:I,2,0),"")</f>
        <v/>
      </c>
      <c r="L1306" s="21" t="str">
        <f>IF(J1306&lt;&gt;"",VLOOKUP(J1306,HeadCount!A:I,5,0),"")</f>
        <v/>
      </c>
      <c r="P1306" s="19" t="str">
        <f t="shared" si="42"/>
        <v/>
      </c>
    </row>
    <row r="1307" spans="1:16" x14ac:dyDescent="0.3">
      <c r="A1307" s="19" t="str">
        <f t="shared" si="41"/>
        <v/>
      </c>
      <c r="K1307" s="21" t="str">
        <f>IF(J1307&lt;&gt;"",VLOOKUP(J1307,HeadCount!A:I,2,0),"")</f>
        <v/>
      </c>
      <c r="L1307" s="21" t="str">
        <f>IF(J1307&lt;&gt;"",VLOOKUP(J1307,HeadCount!A:I,5,0),"")</f>
        <v/>
      </c>
      <c r="P1307" s="19" t="str">
        <f t="shared" si="42"/>
        <v/>
      </c>
    </row>
    <row r="1308" spans="1:16" x14ac:dyDescent="0.3">
      <c r="A1308" s="19" t="str">
        <f t="shared" si="41"/>
        <v/>
      </c>
      <c r="E1308" s="37"/>
      <c r="K1308" s="21" t="str">
        <f>IF(J1308&lt;&gt;"",VLOOKUP(J1308,HeadCount!A:I,2,0),"")</f>
        <v/>
      </c>
      <c r="L1308" s="21" t="str">
        <f>IF(J1308&lt;&gt;"",VLOOKUP(J1308,HeadCount!A:I,5,0),"")</f>
        <v/>
      </c>
      <c r="P1308" s="19" t="str">
        <f t="shared" si="42"/>
        <v/>
      </c>
    </row>
    <row r="1309" spans="1:16" x14ac:dyDescent="0.3">
      <c r="A1309" s="19" t="str">
        <f t="shared" si="41"/>
        <v/>
      </c>
      <c r="K1309" s="21" t="str">
        <f>IF(J1309&lt;&gt;"",VLOOKUP(J1309,HeadCount!A:I,2,0),"")</f>
        <v/>
      </c>
      <c r="L1309" s="21" t="str">
        <f>IF(J1309&lt;&gt;"",VLOOKUP(J1309,HeadCount!A:I,5,0),"")</f>
        <v/>
      </c>
      <c r="P1309" s="19" t="str">
        <f t="shared" si="42"/>
        <v/>
      </c>
    </row>
    <row r="1310" spans="1:16" x14ac:dyDescent="0.3">
      <c r="A1310" s="19" t="str">
        <f t="shared" si="41"/>
        <v/>
      </c>
      <c r="K1310" s="21" t="str">
        <f>IF(J1310&lt;&gt;"",VLOOKUP(J1310,HeadCount!A:I,2,0),"")</f>
        <v/>
      </c>
      <c r="L1310" s="21" t="str">
        <f>IF(J1310&lt;&gt;"",VLOOKUP(J1310,HeadCount!A:I,5,0),"")</f>
        <v/>
      </c>
      <c r="P1310" s="19" t="str">
        <f t="shared" si="42"/>
        <v/>
      </c>
    </row>
    <row r="1311" spans="1:16" x14ac:dyDescent="0.3">
      <c r="A1311" s="19" t="str">
        <f t="shared" si="41"/>
        <v/>
      </c>
      <c r="E1311" s="37"/>
      <c r="K1311" s="21" t="str">
        <f>IF(J1311&lt;&gt;"",VLOOKUP(J1311,HeadCount!A:I,2,0),"")</f>
        <v/>
      </c>
      <c r="L1311" s="21" t="str">
        <f>IF(J1311&lt;&gt;"",VLOOKUP(J1311,HeadCount!A:I,5,0),"")</f>
        <v/>
      </c>
      <c r="P1311" s="19" t="str">
        <f t="shared" si="42"/>
        <v/>
      </c>
    </row>
    <row r="1312" spans="1:16" x14ac:dyDescent="0.3">
      <c r="A1312" s="19" t="str">
        <f t="shared" si="41"/>
        <v/>
      </c>
      <c r="K1312" s="21" t="str">
        <f>IF(J1312&lt;&gt;"",VLOOKUP(J1312,HeadCount!A:I,2,0),"")</f>
        <v/>
      </c>
      <c r="L1312" s="21" t="str">
        <f>IF(J1312&lt;&gt;"",VLOOKUP(J1312,HeadCount!A:I,5,0),"")</f>
        <v/>
      </c>
      <c r="P1312" s="19" t="str">
        <f t="shared" si="42"/>
        <v/>
      </c>
    </row>
    <row r="1313" spans="1:16" x14ac:dyDescent="0.3">
      <c r="A1313" s="19" t="str">
        <f t="shared" si="41"/>
        <v/>
      </c>
      <c r="K1313" s="21" t="str">
        <f>IF(J1313&lt;&gt;"",VLOOKUP(J1313,HeadCount!A:I,2,0),"")</f>
        <v/>
      </c>
      <c r="L1313" s="21" t="str">
        <f>IF(J1313&lt;&gt;"",VLOOKUP(J1313,HeadCount!A:I,5,0),"")</f>
        <v/>
      </c>
      <c r="P1313" s="19" t="str">
        <f t="shared" si="42"/>
        <v/>
      </c>
    </row>
    <row r="1314" spans="1:16" x14ac:dyDescent="0.3">
      <c r="A1314" s="19" t="str">
        <f t="shared" si="41"/>
        <v/>
      </c>
      <c r="K1314" s="21" t="str">
        <f>IF(J1314&lt;&gt;"",VLOOKUP(J1314,HeadCount!A:I,2,0),"")</f>
        <v/>
      </c>
      <c r="L1314" s="21" t="str">
        <f>IF(J1314&lt;&gt;"",VLOOKUP(J1314,HeadCount!A:I,5,0),"")</f>
        <v/>
      </c>
      <c r="P1314" s="19" t="str">
        <f t="shared" si="42"/>
        <v/>
      </c>
    </row>
    <row r="1315" spans="1:16" x14ac:dyDescent="0.3">
      <c r="A1315" s="19" t="str">
        <f t="shared" si="41"/>
        <v/>
      </c>
      <c r="K1315" s="21" t="str">
        <f>IF(J1315&lt;&gt;"",VLOOKUP(J1315,HeadCount!A:I,2,0),"")</f>
        <v/>
      </c>
      <c r="L1315" s="21" t="str">
        <f>IF(J1315&lt;&gt;"",VLOOKUP(J1315,HeadCount!A:I,5,0),"")</f>
        <v/>
      </c>
      <c r="P1315" s="19" t="str">
        <f t="shared" si="42"/>
        <v/>
      </c>
    </row>
    <row r="1316" spans="1:16" x14ac:dyDescent="0.3">
      <c r="A1316" s="19" t="str">
        <f t="shared" si="41"/>
        <v/>
      </c>
      <c r="K1316" s="21" t="str">
        <f>IF(J1316&lt;&gt;"",VLOOKUP(J1316,HeadCount!A:I,2,0),"")</f>
        <v/>
      </c>
      <c r="L1316" s="21" t="str">
        <f>IF(J1316&lt;&gt;"",VLOOKUP(J1316,HeadCount!A:I,5,0),"")</f>
        <v/>
      </c>
      <c r="P1316" s="19" t="str">
        <f t="shared" si="42"/>
        <v/>
      </c>
    </row>
    <row r="1317" spans="1:16" x14ac:dyDescent="0.3">
      <c r="A1317" s="19" t="str">
        <f t="shared" si="41"/>
        <v/>
      </c>
      <c r="K1317" s="21" t="str">
        <f>IF(J1317&lt;&gt;"",VLOOKUP(J1317,HeadCount!A:I,2,0),"")</f>
        <v/>
      </c>
      <c r="L1317" s="21" t="str">
        <f>IF(J1317&lt;&gt;"",VLOOKUP(J1317,HeadCount!A:I,5,0),"")</f>
        <v/>
      </c>
      <c r="P1317" s="19" t="str">
        <f t="shared" si="42"/>
        <v/>
      </c>
    </row>
    <row r="1318" spans="1:16" x14ac:dyDescent="0.3">
      <c r="A1318" s="19" t="str">
        <f t="shared" si="41"/>
        <v/>
      </c>
      <c r="J1318" s="34"/>
      <c r="K1318" s="21" t="str">
        <f>IF(J1318&lt;&gt;"",VLOOKUP(J1318,HeadCount!A:I,2,0),"")</f>
        <v/>
      </c>
      <c r="L1318" s="21" t="str">
        <f>IF(J1318&lt;&gt;"",VLOOKUP(J1318,HeadCount!A:I,5,0),"")</f>
        <v/>
      </c>
      <c r="P1318" s="19" t="str">
        <f t="shared" si="42"/>
        <v/>
      </c>
    </row>
    <row r="1319" spans="1:16" x14ac:dyDescent="0.3">
      <c r="A1319" s="19" t="str">
        <f t="shared" si="41"/>
        <v/>
      </c>
      <c r="K1319" s="21" t="str">
        <f>IF(J1319&lt;&gt;"",VLOOKUP(J1319,HeadCount!A:I,2,0),"")</f>
        <v/>
      </c>
      <c r="L1319" s="21" t="str">
        <f>IF(J1319&lt;&gt;"",VLOOKUP(J1319,HeadCount!A:I,5,0),"")</f>
        <v/>
      </c>
      <c r="P1319" s="19" t="str">
        <f t="shared" si="42"/>
        <v/>
      </c>
    </row>
    <row r="1320" spans="1:16" x14ac:dyDescent="0.3">
      <c r="A1320" s="19" t="str">
        <f t="shared" si="41"/>
        <v/>
      </c>
      <c r="K1320" s="21" t="str">
        <f>IF(J1320&lt;&gt;"",VLOOKUP(J1320,HeadCount!A:I,2,0),"")</f>
        <v/>
      </c>
      <c r="L1320" s="21" t="str">
        <f>IF(J1320&lt;&gt;"",VLOOKUP(J1320,HeadCount!A:I,5,0),"")</f>
        <v/>
      </c>
      <c r="P1320" s="19" t="str">
        <f t="shared" si="42"/>
        <v/>
      </c>
    </row>
    <row r="1321" spans="1:16" x14ac:dyDescent="0.3">
      <c r="A1321" s="19" t="str">
        <f t="shared" si="41"/>
        <v/>
      </c>
      <c r="K1321" s="21" t="str">
        <f>IF(J1321&lt;&gt;"",VLOOKUP(J1321,HeadCount!A:I,2,0),"")</f>
        <v/>
      </c>
      <c r="L1321" s="21" t="str">
        <f>IF(J1321&lt;&gt;"",VLOOKUP(J1321,HeadCount!A:I,5,0),"")</f>
        <v/>
      </c>
      <c r="P1321" s="19" t="str">
        <f t="shared" si="42"/>
        <v/>
      </c>
    </row>
    <row r="1322" spans="1:16" x14ac:dyDescent="0.3">
      <c r="A1322" s="19" t="str">
        <f t="shared" si="41"/>
        <v/>
      </c>
      <c r="K1322" s="21" t="str">
        <f>IF(J1322&lt;&gt;"",VLOOKUP(J1322,HeadCount!A:I,2,0),"")</f>
        <v/>
      </c>
      <c r="L1322" s="21" t="str">
        <f>IF(J1322&lt;&gt;"",VLOOKUP(J1322,HeadCount!A:I,5,0),"")</f>
        <v/>
      </c>
      <c r="P1322" s="19" t="str">
        <f t="shared" si="42"/>
        <v/>
      </c>
    </row>
    <row r="1323" spans="1:16" x14ac:dyDescent="0.3">
      <c r="A1323" s="19" t="str">
        <f t="shared" si="41"/>
        <v/>
      </c>
      <c r="J1323" s="34"/>
      <c r="K1323" s="21" t="str">
        <f>IF(J1323&lt;&gt;"",VLOOKUP(J1323,HeadCount!A:I,2,0),"")</f>
        <v/>
      </c>
      <c r="L1323" s="21" t="str">
        <f>IF(J1323&lt;&gt;"",VLOOKUP(J1323,HeadCount!A:I,5,0),"")</f>
        <v/>
      </c>
      <c r="P1323" s="19" t="str">
        <f t="shared" si="42"/>
        <v/>
      </c>
    </row>
    <row r="1324" spans="1:16" x14ac:dyDescent="0.3">
      <c r="A1324" s="19" t="str">
        <f t="shared" si="41"/>
        <v/>
      </c>
      <c r="K1324" s="21" t="str">
        <f>IF(J1324&lt;&gt;"",VLOOKUP(J1324,HeadCount!A:I,2,0),"")</f>
        <v/>
      </c>
      <c r="L1324" s="21" t="str">
        <f>IF(J1324&lt;&gt;"",VLOOKUP(J1324,HeadCount!A:I,5,0),"")</f>
        <v/>
      </c>
      <c r="P1324" s="19" t="str">
        <f t="shared" si="42"/>
        <v/>
      </c>
    </row>
    <row r="1325" spans="1:16" x14ac:dyDescent="0.3">
      <c r="A1325" s="19" t="str">
        <f t="shared" si="41"/>
        <v/>
      </c>
      <c r="K1325" s="21" t="str">
        <f>IF(J1325&lt;&gt;"",VLOOKUP(J1325,HeadCount!A:I,2,0),"")</f>
        <v/>
      </c>
      <c r="L1325" s="21" t="str">
        <f>IF(J1325&lt;&gt;"",VLOOKUP(J1325,HeadCount!A:I,5,0),"")</f>
        <v/>
      </c>
      <c r="P1325" s="19" t="str">
        <f t="shared" si="42"/>
        <v/>
      </c>
    </row>
    <row r="1326" spans="1:16" x14ac:dyDescent="0.3">
      <c r="A1326" s="19" t="str">
        <f t="shared" si="41"/>
        <v/>
      </c>
      <c r="K1326" s="21" t="str">
        <f>IF(J1326&lt;&gt;"",VLOOKUP(J1326,HeadCount!A:I,2,0),"")</f>
        <v/>
      </c>
      <c r="L1326" s="21" t="str">
        <f>IF(J1326&lt;&gt;"",VLOOKUP(J1326,HeadCount!A:I,5,0),"")</f>
        <v/>
      </c>
      <c r="P1326" s="19" t="str">
        <f t="shared" si="42"/>
        <v/>
      </c>
    </row>
    <row r="1327" spans="1:16" x14ac:dyDescent="0.3">
      <c r="A1327" s="19" t="str">
        <f t="shared" si="41"/>
        <v/>
      </c>
      <c r="K1327" s="21" t="str">
        <f>IF(J1327&lt;&gt;"",VLOOKUP(J1327,HeadCount!A:I,2,0),"")</f>
        <v/>
      </c>
      <c r="L1327" s="21" t="str">
        <f>IF(J1327&lt;&gt;"",VLOOKUP(J1327,HeadCount!A:I,5,0),"")</f>
        <v/>
      </c>
      <c r="P1327" s="19" t="str">
        <f t="shared" si="42"/>
        <v/>
      </c>
    </row>
    <row r="1328" spans="1:16" x14ac:dyDescent="0.3">
      <c r="A1328" s="19" t="str">
        <f t="shared" si="41"/>
        <v/>
      </c>
      <c r="K1328" s="21" t="str">
        <f>IF(J1328&lt;&gt;"",VLOOKUP(J1328,HeadCount!A:I,2,0),"")</f>
        <v/>
      </c>
      <c r="L1328" s="21" t="str">
        <f>IF(J1328&lt;&gt;"",VLOOKUP(J1328,HeadCount!A:I,5,0),"")</f>
        <v/>
      </c>
      <c r="P1328" s="19" t="str">
        <f t="shared" si="42"/>
        <v/>
      </c>
    </row>
    <row r="1329" spans="1:16" x14ac:dyDescent="0.3">
      <c r="A1329" s="19" t="str">
        <f t="shared" si="41"/>
        <v/>
      </c>
      <c r="K1329" s="21" t="str">
        <f>IF(J1329&lt;&gt;"",VLOOKUP(J1329,HeadCount!A:I,2,0),"")</f>
        <v/>
      </c>
      <c r="L1329" s="21" t="str">
        <f>IF(J1329&lt;&gt;"",VLOOKUP(J1329,HeadCount!A:I,5,0),"")</f>
        <v/>
      </c>
      <c r="P1329" s="19" t="str">
        <f t="shared" si="42"/>
        <v/>
      </c>
    </row>
    <row r="1330" spans="1:16" x14ac:dyDescent="0.3">
      <c r="A1330" s="19" t="str">
        <f t="shared" si="41"/>
        <v/>
      </c>
      <c r="K1330" s="21" t="str">
        <f>IF(J1330&lt;&gt;"",VLOOKUP(J1330,HeadCount!A:I,2,0),"")</f>
        <v/>
      </c>
      <c r="L1330" s="21" t="str">
        <f>IF(J1330&lt;&gt;"",VLOOKUP(J1330,HeadCount!A:I,5,0),"")</f>
        <v/>
      </c>
      <c r="P1330" s="19" t="str">
        <f t="shared" si="42"/>
        <v/>
      </c>
    </row>
    <row r="1331" spans="1:16" x14ac:dyDescent="0.3">
      <c r="A1331" s="19" t="str">
        <f t="shared" si="41"/>
        <v/>
      </c>
      <c r="K1331" s="21" t="str">
        <f>IF(J1331&lt;&gt;"",VLOOKUP(J1331,HeadCount!A:I,2,0),"")</f>
        <v/>
      </c>
      <c r="L1331" s="21" t="str">
        <f>IF(J1331&lt;&gt;"",VLOOKUP(J1331,HeadCount!A:I,5,0),"")</f>
        <v/>
      </c>
      <c r="P1331" s="19" t="str">
        <f t="shared" si="42"/>
        <v/>
      </c>
    </row>
    <row r="1332" spans="1:16" x14ac:dyDescent="0.3">
      <c r="A1332" s="19" t="str">
        <f t="shared" si="41"/>
        <v/>
      </c>
      <c r="K1332" s="21" t="str">
        <f>IF(J1332&lt;&gt;"",VLOOKUP(J1332,HeadCount!A:I,2,0),"")</f>
        <v/>
      </c>
      <c r="L1332" s="21" t="str">
        <f>IF(J1332&lt;&gt;"",VLOOKUP(J1332,HeadCount!A:I,5,0),"")</f>
        <v/>
      </c>
      <c r="P1332" s="19" t="str">
        <f t="shared" si="42"/>
        <v/>
      </c>
    </row>
    <row r="1333" spans="1:16" x14ac:dyDescent="0.3">
      <c r="A1333" s="19" t="str">
        <f t="shared" si="41"/>
        <v/>
      </c>
      <c r="K1333" s="21" t="str">
        <f>IF(J1333&lt;&gt;"",VLOOKUP(J1333,HeadCount!A:I,2,0),"")</f>
        <v/>
      </c>
      <c r="L1333" s="21" t="str">
        <f>IF(J1333&lt;&gt;"",VLOOKUP(J1333,HeadCount!A:I,5,0),"")</f>
        <v/>
      </c>
      <c r="P1333" s="19" t="str">
        <f t="shared" si="42"/>
        <v/>
      </c>
    </row>
    <row r="1334" spans="1:16" x14ac:dyDescent="0.3">
      <c r="A1334" s="19" t="str">
        <f t="shared" si="41"/>
        <v/>
      </c>
      <c r="K1334" s="21" t="str">
        <f>IF(J1334&lt;&gt;"",VLOOKUP(J1334,HeadCount!A:I,2,0),"")</f>
        <v/>
      </c>
      <c r="L1334" s="21" t="str">
        <f>IF(J1334&lt;&gt;"",VLOOKUP(J1334,HeadCount!A:I,5,0),"")</f>
        <v/>
      </c>
      <c r="P1334" s="19" t="str">
        <f t="shared" si="42"/>
        <v/>
      </c>
    </row>
    <row r="1335" spans="1:16" x14ac:dyDescent="0.3">
      <c r="A1335" s="19" t="str">
        <f t="shared" si="41"/>
        <v/>
      </c>
      <c r="K1335" s="21" t="str">
        <f>IF(J1335&lt;&gt;"",VLOOKUP(J1335,HeadCount!A:I,2,0),"")</f>
        <v/>
      </c>
      <c r="L1335" s="21" t="str">
        <f>IF(J1335&lt;&gt;"",VLOOKUP(J1335,HeadCount!A:I,5,0),"")</f>
        <v/>
      </c>
      <c r="P1335" s="19" t="str">
        <f t="shared" si="42"/>
        <v/>
      </c>
    </row>
    <row r="1336" spans="1:16" x14ac:dyDescent="0.3">
      <c r="A1336" s="19" t="str">
        <f t="shared" si="41"/>
        <v/>
      </c>
      <c r="K1336" s="21" t="str">
        <f>IF(J1336&lt;&gt;"",VLOOKUP(J1336,HeadCount!A:I,2,0),"")</f>
        <v/>
      </c>
      <c r="L1336" s="21" t="str">
        <f>IF(J1336&lt;&gt;"",VLOOKUP(J1336,HeadCount!A:I,5,0),"")</f>
        <v/>
      </c>
      <c r="P1336" s="19" t="str">
        <f t="shared" si="42"/>
        <v/>
      </c>
    </row>
    <row r="1337" spans="1:16" x14ac:dyDescent="0.3">
      <c r="A1337" s="19" t="str">
        <f t="shared" si="41"/>
        <v/>
      </c>
      <c r="K1337" s="21" t="str">
        <f>IF(J1337&lt;&gt;"",VLOOKUP(J1337,HeadCount!A:I,2,0),"")</f>
        <v/>
      </c>
      <c r="L1337" s="21" t="str">
        <f>IF(J1337&lt;&gt;"",VLOOKUP(J1337,HeadCount!A:I,5,0),"")</f>
        <v/>
      </c>
      <c r="P1337" s="19" t="str">
        <f t="shared" si="42"/>
        <v/>
      </c>
    </row>
    <row r="1338" spans="1:16" x14ac:dyDescent="0.3">
      <c r="A1338" s="19" t="str">
        <f t="shared" si="41"/>
        <v/>
      </c>
      <c r="K1338" s="21" t="str">
        <f>IF(J1338&lt;&gt;"",VLOOKUP(J1338,HeadCount!A:I,2,0),"")</f>
        <v/>
      </c>
      <c r="L1338" s="21" t="str">
        <f>IF(J1338&lt;&gt;"",VLOOKUP(J1338,HeadCount!A:I,5,0),"")</f>
        <v/>
      </c>
      <c r="P1338" s="19" t="str">
        <f t="shared" si="42"/>
        <v/>
      </c>
    </row>
    <row r="1339" spans="1:16" x14ac:dyDescent="0.3">
      <c r="A1339" s="19" t="str">
        <f t="shared" si="41"/>
        <v/>
      </c>
      <c r="K1339" s="21" t="str">
        <f>IF(J1339&lt;&gt;"",VLOOKUP(J1339,HeadCount!A:I,2,0),"")</f>
        <v/>
      </c>
      <c r="L1339" s="21" t="str">
        <f>IF(J1339&lt;&gt;"",VLOOKUP(J1339,HeadCount!A:I,5,0),"")</f>
        <v/>
      </c>
      <c r="P1339" s="19" t="str">
        <f t="shared" si="42"/>
        <v/>
      </c>
    </row>
    <row r="1340" spans="1:16" x14ac:dyDescent="0.3">
      <c r="A1340" s="19" t="str">
        <f t="shared" si="41"/>
        <v/>
      </c>
      <c r="K1340" s="21" t="str">
        <f>IF(J1340&lt;&gt;"",VLOOKUP(J1340,HeadCount!A:I,2,0),"")</f>
        <v/>
      </c>
      <c r="L1340" s="21" t="str">
        <f>IF(J1340&lt;&gt;"",VLOOKUP(J1340,HeadCount!A:I,5,0),"")</f>
        <v/>
      </c>
      <c r="P1340" s="19" t="str">
        <f t="shared" si="42"/>
        <v/>
      </c>
    </row>
    <row r="1341" spans="1:16" x14ac:dyDescent="0.3">
      <c r="A1341" s="19" t="str">
        <f t="shared" si="41"/>
        <v/>
      </c>
      <c r="K1341" s="21" t="str">
        <f>IF(J1341&lt;&gt;"",VLOOKUP(J1341,HeadCount!A:I,2,0),"")</f>
        <v/>
      </c>
      <c r="L1341" s="21" t="str">
        <f>IF(J1341&lt;&gt;"",VLOOKUP(J1341,HeadCount!A:I,5,0),"")</f>
        <v/>
      </c>
      <c r="P1341" s="19" t="str">
        <f t="shared" si="42"/>
        <v/>
      </c>
    </row>
    <row r="1342" spans="1:16" x14ac:dyDescent="0.3">
      <c r="A1342" s="19" t="str">
        <f t="shared" si="41"/>
        <v/>
      </c>
      <c r="K1342" s="21" t="str">
        <f>IF(J1342&lt;&gt;"",VLOOKUP(J1342,HeadCount!A:I,2,0),"")</f>
        <v/>
      </c>
      <c r="L1342" s="21" t="str">
        <f>IF(J1342&lt;&gt;"",VLOOKUP(J1342,HeadCount!A:I,5,0),"")</f>
        <v/>
      </c>
      <c r="P1342" s="19" t="str">
        <f t="shared" si="42"/>
        <v/>
      </c>
    </row>
    <row r="1343" spans="1:16" x14ac:dyDescent="0.3">
      <c r="A1343" s="19" t="str">
        <f t="shared" si="41"/>
        <v/>
      </c>
      <c r="K1343" s="21" t="str">
        <f>IF(J1343&lt;&gt;"",VLOOKUP(J1343,HeadCount!A:I,2,0),"")</f>
        <v/>
      </c>
      <c r="L1343" s="21" t="str">
        <f>IF(J1343&lt;&gt;"",VLOOKUP(J1343,HeadCount!A:I,5,0),"")</f>
        <v/>
      </c>
      <c r="P1343" s="19" t="str">
        <f t="shared" si="42"/>
        <v/>
      </c>
    </row>
    <row r="1344" spans="1:16" x14ac:dyDescent="0.3">
      <c r="A1344" s="19" t="str">
        <f t="shared" si="41"/>
        <v/>
      </c>
      <c r="K1344" s="21" t="str">
        <f>IF(J1344&lt;&gt;"",VLOOKUP(J1344,HeadCount!A:I,2,0),"")</f>
        <v/>
      </c>
      <c r="L1344" s="21" t="str">
        <f>IF(J1344&lt;&gt;"",VLOOKUP(J1344,HeadCount!A:I,5,0),"")</f>
        <v/>
      </c>
      <c r="P1344" s="19" t="str">
        <f t="shared" si="42"/>
        <v/>
      </c>
    </row>
    <row r="1345" spans="1:16" x14ac:dyDescent="0.3">
      <c r="A1345" s="19" t="str">
        <f t="shared" si="41"/>
        <v/>
      </c>
      <c r="K1345" s="21" t="str">
        <f>IF(J1345&lt;&gt;"",VLOOKUP(J1345,HeadCount!A:I,2,0),"")</f>
        <v/>
      </c>
      <c r="L1345" s="21" t="str">
        <f>IF(J1345&lt;&gt;"",VLOOKUP(J1345,HeadCount!A:I,5,0),"")</f>
        <v/>
      </c>
      <c r="P1345" s="19" t="str">
        <f t="shared" si="42"/>
        <v/>
      </c>
    </row>
    <row r="1346" spans="1:16" x14ac:dyDescent="0.3">
      <c r="A1346" s="19" t="str">
        <f t="shared" ref="A1346:A1409" si="43">IF(C1346&lt;&gt;"",ROW(A1345),"")</f>
        <v/>
      </c>
      <c r="K1346" s="21" t="str">
        <f>IF(J1346&lt;&gt;"",VLOOKUP(J1346,HeadCount!A:I,2,0),"")</f>
        <v/>
      </c>
      <c r="L1346" s="21" t="str">
        <f>IF(J1346&lt;&gt;"",VLOOKUP(J1346,HeadCount!A:I,5,0),"")</f>
        <v/>
      </c>
      <c r="P1346" s="19" t="str">
        <f t="shared" si="42"/>
        <v/>
      </c>
    </row>
    <row r="1347" spans="1:16" x14ac:dyDescent="0.3">
      <c r="A1347" s="19" t="str">
        <f t="shared" si="43"/>
        <v/>
      </c>
      <c r="K1347" s="21" t="str">
        <f>IF(J1347&lt;&gt;"",VLOOKUP(J1347,HeadCount!A:I,2,0),"")</f>
        <v/>
      </c>
      <c r="L1347" s="21" t="str">
        <f>IF(J1347&lt;&gt;"",VLOOKUP(J1347,HeadCount!A:I,5,0),"")</f>
        <v/>
      </c>
      <c r="P1347" s="19" t="str">
        <f t="shared" ref="P1347:P1410" si="44">IF(N1347="","",(O1347-N1347)+1)</f>
        <v/>
      </c>
    </row>
    <row r="1348" spans="1:16" x14ac:dyDescent="0.3">
      <c r="A1348" s="19" t="str">
        <f t="shared" si="43"/>
        <v/>
      </c>
      <c r="E1348" s="37"/>
      <c r="K1348" s="21" t="str">
        <f>IF(J1348&lt;&gt;"",VLOOKUP(J1348,HeadCount!A:I,2,0),"")</f>
        <v/>
      </c>
      <c r="L1348" s="21" t="str">
        <f>IF(J1348&lt;&gt;"",VLOOKUP(J1348,HeadCount!A:I,5,0),"")</f>
        <v/>
      </c>
      <c r="P1348" s="19" t="str">
        <f t="shared" si="44"/>
        <v/>
      </c>
    </row>
    <row r="1349" spans="1:16" x14ac:dyDescent="0.3">
      <c r="A1349" s="19" t="str">
        <f t="shared" si="43"/>
        <v/>
      </c>
      <c r="K1349" s="21" t="str">
        <f>IF(J1349&lt;&gt;"",VLOOKUP(J1349,HeadCount!A:I,2,0),"")</f>
        <v/>
      </c>
      <c r="L1349" s="21" t="str">
        <f>IF(J1349&lt;&gt;"",VLOOKUP(J1349,HeadCount!A:I,5,0),"")</f>
        <v/>
      </c>
      <c r="P1349" s="19" t="str">
        <f t="shared" si="44"/>
        <v/>
      </c>
    </row>
    <row r="1350" spans="1:16" x14ac:dyDescent="0.3">
      <c r="A1350" s="19" t="str">
        <f t="shared" si="43"/>
        <v/>
      </c>
      <c r="K1350" s="21" t="str">
        <f>IF(J1350&lt;&gt;"",VLOOKUP(J1350,HeadCount!A:I,2,0),"")</f>
        <v/>
      </c>
      <c r="L1350" s="21" t="str">
        <f>IF(J1350&lt;&gt;"",VLOOKUP(J1350,HeadCount!A:I,5,0),"")</f>
        <v/>
      </c>
      <c r="P1350" s="19" t="str">
        <f t="shared" si="44"/>
        <v/>
      </c>
    </row>
    <row r="1351" spans="1:16" x14ac:dyDescent="0.3">
      <c r="A1351" s="19" t="str">
        <f t="shared" si="43"/>
        <v/>
      </c>
      <c r="E1351" s="31"/>
      <c r="K1351" s="21" t="str">
        <f>IF(J1351&lt;&gt;"",VLOOKUP(J1351,HeadCount!A:I,2,0),"")</f>
        <v/>
      </c>
      <c r="L1351" s="21" t="str">
        <f>IF(J1351&lt;&gt;"",VLOOKUP(J1351,HeadCount!A:I,5,0),"")</f>
        <v/>
      </c>
      <c r="P1351" s="19" t="str">
        <f t="shared" si="44"/>
        <v/>
      </c>
    </row>
    <row r="1352" spans="1:16" x14ac:dyDescent="0.3">
      <c r="A1352" s="19" t="str">
        <f t="shared" si="43"/>
        <v/>
      </c>
      <c r="K1352" s="21" t="str">
        <f>IF(J1352&lt;&gt;"",VLOOKUP(J1352,HeadCount!A:I,2,0),"")</f>
        <v/>
      </c>
      <c r="L1352" s="21" t="str">
        <f>IF(J1352&lt;&gt;"",VLOOKUP(J1352,HeadCount!A:I,5,0),"")</f>
        <v/>
      </c>
      <c r="P1352" s="19" t="str">
        <f t="shared" si="44"/>
        <v/>
      </c>
    </row>
    <row r="1353" spans="1:16" x14ac:dyDescent="0.3">
      <c r="A1353" s="19" t="str">
        <f t="shared" si="43"/>
        <v/>
      </c>
      <c r="K1353" s="21" t="str">
        <f>IF(J1353&lt;&gt;"",VLOOKUP(J1353,HeadCount!A:I,2,0),"")</f>
        <v/>
      </c>
      <c r="L1353" s="21" t="str">
        <f>IF(J1353&lt;&gt;"",VLOOKUP(J1353,HeadCount!A:I,5,0),"")</f>
        <v/>
      </c>
      <c r="P1353" s="19" t="str">
        <f t="shared" si="44"/>
        <v/>
      </c>
    </row>
    <row r="1354" spans="1:16" x14ac:dyDescent="0.3">
      <c r="A1354" s="19" t="str">
        <f t="shared" si="43"/>
        <v/>
      </c>
      <c r="K1354" s="21" t="str">
        <f>IF(J1354&lt;&gt;"",VLOOKUP(J1354,HeadCount!A:I,2,0),"")</f>
        <v/>
      </c>
      <c r="L1354" s="21" t="str">
        <f>IF(J1354&lt;&gt;"",VLOOKUP(J1354,HeadCount!A:I,5,0),"")</f>
        <v/>
      </c>
      <c r="P1354" s="19" t="str">
        <f t="shared" si="44"/>
        <v/>
      </c>
    </row>
    <row r="1355" spans="1:16" x14ac:dyDescent="0.3">
      <c r="A1355" s="19" t="str">
        <f t="shared" si="43"/>
        <v/>
      </c>
      <c r="K1355" s="21" t="str">
        <f>IF(J1355&lt;&gt;"",VLOOKUP(J1355,HeadCount!A:I,2,0),"")</f>
        <v/>
      </c>
      <c r="L1355" s="21" t="str">
        <f>IF(J1355&lt;&gt;"",VLOOKUP(J1355,HeadCount!A:I,5,0),"")</f>
        <v/>
      </c>
      <c r="P1355" s="19" t="str">
        <f t="shared" si="44"/>
        <v/>
      </c>
    </row>
    <row r="1356" spans="1:16" x14ac:dyDescent="0.3">
      <c r="A1356" s="19" t="str">
        <f t="shared" si="43"/>
        <v/>
      </c>
      <c r="K1356" s="21" t="str">
        <f>IF(J1356&lt;&gt;"",VLOOKUP(J1356,HeadCount!A:I,2,0),"")</f>
        <v/>
      </c>
      <c r="L1356" s="21" t="str">
        <f>IF(J1356&lt;&gt;"",VLOOKUP(J1356,HeadCount!A:I,5,0),"")</f>
        <v/>
      </c>
      <c r="P1356" s="19" t="str">
        <f t="shared" si="44"/>
        <v/>
      </c>
    </row>
    <row r="1357" spans="1:16" x14ac:dyDescent="0.3">
      <c r="A1357" s="19" t="str">
        <f t="shared" si="43"/>
        <v/>
      </c>
      <c r="K1357" s="21" t="str">
        <f>IF(J1357&lt;&gt;"",VLOOKUP(J1357,HeadCount!A:I,2,0),"")</f>
        <v/>
      </c>
      <c r="L1357" s="21" t="str">
        <f>IF(J1357&lt;&gt;"",VLOOKUP(J1357,HeadCount!A:I,5,0),"")</f>
        <v/>
      </c>
      <c r="P1357" s="19" t="str">
        <f t="shared" si="44"/>
        <v/>
      </c>
    </row>
    <row r="1358" spans="1:16" x14ac:dyDescent="0.3">
      <c r="A1358" s="19" t="str">
        <f t="shared" si="43"/>
        <v/>
      </c>
      <c r="K1358" s="21" t="str">
        <f>IF(J1358&lt;&gt;"",VLOOKUP(J1358,HeadCount!A:I,2,0),"")</f>
        <v/>
      </c>
      <c r="L1358" s="21" t="str">
        <f>IF(J1358&lt;&gt;"",VLOOKUP(J1358,HeadCount!A:I,5,0),"")</f>
        <v/>
      </c>
      <c r="P1358" s="19" t="str">
        <f t="shared" si="44"/>
        <v/>
      </c>
    </row>
    <row r="1359" spans="1:16" x14ac:dyDescent="0.3">
      <c r="A1359" s="19" t="str">
        <f t="shared" si="43"/>
        <v/>
      </c>
      <c r="K1359" s="21" t="str">
        <f>IF(J1359&lt;&gt;"",VLOOKUP(J1359,HeadCount!A:I,2,0),"")</f>
        <v/>
      </c>
      <c r="L1359" s="21" t="str">
        <f>IF(J1359&lt;&gt;"",VLOOKUP(J1359,HeadCount!A:I,5,0),"")</f>
        <v/>
      </c>
      <c r="P1359" s="19" t="str">
        <f t="shared" si="44"/>
        <v/>
      </c>
    </row>
    <row r="1360" spans="1:16" x14ac:dyDescent="0.3">
      <c r="A1360" s="19" t="str">
        <f t="shared" si="43"/>
        <v/>
      </c>
      <c r="K1360" s="21" t="str">
        <f>IF(J1360&lt;&gt;"",VLOOKUP(J1360,HeadCount!A:I,2,0),"")</f>
        <v/>
      </c>
      <c r="L1360" s="21" t="str">
        <f>IF(J1360&lt;&gt;"",VLOOKUP(J1360,HeadCount!A:I,5,0),"")</f>
        <v/>
      </c>
      <c r="P1360" s="19" t="str">
        <f t="shared" si="44"/>
        <v/>
      </c>
    </row>
    <row r="1361" spans="1:16" x14ac:dyDescent="0.3">
      <c r="A1361" s="19" t="str">
        <f t="shared" si="43"/>
        <v/>
      </c>
      <c r="K1361" s="21" t="str">
        <f>IF(J1361&lt;&gt;"",VLOOKUP(J1361,HeadCount!A:I,2,0),"")</f>
        <v/>
      </c>
      <c r="L1361" s="21" t="str">
        <f>IF(J1361&lt;&gt;"",VLOOKUP(J1361,HeadCount!A:I,5,0),"")</f>
        <v/>
      </c>
      <c r="P1361" s="19" t="str">
        <f t="shared" si="44"/>
        <v/>
      </c>
    </row>
    <row r="1362" spans="1:16" x14ac:dyDescent="0.3">
      <c r="A1362" s="19" t="str">
        <f t="shared" si="43"/>
        <v/>
      </c>
      <c r="K1362" s="21" t="str">
        <f>IF(J1362&lt;&gt;"",VLOOKUP(J1362,HeadCount!A:I,2,0),"")</f>
        <v/>
      </c>
      <c r="L1362" s="21" t="str">
        <f>IF(J1362&lt;&gt;"",VLOOKUP(J1362,HeadCount!A:I,5,0),"")</f>
        <v/>
      </c>
      <c r="P1362" s="19" t="str">
        <f t="shared" si="44"/>
        <v/>
      </c>
    </row>
    <row r="1363" spans="1:16" x14ac:dyDescent="0.3">
      <c r="A1363" s="19" t="str">
        <f t="shared" si="43"/>
        <v/>
      </c>
      <c r="K1363" s="21" t="str">
        <f>IF(J1363&lt;&gt;"",VLOOKUP(J1363,HeadCount!A:I,2,0),"")</f>
        <v/>
      </c>
      <c r="L1363" s="21" t="str">
        <f>IF(J1363&lt;&gt;"",VLOOKUP(J1363,HeadCount!A:I,5,0),"")</f>
        <v/>
      </c>
      <c r="P1363" s="19" t="str">
        <f t="shared" si="44"/>
        <v/>
      </c>
    </row>
    <row r="1364" spans="1:16" x14ac:dyDescent="0.3">
      <c r="A1364" s="19" t="str">
        <f t="shared" si="43"/>
        <v/>
      </c>
      <c r="K1364" s="21" t="str">
        <f>IF(J1364&lt;&gt;"",VLOOKUP(J1364,HeadCount!A:I,2,0),"")</f>
        <v/>
      </c>
      <c r="L1364" s="21" t="str">
        <f>IF(J1364&lt;&gt;"",VLOOKUP(J1364,HeadCount!A:I,5,0),"")</f>
        <v/>
      </c>
      <c r="P1364" s="19" t="str">
        <f t="shared" si="44"/>
        <v/>
      </c>
    </row>
    <row r="1365" spans="1:16" x14ac:dyDescent="0.3">
      <c r="A1365" s="19" t="str">
        <f t="shared" si="43"/>
        <v/>
      </c>
      <c r="K1365" s="21" t="str">
        <f>IF(J1365&lt;&gt;"",VLOOKUP(J1365,HeadCount!A:I,2,0),"")</f>
        <v/>
      </c>
      <c r="L1365" s="21" t="str">
        <f>IF(J1365&lt;&gt;"",VLOOKUP(J1365,HeadCount!A:I,5,0),"")</f>
        <v/>
      </c>
      <c r="P1365" s="19" t="str">
        <f t="shared" si="44"/>
        <v/>
      </c>
    </row>
    <row r="1366" spans="1:16" x14ac:dyDescent="0.3">
      <c r="A1366" s="19" t="str">
        <f t="shared" si="43"/>
        <v/>
      </c>
      <c r="K1366" s="21" t="str">
        <f>IF(J1366&lt;&gt;"",VLOOKUP(J1366,HeadCount!A:I,2,0),"")</f>
        <v/>
      </c>
      <c r="L1366" s="21" t="str">
        <f>IF(J1366&lt;&gt;"",VLOOKUP(J1366,HeadCount!A:I,5,0),"")</f>
        <v/>
      </c>
      <c r="P1366" s="19" t="str">
        <f t="shared" si="44"/>
        <v/>
      </c>
    </row>
    <row r="1367" spans="1:16" x14ac:dyDescent="0.3">
      <c r="A1367" s="19" t="str">
        <f t="shared" si="43"/>
        <v/>
      </c>
      <c r="E1367" s="37"/>
      <c r="K1367" s="21" t="str">
        <f>IF(J1367&lt;&gt;"",VLOOKUP(J1367,HeadCount!A:I,2,0),"")</f>
        <v/>
      </c>
      <c r="L1367" s="21" t="str">
        <f>IF(J1367&lt;&gt;"",VLOOKUP(J1367,HeadCount!A:I,5,0),"")</f>
        <v/>
      </c>
      <c r="P1367" s="19" t="str">
        <f t="shared" si="44"/>
        <v/>
      </c>
    </row>
    <row r="1368" spans="1:16" x14ac:dyDescent="0.3">
      <c r="A1368" s="19" t="str">
        <f t="shared" si="43"/>
        <v/>
      </c>
      <c r="K1368" s="21" t="str">
        <f>IF(J1368&lt;&gt;"",VLOOKUP(J1368,HeadCount!A:I,2,0),"")</f>
        <v/>
      </c>
      <c r="L1368" s="21" t="str">
        <f>IF(J1368&lt;&gt;"",VLOOKUP(J1368,HeadCount!A:I,5,0),"")</f>
        <v/>
      </c>
      <c r="P1368" s="19" t="str">
        <f t="shared" si="44"/>
        <v/>
      </c>
    </row>
    <row r="1369" spans="1:16" x14ac:dyDescent="0.3">
      <c r="A1369" s="19" t="str">
        <f t="shared" si="43"/>
        <v/>
      </c>
      <c r="K1369" s="21" t="str">
        <f>IF(J1369&lt;&gt;"",VLOOKUP(J1369,HeadCount!A:I,2,0),"")</f>
        <v/>
      </c>
      <c r="L1369" s="21" t="str">
        <f>IF(J1369&lt;&gt;"",VLOOKUP(J1369,HeadCount!A:I,5,0),"")</f>
        <v/>
      </c>
      <c r="P1369" s="19" t="str">
        <f t="shared" si="44"/>
        <v/>
      </c>
    </row>
    <row r="1370" spans="1:16" x14ac:dyDescent="0.3">
      <c r="A1370" s="19" t="str">
        <f t="shared" si="43"/>
        <v/>
      </c>
      <c r="K1370" s="21" t="str">
        <f>IF(J1370&lt;&gt;"",VLOOKUP(J1370,HeadCount!A:I,2,0),"")</f>
        <v/>
      </c>
      <c r="L1370" s="21" t="str">
        <f>IF(J1370&lt;&gt;"",VLOOKUP(J1370,HeadCount!A:I,5,0),"")</f>
        <v/>
      </c>
      <c r="P1370" s="19" t="str">
        <f t="shared" si="44"/>
        <v/>
      </c>
    </row>
    <row r="1371" spans="1:16" x14ac:dyDescent="0.3">
      <c r="A1371" s="19" t="str">
        <f t="shared" si="43"/>
        <v/>
      </c>
      <c r="K1371" s="21" t="str">
        <f>IF(J1371&lt;&gt;"",VLOOKUP(J1371,HeadCount!A:I,2,0),"")</f>
        <v/>
      </c>
      <c r="L1371" s="21" t="str">
        <f>IF(J1371&lt;&gt;"",VLOOKUP(J1371,HeadCount!A:I,5,0),"")</f>
        <v/>
      </c>
      <c r="P1371" s="19" t="str">
        <f t="shared" si="44"/>
        <v/>
      </c>
    </row>
    <row r="1372" spans="1:16" x14ac:dyDescent="0.3">
      <c r="A1372" s="19" t="str">
        <f t="shared" si="43"/>
        <v/>
      </c>
      <c r="K1372" s="21" t="str">
        <f>IF(J1372&lt;&gt;"",VLOOKUP(J1372,HeadCount!A:I,2,0),"")</f>
        <v/>
      </c>
      <c r="L1372" s="21" t="str">
        <f>IF(J1372&lt;&gt;"",VLOOKUP(J1372,HeadCount!A:I,5,0),"")</f>
        <v/>
      </c>
      <c r="P1372" s="19" t="str">
        <f t="shared" si="44"/>
        <v/>
      </c>
    </row>
    <row r="1373" spans="1:16" x14ac:dyDescent="0.3">
      <c r="A1373" s="19" t="str">
        <f t="shared" si="43"/>
        <v/>
      </c>
      <c r="E1373" s="31"/>
      <c r="K1373" s="21" t="str">
        <f>IF(J1373&lt;&gt;"",VLOOKUP(J1373,HeadCount!A:I,2,0),"")</f>
        <v/>
      </c>
      <c r="L1373" s="21" t="str">
        <f>IF(J1373&lt;&gt;"",VLOOKUP(J1373,HeadCount!A:I,5,0),"")</f>
        <v/>
      </c>
      <c r="P1373" s="19" t="str">
        <f t="shared" si="44"/>
        <v/>
      </c>
    </row>
    <row r="1374" spans="1:16" x14ac:dyDescent="0.3">
      <c r="A1374" s="19" t="str">
        <f t="shared" si="43"/>
        <v/>
      </c>
      <c r="K1374" s="21" t="str">
        <f>IF(J1374&lt;&gt;"",VLOOKUP(J1374,HeadCount!A:I,2,0),"")</f>
        <v/>
      </c>
      <c r="L1374" s="21" t="str">
        <f>IF(J1374&lt;&gt;"",VLOOKUP(J1374,HeadCount!A:I,5,0),"")</f>
        <v/>
      </c>
      <c r="P1374" s="19" t="str">
        <f t="shared" si="44"/>
        <v/>
      </c>
    </row>
    <row r="1375" spans="1:16" x14ac:dyDescent="0.3">
      <c r="A1375" s="19" t="str">
        <f t="shared" si="43"/>
        <v/>
      </c>
      <c r="K1375" s="21" t="str">
        <f>IF(J1375&lt;&gt;"",VLOOKUP(J1375,HeadCount!A:I,2,0),"")</f>
        <v/>
      </c>
      <c r="L1375" s="21" t="str">
        <f>IF(J1375&lt;&gt;"",VLOOKUP(J1375,HeadCount!A:I,5,0),"")</f>
        <v/>
      </c>
      <c r="P1375" s="19" t="str">
        <f t="shared" si="44"/>
        <v/>
      </c>
    </row>
    <row r="1376" spans="1:16" x14ac:dyDescent="0.3">
      <c r="A1376" s="19" t="str">
        <f t="shared" si="43"/>
        <v/>
      </c>
      <c r="K1376" s="21" t="str">
        <f>IF(J1376&lt;&gt;"",VLOOKUP(J1376,HeadCount!A:I,2,0),"")</f>
        <v/>
      </c>
      <c r="L1376" s="21" t="str">
        <f>IF(J1376&lt;&gt;"",VLOOKUP(J1376,HeadCount!A:I,5,0),"")</f>
        <v/>
      </c>
      <c r="P1376" s="19" t="str">
        <f t="shared" si="44"/>
        <v/>
      </c>
    </row>
    <row r="1377" spans="1:16" x14ac:dyDescent="0.3">
      <c r="A1377" s="19" t="str">
        <f t="shared" si="43"/>
        <v/>
      </c>
      <c r="K1377" s="21" t="str">
        <f>IF(J1377&lt;&gt;"",VLOOKUP(J1377,HeadCount!A:I,2,0),"")</f>
        <v/>
      </c>
      <c r="L1377" s="21" t="str">
        <f>IF(J1377&lt;&gt;"",VLOOKUP(J1377,HeadCount!A:I,5,0),"")</f>
        <v/>
      </c>
      <c r="P1377" s="19" t="str">
        <f t="shared" si="44"/>
        <v/>
      </c>
    </row>
    <row r="1378" spans="1:16" x14ac:dyDescent="0.3">
      <c r="A1378" s="19" t="str">
        <f t="shared" si="43"/>
        <v/>
      </c>
      <c r="K1378" s="21" t="str">
        <f>IF(J1378&lt;&gt;"",VLOOKUP(J1378,HeadCount!A:I,2,0),"")</f>
        <v/>
      </c>
      <c r="L1378" s="21" t="str">
        <f>IF(J1378&lt;&gt;"",VLOOKUP(J1378,HeadCount!A:I,5,0),"")</f>
        <v/>
      </c>
      <c r="P1378" s="19" t="str">
        <f t="shared" si="44"/>
        <v/>
      </c>
    </row>
    <row r="1379" spans="1:16" x14ac:dyDescent="0.3">
      <c r="A1379" s="19" t="str">
        <f t="shared" si="43"/>
        <v/>
      </c>
      <c r="K1379" s="21" t="str">
        <f>IF(J1379&lt;&gt;"",VLOOKUP(J1379,HeadCount!A:I,2,0),"")</f>
        <v/>
      </c>
      <c r="L1379" s="21" t="str">
        <f>IF(J1379&lt;&gt;"",VLOOKUP(J1379,HeadCount!A:I,5,0),"")</f>
        <v/>
      </c>
      <c r="P1379" s="19" t="str">
        <f t="shared" si="44"/>
        <v/>
      </c>
    </row>
    <row r="1380" spans="1:16" x14ac:dyDescent="0.3">
      <c r="A1380" s="19" t="str">
        <f t="shared" si="43"/>
        <v/>
      </c>
      <c r="K1380" s="21" t="str">
        <f>IF(J1380&lt;&gt;"",VLOOKUP(J1380,HeadCount!A:I,2,0),"")</f>
        <v/>
      </c>
      <c r="L1380" s="21" t="str">
        <f>IF(J1380&lt;&gt;"",VLOOKUP(J1380,HeadCount!A:I,5,0),"")</f>
        <v/>
      </c>
      <c r="P1380" s="19" t="str">
        <f t="shared" si="44"/>
        <v/>
      </c>
    </row>
    <row r="1381" spans="1:16" x14ac:dyDescent="0.3">
      <c r="A1381" s="19" t="str">
        <f t="shared" si="43"/>
        <v/>
      </c>
      <c r="K1381" s="21" t="str">
        <f>IF(J1381&lt;&gt;"",VLOOKUP(J1381,HeadCount!A:I,2,0),"")</f>
        <v/>
      </c>
      <c r="L1381" s="21" t="str">
        <f>IF(J1381&lt;&gt;"",VLOOKUP(J1381,HeadCount!A:I,5,0),"")</f>
        <v/>
      </c>
      <c r="P1381" s="19" t="str">
        <f t="shared" si="44"/>
        <v/>
      </c>
    </row>
    <row r="1382" spans="1:16" x14ac:dyDescent="0.3">
      <c r="A1382" s="19" t="str">
        <f t="shared" si="43"/>
        <v/>
      </c>
      <c r="K1382" s="21" t="str">
        <f>IF(J1382&lt;&gt;"",VLOOKUP(J1382,HeadCount!A:I,2,0),"")</f>
        <v/>
      </c>
      <c r="L1382" s="21" t="str">
        <f>IF(J1382&lt;&gt;"",VLOOKUP(J1382,HeadCount!A:I,5,0),"")</f>
        <v/>
      </c>
      <c r="P1382" s="19" t="str">
        <f t="shared" si="44"/>
        <v/>
      </c>
    </row>
    <row r="1383" spans="1:16" x14ac:dyDescent="0.3">
      <c r="A1383" s="19" t="str">
        <f t="shared" si="43"/>
        <v/>
      </c>
      <c r="K1383" s="21" t="str">
        <f>IF(J1383&lt;&gt;"",VLOOKUP(J1383,HeadCount!A:I,2,0),"")</f>
        <v/>
      </c>
      <c r="L1383" s="21" t="str">
        <f>IF(J1383&lt;&gt;"",VLOOKUP(J1383,HeadCount!A:I,5,0),"")</f>
        <v/>
      </c>
      <c r="P1383" s="19" t="str">
        <f t="shared" si="44"/>
        <v/>
      </c>
    </row>
    <row r="1384" spans="1:16" x14ac:dyDescent="0.3">
      <c r="A1384" s="19" t="str">
        <f t="shared" si="43"/>
        <v/>
      </c>
      <c r="K1384" s="21" t="str">
        <f>IF(J1384&lt;&gt;"",VLOOKUP(J1384,HeadCount!A:I,2,0),"")</f>
        <v/>
      </c>
      <c r="L1384" s="21" t="str">
        <f>IF(J1384&lt;&gt;"",VLOOKUP(J1384,HeadCount!A:I,5,0),"")</f>
        <v/>
      </c>
      <c r="P1384" s="19" t="str">
        <f t="shared" si="44"/>
        <v/>
      </c>
    </row>
    <row r="1385" spans="1:16" x14ac:dyDescent="0.3">
      <c r="A1385" s="19" t="str">
        <f t="shared" si="43"/>
        <v/>
      </c>
      <c r="K1385" s="21" t="str">
        <f>IF(J1385&lt;&gt;"",VLOOKUP(J1385,HeadCount!A:I,2,0),"")</f>
        <v/>
      </c>
      <c r="L1385" s="21" t="str">
        <f>IF(J1385&lt;&gt;"",VLOOKUP(J1385,HeadCount!A:I,5,0),"")</f>
        <v/>
      </c>
      <c r="P1385" s="19" t="str">
        <f t="shared" si="44"/>
        <v/>
      </c>
    </row>
    <row r="1386" spans="1:16" x14ac:dyDescent="0.3">
      <c r="A1386" s="19" t="str">
        <f t="shared" si="43"/>
        <v/>
      </c>
      <c r="K1386" s="21" t="str">
        <f>IF(J1386&lt;&gt;"",VLOOKUP(J1386,HeadCount!A:I,2,0),"")</f>
        <v/>
      </c>
      <c r="L1386" s="21" t="str">
        <f>IF(J1386&lt;&gt;"",VLOOKUP(J1386,HeadCount!A:I,5,0),"")</f>
        <v/>
      </c>
      <c r="P1386" s="19" t="str">
        <f t="shared" si="44"/>
        <v/>
      </c>
    </row>
    <row r="1387" spans="1:16" x14ac:dyDescent="0.3">
      <c r="A1387" s="19" t="str">
        <f t="shared" si="43"/>
        <v/>
      </c>
      <c r="E1387" s="37"/>
      <c r="K1387" s="21" t="str">
        <f>IF(J1387&lt;&gt;"",VLOOKUP(J1387,HeadCount!A:I,2,0),"")</f>
        <v/>
      </c>
      <c r="L1387" s="21" t="str">
        <f>IF(J1387&lt;&gt;"",VLOOKUP(J1387,HeadCount!A:I,5,0),"")</f>
        <v/>
      </c>
      <c r="P1387" s="19" t="str">
        <f t="shared" si="44"/>
        <v/>
      </c>
    </row>
    <row r="1388" spans="1:16" x14ac:dyDescent="0.3">
      <c r="A1388" s="19" t="str">
        <f t="shared" si="43"/>
        <v/>
      </c>
      <c r="K1388" s="21" t="str">
        <f>IF(J1388&lt;&gt;"",VLOOKUP(J1388,HeadCount!A:I,2,0),"")</f>
        <v/>
      </c>
      <c r="L1388" s="21" t="str">
        <f>IF(J1388&lt;&gt;"",VLOOKUP(J1388,HeadCount!A:I,5,0),"")</f>
        <v/>
      </c>
      <c r="P1388" s="19" t="str">
        <f t="shared" si="44"/>
        <v/>
      </c>
    </row>
    <row r="1389" spans="1:16" x14ac:dyDescent="0.3">
      <c r="A1389" s="19" t="str">
        <f t="shared" si="43"/>
        <v/>
      </c>
      <c r="K1389" s="21" t="str">
        <f>IF(J1389&lt;&gt;"",VLOOKUP(J1389,HeadCount!A:I,2,0),"")</f>
        <v/>
      </c>
      <c r="L1389" s="21" t="str">
        <f>IF(J1389&lt;&gt;"",VLOOKUP(J1389,HeadCount!A:I,5,0),"")</f>
        <v/>
      </c>
      <c r="P1389" s="19" t="str">
        <f t="shared" si="44"/>
        <v/>
      </c>
    </row>
    <row r="1390" spans="1:16" x14ac:dyDescent="0.3">
      <c r="A1390" s="19" t="str">
        <f t="shared" si="43"/>
        <v/>
      </c>
      <c r="K1390" s="21" t="str">
        <f>IF(J1390&lt;&gt;"",VLOOKUP(J1390,HeadCount!A:I,2,0),"")</f>
        <v/>
      </c>
      <c r="L1390" s="21" t="str">
        <f>IF(J1390&lt;&gt;"",VLOOKUP(J1390,HeadCount!A:I,5,0),"")</f>
        <v/>
      </c>
      <c r="P1390" s="19" t="str">
        <f t="shared" si="44"/>
        <v/>
      </c>
    </row>
    <row r="1391" spans="1:16" x14ac:dyDescent="0.3">
      <c r="A1391" s="19" t="str">
        <f t="shared" si="43"/>
        <v/>
      </c>
      <c r="K1391" s="21" t="str">
        <f>IF(J1391&lt;&gt;"",VLOOKUP(J1391,HeadCount!A:I,2,0),"")</f>
        <v/>
      </c>
      <c r="L1391" s="21" t="str">
        <f>IF(J1391&lt;&gt;"",VLOOKUP(J1391,HeadCount!A:I,5,0),"")</f>
        <v/>
      </c>
      <c r="P1391" s="19" t="str">
        <f t="shared" si="44"/>
        <v/>
      </c>
    </row>
    <row r="1392" spans="1:16" x14ac:dyDescent="0.3">
      <c r="A1392" s="19" t="str">
        <f t="shared" si="43"/>
        <v/>
      </c>
      <c r="K1392" s="21" t="str">
        <f>IF(J1392&lt;&gt;"",VLOOKUP(J1392,HeadCount!A:I,2,0),"")</f>
        <v/>
      </c>
      <c r="L1392" s="21" t="str">
        <f>IF(J1392&lt;&gt;"",VLOOKUP(J1392,HeadCount!A:I,5,0),"")</f>
        <v/>
      </c>
      <c r="P1392" s="19" t="str">
        <f t="shared" si="44"/>
        <v/>
      </c>
    </row>
    <row r="1393" spans="1:16" x14ac:dyDescent="0.3">
      <c r="A1393" s="19" t="str">
        <f t="shared" si="43"/>
        <v/>
      </c>
      <c r="K1393" s="21" t="str">
        <f>IF(J1393&lt;&gt;"",VLOOKUP(J1393,HeadCount!A:I,2,0),"")</f>
        <v/>
      </c>
      <c r="L1393" s="21" t="str">
        <f>IF(J1393&lt;&gt;"",VLOOKUP(J1393,HeadCount!A:I,5,0),"")</f>
        <v/>
      </c>
      <c r="P1393" s="19" t="str">
        <f t="shared" si="44"/>
        <v/>
      </c>
    </row>
    <row r="1394" spans="1:16" x14ac:dyDescent="0.3">
      <c r="A1394" s="19" t="str">
        <f t="shared" si="43"/>
        <v/>
      </c>
      <c r="K1394" s="21" t="str">
        <f>IF(J1394&lt;&gt;"",VLOOKUP(J1394,HeadCount!A:I,2,0),"")</f>
        <v/>
      </c>
      <c r="L1394" s="21" t="str">
        <f>IF(J1394&lt;&gt;"",VLOOKUP(J1394,HeadCount!A:I,5,0),"")</f>
        <v/>
      </c>
      <c r="P1394" s="19" t="str">
        <f t="shared" si="44"/>
        <v/>
      </c>
    </row>
    <row r="1395" spans="1:16" x14ac:dyDescent="0.3">
      <c r="A1395" s="19" t="str">
        <f t="shared" si="43"/>
        <v/>
      </c>
      <c r="K1395" s="21" t="str">
        <f>IF(J1395&lt;&gt;"",VLOOKUP(J1395,HeadCount!A:I,2,0),"")</f>
        <v/>
      </c>
      <c r="L1395" s="21" t="str">
        <f>IF(J1395&lt;&gt;"",VLOOKUP(J1395,HeadCount!A:I,5,0),"")</f>
        <v/>
      </c>
      <c r="P1395" s="19" t="str">
        <f t="shared" si="44"/>
        <v/>
      </c>
    </row>
    <row r="1396" spans="1:16" x14ac:dyDescent="0.3">
      <c r="A1396" s="19" t="str">
        <f t="shared" si="43"/>
        <v/>
      </c>
      <c r="K1396" s="21" t="str">
        <f>IF(J1396&lt;&gt;"",VLOOKUP(J1396,HeadCount!A:I,2,0),"")</f>
        <v/>
      </c>
      <c r="L1396" s="21" t="str">
        <f>IF(J1396&lt;&gt;"",VLOOKUP(J1396,HeadCount!A:I,5,0),"")</f>
        <v/>
      </c>
      <c r="P1396" s="19" t="str">
        <f t="shared" si="44"/>
        <v/>
      </c>
    </row>
    <row r="1397" spans="1:16" x14ac:dyDescent="0.3">
      <c r="A1397" s="19" t="str">
        <f t="shared" si="43"/>
        <v/>
      </c>
      <c r="K1397" s="21" t="str">
        <f>IF(J1397&lt;&gt;"",VLOOKUP(J1397,HeadCount!A:I,2,0),"")</f>
        <v/>
      </c>
      <c r="L1397" s="21" t="str">
        <f>IF(J1397&lt;&gt;"",VLOOKUP(J1397,HeadCount!A:I,5,0),"")</f>
        <v/>
      </c>
      <c r="P1397" s="19" t="str">
        <f t="shared" si="44"/>
        <v/>
      </c>
    </row>
    <row r="1398" spans="1:16" x14ac:dyDescent="0.3">
      <c r="A1398" s="19" t="str">
        <f t="shared" si="43"/>
        <v/>
      </c>
      <c r="K1398" s="21" t="str">
        <f>IF(J1398&lt;&gt;"",VLOOKUP(J1398,HeadCount!A:I,2,0),"")</f>
        <v/>
      </c>
      <c r="L1398" s="21" t="str">
        <f>IF(J1398&lt;&gt;"",VLOOKUP(J1398,HeadCount!A:I,5,0),"")</f>
        <v/>
      </c>
      <c r="P1398" s="19" t="str">
        <f t="shared" si="44"/>
        <v/>
      </c>
    </row>
    <row r="1399" spans="1:16" x14ac:dyDescent="0.3">
      <c r="A1399" s="19" t="str">
        <f t="shared" si="43"/>
        <v/>
      </c>
      <c r="K1399" s="21" t="str">
        <f>IF(J1399&lt;&gt;"",VLOOKUP(J1399,HeadCount!A:I,2,0),"")</f>
        <v/>
      </c>
      <c r="L1399" s="21" t="str">
        <f>IF(J1399&lt;&gt;"",VLOOKUP(J1399,HeadCount!A:I,5,0),"")</f>
        <v/>
      </c>
      <c r="P1399" s="19" t="str">
        <f t="shared" si="44"/>
        <v/>
      </c>
    </row>
    <row r="1400" spans="1:16" x14ac:dyDescent="0.3">
      <c r="A1400" s="19" t="str">
        <f t="shared" si="43"/>
        <v/>
      </c>
      <c r="K1400" s="21" t="str">
        <f>IF(J1400&lt;&gt;"",VLOOKUP(J1400,HeadCount!A:I,2,0),"")</f>
        <v/>
      </c>
      <c r="L1400" s="21" t="str">
        <f>IF(J1400&lt;&gt;"",VLOOKUP(J1400,HeadCount!A:I,5,0),"")</f>
        <v/>
      </c>
      <c r="P1400" s="19" t="str">
        <f t="shared" si="44"/>
        <v/>
      </c>
    </row>
    <row r="1401" spans="1:16" x14ac:dyDescent="0.3">
      <c r="A1401" s="19" t="str">
        <f t="shared" si="43"/>
        <v/>
      </c>
      <c r="K1401" s="21" t="str">
        <f>IF(J1401&lt;&gt;"",VLOOKUP(J1401,HeadCount!A:I,2,0),"")</f>
        <v/>
      </c>
      <c r="L1401" s="21" t="str">
        <f>IF(J1401&lt;&gt;"",VLOOKUP(J1401,HeadCount!A:I,5,0),"")</f>
        <v/>
      </c>
      <c r="P1401" s="19" t="str">
        <f t="shared" si="44"/>
        <v/>
      </c>
    </row>
    <row r="1402" spans="1:16" x14ac:dyDescent="0.3">
      <c r="A1402" s="19" t="str">
        <f t="shared" si="43"/>
        <v/>
      </c>
      <c r="K1402" s="21" t="str">
        <f>IF(J1402&lt;&gt;"",VLOOKUP(J1402,HeadCount!A:I,2,0),"")</f>
        <v/>
      </c>
      <c r="L1402" s="21" t="str">
        <f>IF(J1402&lt;&gt;"",VLOOKUP(J1402,HeadCount!A:I,5,0),"")</f>
        <v/>
      </c>
      <c r="P1402" s="19" t="str">
        <f t="shared" si="44"/>
        <v/>
      </c>
    </row>
    <row r="1403" spans="1:16" x14ac:dyDescent="0.3">
      <c r="A1403" s="19" t="str">
        <f t="shared" si="43"/>
        <v/>
      </c>
      <c r="K1403" s="21" t="str">
        <f>IF(J1403&lt;&gt;"",VLOOKUP(J1403,HeadCount!A:I,2,0),"")</f>
        <v/>
      </c>
      <c r="L1403" s="21" t="str">
        <f>IF(J1403&lt;&gt;"",VLOOKUP(J1403,HeadCount!A:I,5,0),"")</f>
        <v/>
      </c>
      <c r="P1403" s="19" t="str">
        <f t="shared" si="44"/>
        <v/>
      </c>
    </row>
    <row r="1404" spans="1:16" x14ac:dyDescent="0.3">
      <c r="A1404" s="19" t="str">
        <f t="shared" si="43"/>
        <v/>
      </c>
      <c r="K1404" s="21" t="str">
        <f>IF(J1404&lt;&gt;"",VLOOKUP(J1404,HeadCount!A:I,2,0),"")</f>
        <v/>
      </c>
      <c r="L1404" s="21" t="str">
        <f>IF(J1404&lt;&gt;"",VLOOKUP(J1404,HeadCount!A:I,5,0),"")</f>
        <v/>
      </c>
      <c r="P1404" s="19" t="str">
        <f t="shared" si="44"/>
        <v/>
      </c>
    </row>
    <row r="1405" spans="1:16" x14ac:dyDescent="0.3">
      <c r="A1405" s="19" t="str">
        <f t="shared" si="43"/>
        <v/>
      </c>
      <c r="K1405" s="21" t="str">
        <f>IF(J1405&lt;&gt;"",VLOOKUP(J1405,HeadCount!A:I,2,0),"")</f>
        <v/>
      </c>
      <c r="L1405" s="21" t="str">
        <f>IF(J1405&lt;&gt;"",VLOOKUP(J1405,HeadCount!A:I,5,0),"")</f>
        <v/>
      </c>
      <c r="P1405" s="19" t="str">
        <f t="shared" si="44"/>
        <v/>
      </c>
    </row>
    <row r="1406" spans="1:16" x14ac:dyDescent="0.3">
      <c r="A1406" s="19" t="str">
        <f t="shared" si="43"/>
        <v/>
      </c>
      <c r="K1406" s="21" t="str">
        <f>IF(J1406&lt;&gt;"",VLOOKUP(J1406,HeadCount!A:I,2,0),"")</f>
        <v/>
      </c>
      <c r="L1406" s="21" t="str">
        <f>IF(J1406&lt;&gt;"",VLOOKUP(J1406,HeadCount!A:I,5,0),"")</f>
        <v/>
      </c>
      <c r="P1406" s="19" t="str">
        <f t="shared" si="44"/>
        <v/>
      </c>
    </row>
    <row r="1407" spans="1:16" x14ac:dyDescent="0.3">
      <c r="A1407" s="19" t="str">
        <f t="shared" si="43"/>
        <v/>
      </c>
      <c r="K1407" s="21" t="str">
        <f>IF(J1407&lt;&gt;"",VLOOKUP(J1407,HeadCount!A:I,2,0),"")</f>
        <v/>
      </c>
      <c r="L1407" s="21" t="str">
        <f>IF(J1407&lt;&gt;"",VLOOKUP(J1407,HeadCount!A:I,5,0),"")</f>
        <v/>
      </c>
      <c r="P1407" s="19" t="str">
        <f t="shared" si="44"/>
        <v/>
      </c>
    </row>
    <row r="1408" spans="1:16" x14ac:dyDescent="0.3">
      <c r="A1408" s="19" t="str">
        <f t="shared" si="43"/>
        <v/>
      </c>
      <c r="K1408" s="21" t="str">
        <f>IF(J1408&lt;&gt;"",VLOOKUP(J1408,HeadCount!A:I,2,0),"")</f>
        <v/>
      </c>
      <c r="L1408" s="21" t="str">
        <f>IF(J1408&lt;&gt;"",VLOOKUP(J1408,HeadCount!A:I,5,0),"")</f>
        <v/>
      </c>
      <c r="P1408" s="19" t="str">
        <f t="shared" si="44"/>
        <v/>
      </c>
    </row>
    <row r="1409" spans="1:16" x14ac:dyDescent="0.3">
      <c r="A1409" s="19" t="str">
        <f t="shared" si="43"/>
        <v/>
      </c>
      <c r="K1409" s="21" t="str">
        <f>IF(J1409&lt;&gt;"",VLOOKUP(J1409,HeadCount!A:I,2,0),"")</f>
        <v/>
      </c>
      <c r="L1409" s="21" t="str">
        <f>IF(J1409&lt;&gt;"",VLOOKUP(J1409,HeadCount!A:I,5,0),"")</f>
        <v/>
      </c>
      <c r="P1409" s="19" t="str">
        <f t="shared" si="44"/>
        <v/>
      </c>
    </row>
    <row r="1410" spans="1:16" x14ac:dyDescent="0.3">
      <c r="A1410" s="19" t="str">
        <f t="shared" ref="A1410:A1473" si="45">IF(C1410&lt;&gt;"",ROW(A1409),"")</f>
        <v/>
      </c>
      <c r="K1410" s="21" t="str">
        <f>IF(J1410&lt;&gt;"",VLOOKUP(J1410,HeadCount!A:I,2,0),"")</f>
        <v/>
      </c>
      <c r="L1410" s="21" t="str">
        <f>IF(J1410&lt;&gt;"",VLOOKUP(J1410,HeadCount!A:I,5,0),"")</f>
        <v/>
      </c>
      <c r="P1410" s="19" t="str">
        <f t="shared" si="44"/>
        <v/>
      </c>
    </row>
    <row r="1411" spans="1:16" x14ac:dyDescent="0.3">
      <c r="A1411" s="19" t="str">
        <f t="shared" si="45"/>
        <v/>
      </c>
      <c r="K1411" s="21" t="str">
        <f>IF(J1411&lt;&gt;"",VLOOKUP(J1411,HeadCount!A:I,2,0),"")</f>
        <v/>
      </c>
      <c r="L1411" s="21" t="str">
        <f>IF(J1411&lt;&gt;"",VLOOKUP(J1411,HeadCount!A:I,5,0),"")</f>
        <v/>
      </c>
      <c r="P1411" s="19" t="str">
        <f t="shared" ref="P1411:P1474" si="46">IF(N1411="","",(O1411-N1411)+1)</f>
        <v/>
      </c>
    </row>
    <row r="1412" spans="1:16" x14ac:dyDescent="0.3">
      <c r="A1412" s="19" t="str">
        <f t="shared" si="45"/>
        <v/>
      </c>
      <c r="K1412" s="21" t="str">
        <f>IF(J1412&lt;&gt;"",VLOOKUP(J1412,HeadCount!A:I,2,0),"")</f>
        <v/>
      </c>
      <c r="L1412" s="21" t="str">
        <f>IF(J1412&lt;&gt;"",VLOOKUP(J1412,HeadCount!A:I,5,0),"")</f>
        <v/>
      </c>
      <c r="P1412" s="19" t="str">
        <f t="shared" si="46"/>
        <v/>
      </c>
    </row>
    <row r="1413" spans="1:16" x14ac:dyDescent="0.3">
      <c r="A1413" s="19" t="str">
        <f t="shared" si="45"/>
        <v/>
      </c>
      <c r="K1413" s="21" t="str">
        <f>IF(J1413&lt;&gt;"",VLOOKUP(J1413,HeadCount!A:I,2,0),"")</f>
        <v/>
      </c>
      <c r="L1413" s="21" t="str">
        <f>IF(J1413&lt;&gt;"",VLOOKUP(J1413,HeadCount!A:I,5,0),"")</f>
        <v/>
      </c>
      <c r="P1413" s="19" t="str">
        <f t="shared" si="46"/>
        <v/>
      </c>
    </row>
    <row r="1414" spans="1:16" x14ac:dyDescent="0.3">
      <c r="A1414" s="19" t="str">
        <f t="shared" si="45"/>
        <v/>
      </c>
      <c r="K1414" s="21" t="str">
        <f>IF(J1414&lt;&gt;"",VLOOKUP(J1414,HeadCount!A:I,2,0),"")</f>
        <v/>
      </c>
      <c r="L1414" s="21" t="str">
        <f>IF(J1414&lt;&gt;"",VLOOKUP(J1414,HeadCount!A:I,5,0),"")</f>
        <v/>
      </c>
      <c r="P1414" s="19" t="str">
        <f t="shared" si="46"/>
        <v/>
      </c>
    </row>
    <row r="1415" spans="1:16" x14ac:dyDescent="0.3">
      <c r="A1415" s="19" t="str">
        <f t="shared" si="45"/>
        <v/>
      </c>
      <c r="K1415" s="21" t="str">
        <f>IF(J1415&lt;&gt;"",VLOOKUP(J1415,HeadCount!A:I,2,0),"")</f>
        <v/>
      </c>
      <c r="L1415" s="21" t="str">
        <f>IF(J1415&lt;&gt;"",VLOOKUP(J1415,HeadCount!A:I,5,0),"")</f>
        <v/>
      </c>
      <c r="P1415" s="19" t="str">
        <f t="shared" si="46"/>
        <v/>
      </c>
    </row>
    <row r="1416" spans="1:16" x14ac:dyDescent="0.3">
      <c r="A1416" s="19" t="str">
        <f t="shared" si="45"/>
        <v/>
      </c>
      <c r="K1416" s="21" t="str">
        <f>IF(J1416&lt;&gt;"",VLOOKUP(J1416,HeadCount!A:I,2,0),"")</f>
        <v/>
      </c>
      <c r="L1416" s="21" t="str">
        <f>IF(J1416&lt;&gt;"",VLOOKUP(J1416,HeadCount!A:I,5,0),"")</f>
        <v/>
      </c>
      <c r="P1416" s="19" t="str">
        <f t="shared" si="46"/>
        <v/>
      </c>
    </row>
    <row r="1417" spans="1:16" x14ac:dyDescent="0.3">
      <c r="A1417" s="19" t="str">
        <f t="shared" si="45"/>
        <v/>
      </c>
      <c r="K1417" s="21" t="str">
        <f>IF(J1417&lt;&gt;"",VLOOKUP(J1417,HeadCount!A:I,2,0),"")</f>
        <v/>
      </c>
      <c r="L1417" s="21" t="str">
        <f>IF(J1417&lt;&gt;"",VLOOKUP(J1417,HeadCount!A:I,5,0),"")</f>
        <v/>
      </c>
      <c r="P1417" s="19" t="str">
        <f t="shared" si="46"/>
        <v/>
      </c>
    </row>
    <row r="1418" spans="1:16" x14ac:dyDescent="0.3">
      <c r="A1418" s="19" t="str">
        <f t="shared" si="45"/>
        <v/>
      </c>
      <c r="K1418" s="21" t="str">
        <f>IF(J1418&lt;&gt;"",VLOOKUP(J1418,HeadCount!A:I,2,0),"")</f>
        <v/>
      </c>
      <c r="L1418" s="21" t="str">
        <f>IF(J1418&lt;&gt;"",VLOOKUP(J1418,HeadCount!A:I,5,0),"")</f>
        <v/>
      </c>
      <c r="P1418" s="19" t="str">
        <f t="shared" si="46"/>
        <v/>
      </c>
    </row>
    <row r="1419" spans="1:16" x14ac:dyDescent="0.3">
      <c r="A1419" s="19" t="str">
        <f t="shared" si="45"/>
        <v/>
      </c>
      <c r="K1419" s="21" t="str">
        <f>IF(J1419&lt;&gt;"",VLOOKUP(J1419,HeadCount!A:I,2,0),"")</f>
        <v/>
      </c>
      <c r="L1419" s="21" t="str">
        <f>IF(J1419&lt;&gt;"",VLOOKUP(J1419,HeadCount!A:I,5,0),"")</f>
        <v/>
      </c>
      <c r="P1419" s="19" t="str">
        <f t="shared" si="46"/>
        <v/>
      </c>
    </row>
    <row r="1420" spans="1:16" x14ac:dyDescent="0.3">
      <c r="A1420" s="19" t="str">
        <f t="shared" si="45"/>
        <v/>
      </c>
      <c r="J1420" s="34"/>
      <c r="K1420" s="21" t="str">
        <f>IF(J1420&lt;&gt;"",VLOOKUP(J1420,HeadCount!A:I,2,0),"")</f>
        <v/>
      </c>
      <c r="L1420" s="21" t="str">
        <f>IF(J1420&lt;&gt;"",VLOOKUP(J1420,HeadCount!A:I,5,0),"")</f>
        <v/>
      </c>
      <c r="P1420" s="19" t="str">
        <f t="shared" si="46"/>
        <v/>
      </c>
    </row>
    <row r="1421" spans="1:16" x14ac:dyDescent="0.3">
      <c r="A1421" s="19" t="str">
        <f t="shared" si="45"/>
        <v/>
      </c>
      <c r="K1421" s="21" t="str">
        <f>IF(J1421&lt;&gt;"",VLOOKUP(J1421,HeadCount!A:I,2,0),"")</f>
        <v/>
      </c>
      <c r="L1421" s="21" t="str">
        <f>IF(J1421&lt;&gt;"",VLOOKUP(J1421,HeadCount!A:I,5,0),"")</f>
        <v/>
      </c>
      <c r="P1421" s="19" t="str">
        <f t="shared" si="46"/>
        <v/>
      </c>
    </row>
    <row r="1422" spans="1:16" x14ac:dyDescent="0.3">
      <c r="A1422" s="19" t="str">
        <f t="shared" si="45"/>
        <v/>
      </c>
      <c r="K1422" s="21" t="str">
        <f>IF(J1422&lt;&gt;"",VLOOKUP(J1422,HeadCount!A:I,2,0),"")</f>
        <v/>
      </c>
      <c r="L1422" s="21" t="str">
        <f>IF(J1422&lt;&gt;"",VLOOKUP(J1422,HeadCount!A:I,5,0),"")</f>
        <v/>
      </c>
      <c r="P1422" s="19" t="str">
        <f t="shared" si="46"/>
        <v/>
      </c>
    </row>
    <row r="1423" spans="1:16" x14ac:dyDescent="0.3">
      <c r="A1423" s="19" t="str">
        <f t="shared" si="45"/>
        <v/>
      </c>
      <c r="K1423" s="21" t="str">
        <f>IF(J1423&lt;&gt;"",VLOOKUP(J1423,HeadCount!A:I,2,0),"")</f>
        <v/>
      </c>
      <c r="L1423" s="21" t="str">
        <f>IF(J1423&lt;&gt;"",VLOOKUP(J1423,HeadCount!A:I,5,0),"")</f>
        <v/>
      </c>
      <c r="P1423" s="19" t="str">
        <f t="shared" si="46"/>
        <v/>
      </c>
    </row>
    <row r="1424" spans="1:16" x14ac:dyDescent="0.3">
      <c r="A1424" s="19" t="str">
        <f t="shared" si="45"/>
        <v/>
      </c>
      <c r="K1424" s="21" t="str">
        <f>IF(J1424&lt;&gt;"",VLOOKUP(J1424,HeadCount!A:I,2,0),"")</f>
        <v/>
      </c>
      <c r="L1424" s="21" t="str">
        <f>IF(J1424&lt;&gt;"",VLOOKUP(J1424,HeadCount!A:I,5,0),"")</f>
        <v/>
      </c>
      <c r="P1424" s="19" t="str">
        <f t="shared" si="46"/>
        <v/>
      </c>
    </row>
    <row r="1425" spans="1:16" x14ac:dyDescent="0.3">
      <c r="A1425" s="19" t="str">
        <f t="shared" si="45"/>
        <v/>
      </c>
      <c r="K1425" s="21" t="str">
        <f>IF(J1425&lt;&gt;"",VLOOKUP(J1425,HeadCount!A:I,2,0),"")</f>
        <v/>
      </c>
      <c r="L1425" s="21" t="str">
        <f>IF(J1425&lt;&gt;"",VLOOKUP(J1425,HeadCount!A:I,5,0),"")</f>
        <v/>
      </c>
      <c r="P1425" s="19" t="str">
        <f t="shared" si="46"/>
        <v/>
      </c>
    </row>
    <row r="1426" spans="1:16" x14ac:dyDescent="0.3">
      <c r="A1426" s="19" t="str">
        <f t="shared" si="45"/>
        <v/>
      </c>
      <c r="K1426" s="21" t="str">
        <f>IF(J1426&lt;&gt;"",VLOOKUP(J1426,HeadCount!A:I,2,0),"")</f>
        <v/>
      </c>
      <c r="L1426" s="21" t="str">
        <f>IF(J1426&lt;&gt;"",VLOOKUP(J1426,HeadCount!A:I,5,0),"")</f>
        <v/>
      </c>
      <c r="P1426" s="19" t="str">
        <f t="shared" si="46"/>
        <v/>
      </c>
    </row>
    <row r="1427" spans="1:16" x14ac:dyDescent="0.3">
      <c r="A1427" s="19" t="str">
        <f t="shared" si="45"/>
        <v/>
      </c>
      <c r="E1427" s="37"/>
      <c r="K1427" s="21" t="str">
        <f>IF(J1427&lt;&gt;"",VLOOKUP(J1427,HeadCount!A:I,2,0),"")</f>
        <v/>
      </c>
      <c r="L1427" s="21" t="str">
        <f>IF(J1427&lt;&gt;"",VLOOKUP(J1427,HeadCount!A:I,5,0),"")</f>
        <v/>
      </c>
      <c r="P1427" s="19" t="str">
        <f t="shared" si="46"/>
        <v/>
      </c>
    </row>
    <row r="1428" spans="1:16" x14ac:dyDescent="0.3">
      <c r="A1428" s="19" t="str">
        <f t="shared" si="45"/>
        <v/>
      </c>
      <c r="K1428" s="21" t="str">
        <f>IF(J1428&lt;&gt;"",VLOOKUP(J1428,HeadCount!A:I,2,0),"")</f>
        <v/>
      </c>
      <c r="L1428" s="21" t="str">
        <f>IF(J1428&lt;&gt;"",VLOOKUP(J1428,HeadCount!A:I,5,0),"")</f>
        <v/>
      </c>
      <c r="P1428" s="19" t="str">
        <f t="shared" si="46"/>
        <v/>
      </c>
    </row>
    <row r="1429" spans="1:16" x14ac:dyDescent="0.3">
      <c r="A1429" s="19" t="str">
        <f t="shared" si="45"/>
        <v/>
      </c>
      <c r="E1429" s="31"/>
      <c r="K1429" s="21" t="str">
        <f>IF(J1429&lt;&gt;"",VLOOKUP(J1429,HeadCount!A:I,2,0),"")</f>
        <v/>
      </c>
      <c r="L1429" s="21" t="str">
        <f>IF(J1429&lt;&gt;"",VLOOKUP(J1429,HeadCount!A:I,5,0),"")</f>
        <v/>
      </c>
      <c r="P1429" s="19" t="str">
        <f t="shared" si="46"/>
        <v/>
      </c>
    </row>
    <row r="1430" spans="1:16" x14ac:dyDescent="0.3">
      <c r="A1430" s="19" t="str">
        <f t="shared" si="45"/>
        <v/>
      </c>
      <c r="J1430" s="34"/>
      <c r="K1430" s="21" t="str">
        <f>IF(J1430&lt;&gt;"",VLOOKUP(J1430,HeadCount!A:I,2,0),"")</f>
        <v/>
      </c>
      <c r="L1430" s="21" t="str">
        <f>IF(J1430&lt;&gt;"",VLOOKUP(J1430,HeadCount!A:I,5,0),"")</f>
        <v/>
      </c>
      <c r="P1430" s="19" t="str">
        <f t="shared" si="46"/>
        <v/>
      </c>
    </row>
    <row r="1431" spans="1:16" x14ac:dyDescent="0.3">
      <c r="A1431" s="19" t="str">
        <f t="shared" si="45"/>
        <v/>
      </c>
      <c r="K1431" s="21" t="str">
        <f>IF(J1431&lt;&gt;"",VLOOKUP(J1431,HeadCount!A:I,2,0),"")</f>
        <v/>
      </c>
      <c r="L1431" s="21" t="str">
        <f>IF(J1431&lt;&gt;"",VLOOKUP(J1431,HeadCount!A:I,5,0),"")</f>
        <v/>
      </c>
      <c r="P1431" s="19" t="str">
        <f t="shared" si="46"/>
        <v/>
      </c>
    </row>
    <row r="1432" spans="1:16" x14ac:dyDescent="0.3">
      <c r="A1432" s="19" t="str">
        <f t="shared" si="45"/>
        <v/>
      </c>
      <c r="K1432" s="21" t="str">
        <f>IF(J1432&lt;&gt;"",VLOOKUP(J1432,HeadCount!A:I,2,0),"")</f>
        <v/>
      </c>
      <c r="L1432" s="21" t="str">
        <f>IF(J1432&lt;&gt;"",VLOOKUP(J1432,HeadCount!A:I,5,0),"")</f>
        <v/>
      </c>
      <c r="P1432" s="19" t="str">
        <f t="shared" si="46"/>
        <v/>
      </c>
    </row>
    <row r="1433" spans="1:16" x14ac:dyDescent="0.3">
      <c r="A1433" s="19" t="str">
        <f t="shared" si="45"/>
        <v/>
      </c>
      <c r="K1433" s="21" t="str">
        <f>IF(J1433&lt;&gt;"",VLOOKUP(J1433,HeadCount!A:I,2,0),"")</f>
        <v/>
      </c>
      <c r="L1433" s="21" t="str">
        <f>IF(J1433&lt;&gt;"",VLOOKUP(J1433,HeadCount!A:I,5,0),"")</f>
        <v/>
      </c>
      <c r="P1433" s="19" t="str">
        <f t="shared" si="46"/>
        <v/>
      </c>
    </row>
    <row r="1434" spans="1:16" x14ac:dyDescent="0.3">
      <c r="A1434" s="19" t="str">
        <f t="shared" si="45"/>
        <v/>
      </c>
      <c r="K1434" s="21" t="str">
        <f>IF(J1434&lt;&gt;"",VLOOKUP(J1434,HeadCount!A:I,2,0),"")</f>
        <v/>
      </c>
      <c r="L1434" s="21" t="str">
        <f>IF(J1434&lt;&gt;"",VLOOKUP(J1434,HeadCount!A:I,5,0),"")</f>
        <v/>
      </c>
      <c r="P1434" s="19" t="str">
        <f t="shared" si="46"/>
        <v/>
      </c>
    </row>
    <row r="1435" spans="1:16" x14ac:dyDescent="0.3">
      <c r="A1435" s="19" t="str">
        <f t="shared" si="45"/>
        <v/>
      </c>
      <c r="K1435" s="21" t="str">
        <f>IF(J1435&lt;&gt;"",VLOOKUP(J1435,HeadCount!A:I,2,0),"")</f>
        <v/>
      </c>
      <c r="L1435" s="21" t="str">
        <f>IF(J1435&lt;&gt;"",VLOOKUP(J1435,HeadCount!A:I,5,0),"")</f>
        <v/>
      </c>
      <c r="P1435" s="19" t="str">
        <f t="shared" si="46"/>
        <v/>
      </c>
    </row>
    <row r="1436" spans="1:16" x14ac:dyDescent="0.3">
      <c r="A1436" s="19" t="str">
        <f t="shared" si="45"/>
        <v/>
      </c>
      <c r="K1436" s="21" t="str">
        <f>IF(J1436&lt;&gt;"",VLOOKUP(J1436,HeadCount!A:I,2,0),"")</f>
        <v/>
      </c>
      <c r="L1436" s="21" t="str">
        <f>IF(J1436&lt;&gt;"",VLOOKUP(J1436,HeadCount!A:I,5,0),"")</f>
        <v/>
      </c>
      <c r="P1436" s="19" t="str">
        <f t="shared" si="46"/>
        <v/>
      </c>
    </row>
    <row r="1437" spans="1:16" x14ac:dyDescent="0.3">
      <c r="A1437" s="19" t="str">
        <f t="shared" si="45"/>
        <v/>
      </c>
      <c r="K1437" s="21" t="str">
        <f>IF(J1437&lt;&gt;"",VLOOKUP(J1437,HeadCount!A:I,2,0),"")</f>
        <v/>
      </c>
      <c r="L1437" s="21" t="str">
        <f>IF(J1437&lt;&gt;"",VLOOKUP(J1437,HeadCount!A:I,5,0),"")</f>
        <v/>
      </c>
      <c r="P1437" s="19" t="str">
        <f t="shared" si="46"/>
        <v/>
      </c>
    </row>
    <row r="1438" spans="1:16" x14ac:dyDescent="0.3">
      <c r="A1438" s="19" t="str">
        <f t="shared" si="45"/>
        <v/>
      </c>
      <c r="K1438" s="21" t="str">
        <f>IF(J1438&lt;&gt;"",VLOOKUP(J1438,HeadCount!A:I,2,0),"")</f>
        <v/>
      </c>
      <c r="L1438" s="21" t="str">
        <f>IF(J1438&lt;&gt;"",VLOOKUP(J1438,HeadCount!A:I,5,0),"")</f>
        <v/>
      </c>
      <c r="P1438" s="19" t="str">
        <f t="shared" si="46"/>
        <v/>
      </c>
    </row>
    <row r="1439" spans="1:16" x14ac:dyDescent="0.3">
      <c r="A1439" s="19" t="str">
        <f t="shared" si="45"/>
        <v/>
      </c>
      <c r="K1439" s="21" t="str">
        <f>IF(J1439&lt;&gt;"",VLOOKUP(J1439,HeadCount!A:I,2,0),"")</f>
        <v/>
      </c>
      <c r="L1439" s="21" t="str">
        <f>IF(J1439&lt;&gt;"",VLOOKUP(J1439,HeadCount!A:I,5,0),"")</f>
        <v/>
      </c>
      <c r="P1439" s="19" t="str">
        <f t="shared" si="46"/>
        <v/>
      </c>
    </row>
    <row r="1440" spans="1:16" x14ac:dyDescent="0.3">
      <c r="A1440" s="19" t="str">
        <f t="shared" si="45"/>
        <v/>
      </c>
      <c r="K1440" s="21" t="str">
        <f>IF(J1440&lt;&gt;"",VLOOKUP(J1440,HeadCount!A:I,2,0),"")</f>
        <v/>
      </c>
      <c r="L1440" s="21" t="str">
        <f>IF(J1440&lt;&gt;"",VLOOKUP(J1440,HeadCount!A:I,5,0),"")</f>
        <v/>
      </c>
      <c r="P1440" s="19" t="str">
        <f t="shared" si="46"/>
        <v/>
      </c>
    </row>
    <row r="1441" spans="1:16" x14ac:dyDescent="0.3">
      <c r="A1441" s="19" t="str">
        <f t="shared" si="45"/>
        <v/>
      </c>
      <c r="K1441" s="21" t="str">
        <f>IF(J1441&lt;&gt;"",VLOOKUP(J1441,HeadCount!A:I,2,0),"")</f>
        <v/>
      </c>
      <c r="L1441" s="21" t="str">
        <f>IF(J1441&lt;&gt;"",VLOOKUP(J1441,HeadCount!A:I,5,0),"")</f>
        <v/>
      </c>
      <c r="P1441" s="19" t="str">
        <f t="shared" si="46"/>
        <v/>
      </c>
    </row>
    <row r="1442" spans="1:16" x14ac:dyDescent="0.3">
      <c r="A1442" s="19" t="str">
        <f t="shared" si="45"/>
        <v/>
      </c>
      <c r="K1442" s="21" t="str">
        <f>IF(J1442&lt;&gt;"",VLOOKUP(J1442,HeadCount!A:I,2,0),"")</f>
        <v/>
      </c>
      <c r="L1442" s="21" t="str">
        <f>IF(J1442&lt;&gt;"",VLOOKUP(J1442,HeadCount!A:I,5,0),"")</f>
        <v/>
      </c>
      <c r="P1442" s="19" t="str">
        <f t="shared" si="46"/>
        <v/>
      </c>
    </row>
    <row r="1443" spans="1:16" x14ac:dyDescent="0.3">
      <c r="A1443" s="19" t="str">
        <f t="shared" si="45"/>
        <v/>
      </c>
      <c r="K1443" s="21" t="str">
        <f>IF(J1443&lt;&gt;"",VLOOKUP(J1443,HeadCount!A:I,2,0),"")</f>
        <v/>
      </c>
      <c r="L1443" s="21" t="str">
        <f>IF(J1443&lt;&gt;"",VLOOKUP(J1443,HeadCount!A:I,5,0),"")</f>
        <v/>
      </c>
      <c r="P1443" s="19" t="str">
        <f t="shared" si="46"/>
        <v/>
      </c>
    </row>
    <row r="1444" spans="1:16" x14ac:dyDescent="0.3">
      <c r="A1444" s="19" t="str">
        <f t="shared" si="45"/>
        <v/>
      </c>
      <c r="K1444" s="21" t="str">
        <f>IF(J1444&lt;&gt;"",VLOOKUP(J1444,HeadCount!A:I,2,0),"")</f>
        <v/>
      </c>
      <c r="L1444" s="21" t="str">
        <f>IF(J1444&lt;&gt;"",VLOOKUP(J1444,HeadCount!A:I,5,0),"")</f>
        <v/>
      </c>
      <c r="P1444" s="19" t="str">
        <f t="shared" si="46"/>
        <v/>
      </c>
    </row>
    <row r="1445" spans="1:16" x14ac:dyDescent="0.3">
      <c r="A1445" s="19" t="str">
        <f t="shared" si="45"/>
        <v/>
      </c>
      <c r="K1445" s="21" t="str">
        <f>IF(J1445&lt;&gt;"",VLOOKUP(J1445,HeadCount!A:I,2,0),"")</f>
        <v/>
      </c>
      <c r="L1445" s="21" t="str">
        <f>IF(J1445&lt;&gt;"",VLOOKUP(J1445,HeadCount!A:I,5,0),"")</f>
        <v/>
      </c>
      <c r="P1445" s="19" t="str">
        <f t="shared" si="46"/>
        <v/>
      </c>
    </row>
    <row r="1446" spans="1:16" x14ac:dyDescent="0.3">
      <c r="A1446" s="19" t="str">
        <f t="shared" si="45"/>
        <v/>
      </c>
      <c r="K1446" s="21" t="str">
        <f>IF(J1446&lt;&gt;"",VLOOKUP(J1446,HeadCount!A:I,2,0),"")</f>
        <v/>
      </c>
      <c r="L1446" s="21" t="str">
        <f>IF(J1446&lt;&gt;"",VLOOKUP(J1446,HeadCount!A:I,5,0),"")</f>
        <v/>
      </c>
      <c r="P1446" s="19" t="str">
        <f t="shared" si="46"/>
        <v/>
      </c>
    </row>
    <row r="1447" spans="1:16" x14ac:dyDescent="0.3">
      <c r="A1447" s="19" t="str">
        <f t="shared" si="45"/>
        <v/>
      </c>
      <c r="K1447" s="21" t="str">
        <f>IF(J1447&lt;&gt;"",VLOOKUP(J1447,HeadCount!A:I,2,0),"")</f>
        <v/>
      </c>
      <c r="L1447" s="21" t="str">
        <f>IF(J1447&lt;&gt;"",VLOOKUP(J1447,HeadCount!A:I,5,0),"")</f>
        <v/>
      </c>
      <c r="P1447" s="19" t="str">
        <f t="shared" si="46"/>
        <v/>
      </c>
    </row>
    <row r="1448" spans="1:16" x14ac:dyDescent="0.3">
      <c r="A1448" s="19" t="str">
        <f t="shared" si="45"/>
        <v/>
      </c>
      <c r="E1448" s="37"/>
      <c r="K1448" s="21" t="str">
        <f>IF(J1448&lt;&gt;"",VLOOKUP(J1448,HeadCount!A:I,2,0),"")</f>
        <v/>
      </c>
      <c r="L1448" s="21" t="str">
        <f>IF(J1448&lt;&gt;"",VLOOKUP(J1448,HeadCount!A:I,5,0),"")</f>
        <v/>
      </c>
      <c r="P1448" s="19" t="str">
        <f t="shared" si="46"/>
        <v/>
      </c>
    </row>
    <row r="1449" spans="1:16" x14ac:dyDescent="0.3">
      <c r="A1449" s="19" t="str">
        <f t="shared" si="45"/>
        <v/>
      </c>
      <c r="K1449" s="21" t="str">
        <f>IF(J1449&lt;&gt;"",VLOOKUP(J1449,HeadCount!A:I,2,0),"")</f>
        <v/>
      </c>
      <c r="L1449" s="21" t="str">
        <f>IF(J1449&lt;&gt;"",VLOOKUP(J1449,HeadCount!A:I,5,0),"")</f>
        <v/>
      </c>
      <c r="P1449" s="19" t="str">
        <f t="shared" si="46"/>
        <v/>
      </c>
    </row>
    <row r="1450" spans="1:16" x14ac:dyDescent="0.3">
      <c r="A1450" s="19" t="str">
        <f t="shared" si="45"/>
        <v/>
      </c>
      <c r="K1450" s="21" t="str">
        <f>IF(J1450&lt;&gt;"",VLOOKUP(J1450,HeadCount!A:I,2,0),"")</f>
        <v/>
      </c>
      <c r="L1450" s="21" t="str">
        <f>IF(J1450&lt;&gt;"",VLOOKUP(J1450,HeadCount!A:I,5,0),"")</f>
        <v/>
      </c>
      <c r="P1450" s="19" t="str">
        <f t="shared" si="46"/>
        <v/>
      </c>
    </row>
    <row r="1451" spans="1:16" x14ac:dyDescent="0.3">
      <c r="A1451" s="19" t="str">
        <f t="shared" si="45"/>
        <v/>
      </c>
      <c r="K1451" s="21" t="str">
        <f>IF(J1451&lt;&gt;"",VLOOKUP(J1451,HeadCount!A:I,2,0),"")</f>
        <v/>
      </c>
      <c r="L1451" s="21" t="str">
        <f>IF(J1451&lt;&gt;"",VLOOKUP(J1451,HeadCount!A:I,5,0),"")</f>
        <v/>
      </c>
      <c r="P1451" s="19" t="str">
        <f t="shared" si="46"/>
        <v/>
      </c>
    </row>
    <row r="1452" spans="1:16" x14ac:dyDescent="0.3">
      <c r="A1452" s="19" t="str">
        <f t="shared" si="45"/>
        <v/>
      </c>
      <c r="K1452" s="21" t="str">
        <f>IF(J1452&lt;&gt;"",VLOOKUP(J1452,HeadCount!A:I,2,0),"")</f>
        <v/>
      </c>
      <c r="L1452" s="21" t="str">
        <f>IF(J1452&lt;&gt;"",VLOOKUP(J1452,HeadCount!A:I,5,0),"")</f>
        <v/>
      </c>
      <c r="P1452" s="19" t="str">
        <f t="shared" si="46"/>
        <v/>
      </c>
    </row>
    <row r="1453" spans="1:16" x14ac:dyDescent="0.3">
      <c r="A1453" s="19" t="str">
        <f t="shared" si="45"/>
        <v/>
      </c>
      <c r="K1453" s="21" t="str">
        <f>IF(J1453&lt;&gt;"",VLOOKUP(J1453,HeadCount!A:I,2,0),"")</f>
        <v/>
      </c>
      <c r="L1453" s="21" t="str">
        <f>IF(J1453&lt;&gt;"",VLOOKUP(J1453,HeadCount!A:I,5,0),"")</f>
        <v/>
      </c>
      <c r="P1453" s="19" t="str">
        <f t="shared" si="46"/>
        <v/>
      </c>
    </row>
    <row r="1454" spans="1:16" x14ac:dyDescent="0.3">
      <c r="A1454" s="19" t="str">
        <f t="shared" si="45"/>
        <v/>
      </c>
      <c r="K1454" s="21" t="str">
        <f>IF(J1454&lt;&gt;"",VLOOKUP(J1454,HeadCount!A:I,2,0),"")</f>
        <v/>
      </c>
      <c r="L1454" s="21" t="str">
        <f>IF(J1454&lt;&gt;"",VLOOKUP(J1454,HeadCount!A:I,5,0),"")</f>
        <v/>
      </c>
      <c r="P1454" s="19" t="str">
        <f t="shared" si="46"/>
        <v/>
      </c>
    </row>
    <row r="1455" spans="1:16" x14ac:dyDescent="0.3">
      <c r="A1455" s="19" t="str">
        <f t="shared" si="45"/>
        <v/>
      </c>
      <c r="K1455" s="21" t="str">
        <f>IF(J1455&lt;&gt;"",VLOOKUP(J1455,HeadCount!A:I,2,0),"")</f>
        <v/>
      </c>
      <c r="L1455" s="21" t="str">
        <f>IF(J1455&lt;&gt;"",VLOOKUP(J1455,HeadCount!A:I,5,0),"")</f>
        <v/>
      </c>
      <c r="P1455" s="19" t="str">
        <f t="shared" si="46"/>
        <v/>
      </c>
    </row>
    <row r="1456" spans="1:16" x14ac:dyDescent="0.3">
      <c r="A1456" s="19" t="str">
        <f t="shared" si="45"/>
        <v/>
      </c>
      <c r="K1456" s="21" t="str">
        <f>IF(J1456&lt;&gt;"",VLOOKUP(J1456,HeadCount!A:I,2,0),"")</f>
        <v/>
      </c>
      <c r="L1456" s="21" t="str">
        <f>IF(J1456&lt;&gt;"",VLOOKUP(J1456,HeadCount!A:I,5,0),"")</f>
        <v/>
      </c>
      <c r="P1456" s="19" t="str">
        <f t="shared" si="46"/>
        <v/>
      </c>
    </row>
    <row r="1457" spans="1:16" x14ac:dyDescent="0.3">
      <c r="A1457" s="19" t="str">
        <f t="shared" si="45"/>
        <v/>
      </c>
      <c r="K1457" s="21" t="str">
        <f>IF(J1457&lt;&gt;"",VLOOKUP(J1457,HeadCount!A:I,2,0),"")</f>
        <v/>
      </c>
      <c r="L1457" s="21" t="str">
        <f>IF(J1457&lt;&gt;"",VLOOKUP(J1457,HeadCount!A:I,5,0),"")</f>
        <v/>
      </c>
      <c r="P1457" s="19" t="str">
        <f t="shared" si="46"/>
        <v/>
      </c>
    </row>
    <row r="1458" spans="1:16" x14ac:dyDescent="0.3">
      <c r="A1458" s="19" t="str">
        <f t="shared" si="45"/>
        <v/>
      </c>
      <c r="K1458" s="21" t="str">
        <f>IF(J1458&lt;&gt;"",VLOOKUP(J1458,HeadCount!A:I,2,0),"")</f>
        <v/>
      </c>
      <c r="L1458" s="21" t="str">
        <f>IF(J1458&lt;&gt;"",VLOOKUP(J1458,HeadCount!A:I,5,0),"")</f>
        <v/>
      </c>
      <c r="P1458" s="19" t="str">
        <f t="shared" si="46"/>
        <v/>
      </c>
    </row>
    <row r="1459" spans="1:16" x14ac:dyDescent="0.3">
      <c r="A1459" s="19" t="str">
        <f t="shared" si="45"/>
        <v/>
      </c>
      <c r="K1459" s="21" t="str">
        <f>IF(J1459&lt;&gt;"",VLOOKUP(J1459,HeadCount!A:I,2,0),"")</f>
        <v/>
      </c>
      <c r="L1459" s="21" t="str">
        <f>IF(J1459&lt;&gt;"",VLOOKUP(J1459,HeadCount!A:I,5,0),"")</f>
        <v/>
      </c>
      <c r="P1459" s="19" t="str">
        <f t="shared" si="46"/>
        <v/>
      </c>
    </row>
    <row r="1460" spans="1:16" x14ac:dyDescent="0.3">
      <c r="A1460" s="19" t="str">
        <f t="shared" si="45"/>
        <v/>
      </c>
      <c r="E1460" s="31"/>
      <c r="K1460" s="21" t="str">
        <f>IF(J1460&lt;&gt;"",VLOOKUP(J1460,HeadCount!A:I,2,0),"")</f>
        <v/>
      </c>
      <c r="L1460" s="21" t="str">
        <f>IF(J1460&lt;&gt;"",VLOOKUP(J1460,HeadCount!A:I,5,0),"")</f>
        <v/>
      </c>
      <c r="P1460" s="19" t="str">
        <f t="shared" si="46"/>
        <v/>
      </c>
    </row>
    <row r="1461" spans="1:16" x14ac:dyDescent="0.3">
      <c r="A1461" s="19" t="str">
        <f t="shared" si="45"/>
        <v/>
      </c>
      <c r="K1461" s="21" t="str">
        <f>IF(J1461&lt;&gt;"",VLOOKUP(J1461,HeadCount!A:I,2,0),"")</f>
        <v/>
      </c>
      <c r="L1461" s="21" t="str">
        <f>IF(J1461&lt;&gt;"",VLOOKUP(J1461,HeadCount!A:I,5,0),"")</f>
        <v/>
      </c>
      <c r="P1461" s="19" t="str">
        <f t="shared" si="46"/>
        <v/>
      </c>
    </row>
    <row r="1462" spans="1:16" x14ac:dyDescent="0.3">
      <c r="A1462" s="19" t="str">
        <f t="shared" si="45"/>
        <v/>
      </c>
      <c r="K1462" s="21" t="str">
        <f>IF(J1462&lt;&gt;"",VLOOKUP(J1462,HeadCount!A:I,2,0),"")</f>
        <v/>
      </c>
      <c r="L1462" s="21" t="str">
        <f>IF(J1462&lt;&gt;"",VLOOKUP(J1462,HeadCount!A:I,5,0),"")</f>
        <v/>
      </c>
      <c r="P1462" s="19" t="str">
        <f t="shared" si="46"/>
        <v/>
      </c>
    </row>
    <row r="1463" spans="1:16" x14ac:dyDescent="0.3">
      <c r="A1463" s="19" t="str">
        <f t="shared" si="45"/>
        <v/>
      </c>
      <c r="K1463" s="21" t="str">
        <f>IF(J1463&lt;&gt;"",VLOOKUP(J1463,HeadCount!A:I,2,0),"")</f>
        <v/>
      </c>
      <c r="L1463" s="21" t="str">
        <f>IF(J1463&lt;&gt;"",VLOOKUP(J1463,HeadCount!A:I,5,0),"")</f>
        <v/>
      </c>
      <c r="P1463" s="19" t="str">
        <f t="shared" si="46"/>
        <v/>
      </c>
    </row>
    <row r="1464" spans="1:16" x14ac:dyDescent="0.3">
      <c r="A1464" s="19" t="str">
        <f t="shared" si="45"/>
        <v/>
      </c>
      <c r="K1464" s="21" t="str">
        <f>IF(J1464&lt;&gt;"",VLOOKUP(J1464,HeadCount!A:I,2,0),"")</f>
        <v/>
      </c>
      <c r="L1464" s="21" t="str">
        <f>IF(J1464&lt;&gt;"",VLOOKUP(J1464,HeadCount!A:I,5,0),"")</f>
        <v/>
      </c>
      <c r="P1464" s="19" t="str">
        <f t="shared" si="46"/>
        <v/>
      </c>
    </row>
    <row r="1465" spans="1:16" x14ac:dyDescent="0.3">
      <c r="A1465" s="19" t="str">
        <f t="shared" si="45"/>
        <v/>
      </c>
      <c r="K1465" s="21" t="str">
        <f>IF(J1465&lt;&gt;"",VLOOKUP(J1465,HeadCount!A:I,2,0),"")</f>
        <v/>
      </c>
      <c r="L1465" s="21" t="str">
        <f>IF(J1465&lt;&gt;"",VLOOKUP(J1465,HeadCount!A:I,5,0),"")</f>
        <v/>
      </c>
      <c r="P1465" s="19" t="str">
        <f t="shared" si="46"/>
        <v/>
      </c>
    </row>
    <row r="1466" spans="1:16" x14ac:dyDescent="0.3">
      <c r="A1466" s="19" t="str">
        <f t="shared" si="45"/>
        <v/>
      </c>
      <c r="K1466" s="21" t="str">
        <f>IF(J1466&lt;&gt;"",VLOOKUP(J1466,HeadCount!A:I,2,0),"")</f>
        <v/>
      </c>
      <c r="L1466" s="21" t="str">
        <f>IF(J1466&lt;&gt;"",VLOOKUP(J1466,HeadCount!A:I,5,0),"")</f>
        <v/>
      </c>
      <c r="P1466" s="19" t="str">
        <f t="shared" si="46"/>
        <v/>
      </c>
    </row>
    <row r="1467" spans="1:16" x14ac:dyDescent="0.3">
      <c r="A1467" s="19" t="str">
        <f t="shared" si="45"/>
        <v/>
      </c>
      <c r="K1467" s="21" t="str">
        <f>IF(J1467&lt;&gt;"",VLOOKUP(J1467,HeadCount!A:I,2,0),"")</f>
        <v/>
      </c>
      <c r="L1467" s="21" t="str">
        <f>IF(J1467&lt;&gt;"",VLOOKUP(J1467,HeadCount!A:I,5,0),"")</f>
        <v/>
      </c>
      <c r="P1467" s="19" t="str">
        <f t="shared" si="46"/>
        <v/>
      </c>
    </row>
    <row r="1468" spans="1:16" x14ac:dyDescent="0.3">
      <c r="A1468" s="19" t="str">
        <f t="shared" si="45"/>
        <v/>
      </c>
      <c r="K1468" s="21" t="str">
        <f>IF(J1468&lt;&gt;"",VLOOKUP(J1468,HeadCount!A:I,2,0),"")</f>
        <v/>
      </c>
      <c r="L1468" s="21" t="str">
        <f>IF(J1468&lt;&gt;"",VLOOKUP(J1468,HeadCount!A:I,5,0),"")</f>
        <v/>
      </c>
      <c r="P1468" s="19" t="str">
        <f t="shared" si="46"/>
        <v/>
      </c>
    </row>
    <row r="1469" spans="1:16" x14ac:dyDescent="0.3">
      <c r="A1469" s="19" t="str">
        <f t="shared" si="45"/>
        <v/>
      </c>
      <c r="K1469" s="21" t="str">
        <f>IF(J1469&lt;&gt;"",VLOOKUP(J1469,HeadCount!A:I,2,0),"")</f>
        <v/>
      </c>
      <c r="L1469" s="21" t="str">
        <f>IF(J1469&lt;&gt;"",VLOOKUP(J1469,HeadCount!A:I,5,0),"")</f>
        <v/>
      </c>
      <c r="P1469" s="19" t="str">
        <f t="shared" si="46"/>
        <v/>
      </c>
    </row>
    <row r="1470" spans="1:16" x14ac:dyDescent="0.3">
      <c r="A1470" s="19" t="str">
        <f t="shared" si="45"/>
        <v/>
      </c>
      <c r="K1470" s="21" t="str">
        <f>IF(J1470&lt;&gt;"",VLOOKUP(J1470,HeadCount!A:I,2,0),"")</f>
        <v/>
      </c>
      <c r="L1470" s="21" t="str">
        <f>IF(J1470&lt;&gt;"",VLOOKUP(J1470,HeadCount!A:I,5,0),"")</f>
        <v/>
      </c>
      <c r="P1470" s="19" t="str">
        <f t="shared" si="46"/>
        <v/>
      </c>
    </row>
    <row r="1471" spans="1:16" x14ac:dyDescent="0.3">
      <c r="A1471" s="19" t="str">
        <f t="shared" si="45"/>
        <v/>
      </c>
      <c r="K1471" s="21" t="str">
        <f>IF(J1471&lt;&gt;"",VLOOKUP(J1471,HeadCount!A:I,2,0),"")</f>
        <v/>
      </c>
      <c r="L1471" s="21" t="str">
        <f>IF(J1471&lt;&gt;"",VLOOKUP(J1471,HeadCount!A:I,5,0),"")</f>
        <v/>
      </c>
      <c r="P1471" s="19" t="str">
        <f t="shared" si="46"/>
        <v/>
      </c>
    </row>
    <row r="1472" spans="1:16" x14ac:dyDescent="0.3">
      <c r="A1472" s="19" t="str">
        <f t="shared" si="45"/>
        <v/>
      </c>
      <c r="K1472" s="21" t="str">
        <f>IF(J1472&lt;&gt;"",VLOOKUP(J1472,HeadCount!A:I,2,0),"")</f>
        <v/>
      </c>
      <c r="L1472" s="21" t="str">
        <f>IF(J1472&lt;&gt;"",VLOOKUP(J1472,HeadCount!A:I,5,0),"")</f>
        <v/>
      </c>
      <c r="P1472" s="19" t="str">
        <f t="shared" si="46"/>
        <v/>
      </c>
    </row>
    <row r="1473" spans="1:16" x14ac:dyDescent="0.3">
      <c r="A1473" s="19" t="str">
        <f t="shared" si="45"/>
        <v/>
      </c>
      <c r="K1473" s="21" t="str">
        <f>IF(J1473&lt;&gt;"",VLOOKUP(J1473,HeadCount!A:I,2,0),"")</f>
        <v/>
      </c>
      <c r="L1473" s="21" t="str">
        <f>IF(J1473&lt;&gt;"",VLOOKUP(J1473,HeadCount!A:I,5,0),"")</f>
        <v/>
      </c>
      <c r="P1473" s="19" t="str">
        <f t="shared" si="46"/>
        <v/>
      </c>
    </row>
    <row r="1474" spans="1:16" x14ac:dyDescent="0.3">
      <c r="A1474" s="19" t="str">
        <f t="shared" ref="A1474:A1537" si="47">IF(C1474&lt;&gt;"",ROW(A1473),"")</f>
        <v/>
      </c>
      <c r="K1474" s="21" t="str">
        <f>IF(J1474&lt;&gt;"",VLOOKUP(J1474,HeadCount!A:I,2,0),"")</f>
        <v/>
      </c>
      <c r="L1474" s="21" t="str">
        <f>IF(J1474&lt;&gt;"",VLOOKUP(J1474,HeadCount!A:I,5,0),"")</f>
        <v/>
      </c>
      <c r="P1474" s="19" t="str">
        <f t="shared" si="46"/>
        <v/>
      </c>
    </row>
    <row r="1475" spans="1:16" x14ac:dyDescent="0.3">
      <c r="A1475" s="19" t="str">
        <f t="shared" si="47"/>
        <v/>
      </c>
      <c r="K1475" s="21" t="str">
        <f>IF(J1475&lt;&gt;"",VLOOKUP(J1475,HeadCount!A:I,2,0),"")</f>
        <v/>
      </c>
      <c r="L1475" s="21" t="str">
        <f>IF(J1475&lt;&gt;"",VLOOKUP(J1475,HeadCount!A:I,5,0),"")</f>
        <v/>
      </c>
      <c r="P1475" s="19" t="str">
        <f t="shared" ref="P1475:P1538" si="48">IF(N1475="","",(O1475-N1475)+1)</f>
        <v/>
      </c>
    </row>
    <row r="1476" spans="1:16" x14ac:dyDescent="0.3">
      <c r="A1476" s="19" t="str">
        <f t="shared" si="47"/>
        <v/>
      </c>
      <c r="K1476" s="21" t="str">
        <f>IF(J1476&lt;&gt;"",VLOOKUP(J1476,HeadCount!A:I,2,0),"")</f>
        <v/>
      </c>
      <c r="L1476" s="21" t="str">
        <f>IF(J1476&lt;&gt;"",VLOOKUP(J1476,HeadCount!A:I,5,0),"")</f>
        <v/>
      </c>
      <c r="P1476" s="19" t="str">
        <f t="shared" si="48"/>
        <v/>
      </c>
    </row>
    <row r="1477" spans="1:16" x14ac:dyDescent="0.3">
      <c r="A1477" s="19" t="str">
        <f t="shared" si="47"/>
        <v/>
      </c>
      <c r="K1477" s="21" t="str">
        <f>IF(J1477&lt;&gt;"",VLOOKUP(J1477,HeadCount!A:I,2,0),"")</f>
        <v/>
      </c>
      <c r="L1477" s="21" t="str">
        <f>IF(J1477&lt;&gt;"",VLOOKUP(J1477,HeadCount!A:I,5,0),"")</f>
        <v/>
      </c>
      <c r="P1477" s="19" t="str">
        <f t="shared" si="48"/>
        <v/>
      </c>
    </row>
    <row r="1478" spans="1:16" x14ac:dyDescent="0.3">
      <c r="A1478" s="19" t="str">
        <f t="shared" si="47"/>
        <v/>
      </c>
      <c r="K1478" s="21" t="str">
        <f>IF(J1478&lt;&gt;"",VLOOKUP(J1478,HeadCount!A:I,2,0),"")</f>
        <v/>
      </c>
      <c r="L1478" s="21" t="str">
        <f>IF(J1478&lt;&gt;"",VLOOKUP(J1478,HeadCount!A:I,5,0),"")</f>
        <v/>
      </c>
      <c r="P1478" s="19" t="str">
        <f t="shared" si="48"/>
        <v/>
      </c>
    </row>
    <row r="1479" spans="1:16" x14ac:dyDescent="0.3">
      <c r="A1479" s="19" t="str">
        <f t="shared" si="47"/>
        <v/>
      </c>
      <c r="K1479" s="21" t="str">
        <f>IF(J1479&lt;&gt;"",VLOOKUP(J1479,HeadCount!A:I,2,0),"")</f>
        <v/>
      </c>
      <c r="L1479" s="21" t="str">
        <f>IF(J1479&lt;&gt;"",VLOOKUP(J1479,HeadCount!A:I,5,0),"")</f>
        <v/>
      </c>
      <c r="P1479" s="19" t="str">
        <f t="shared" si="48"/>
        <v/>
      </c>
    </row>
    <row r="1480" spans="1:16" x14ac:dyDescent="0.3">
      <c r="A1480" s="19" t="str">
        <f t="shared" si="47"/>
        <v/>
      </c>
      <c r="K1480" s="21" t="str">
        <f>IF(J1480&lt;&gt;"",VLOOKUP(J1480,HeadCount!A:I,2,0),"")</f>
        <v/>
      </c>
      <c r="L1480" s="21" t="str">
        <f>IF(J1480&lt;&gt;"",VLOOKUP(J1480,HeadCount!A:I,5,0),"")</f>
        <v/>
      </c>
      <c r="P1480" s="19" t="str">
        <f t="shared" si="48"/>
        <v/>
      </c>
    </row>
    <row r="1481" spans="1:16" x14ac:dyDescent="0.3">
      <c r="A1481" s="19" t="str">
        <f t="shared" si="47"/>
        <v/>
      </c>
      <c r="K1481" s="21" t="str">
        <f>IF(J1481&lt;&gt;"",VLOOKUP(J1481,HeadCount!A:I,2,0),"")</f>
        <v/>
      </c>
      <c r="L1481" s="21" t="str">
        <f>IF(J1481&lt;&gt;"",VLOOKUP(J1481,HeadCount!A:I,5,0),"")</f>
        <v/>
      </c>
      <c r="P1481" s="19" t="str">
        <f t="shared" si="48"/>
        <v/>
      </c>
    </row>
    <row r="1482" spans="1:16" x14ac:dyDescent="0.3">
      <c r="A1482" s="19" t="str">
        <f t="shared" si="47"/>
        <v/>
      </c>
      <c r="K1482" s="21" t="str">
        <f>IF(J1482&lt;&gt;"",VLOOKUP(J1482,HeadCount!A:I,2,0),"")</f>
        <v/>
      </c>
      <c r="L1482" s="21" t="str">
        <f>IF(J1482&lt;&gt;"",VLOOKUP(J1482,HeadCount!A:I,5,0),"")</f>
        <v/>
      </c>
      <c r="P1482" s="19" t="str">
        <f t="shared" si="48"/>
        <v/>
      </c>
    </row>
    <row r="1483" spans="1:16" x14ac:dyDescent="0.3">
      <c r="A1483" s="19" t="str">
        <f t="shared" si="47"/>
        <v/>
      </c>
      <c r="K1483" s="21" t="str">
        <f>IF(J1483&lt;&gt;"",VLOOKUP(J1483,HeadCount!A:I,2,0),"")</f>
        <v/>
      </c>
      <c r="L1483" s="21" t="str">
        <f>IF(J1483&lt;&gt;"",VLOOKUP(J1483,HeadCount!A:I,5,0),"")</f>
        <v/>
      </c>
      <c r="P1483" s="19" t="str">
        <f t="shared" si="48"/>
        <v/>
      </c>
    </row>
    <row r="1484" spans="1:16" x14ac:dyDescent="0.3">
      <c r="A1484" s="19" t="str">
        <f t="shared" si="47"/>
        <v/>
      </c>
      <c r="K1484" s="21" t="str">
        <f>IF(J1484&lt;&gt;"",VLOOKUP(J1484,HeadCount!A:I,2,0),"")</f>
        <v/>
      </c>
      <c r="L1484" s="21" t="str">
        <f>IF(J1484&lt;&gt;"",VLOOKUP(J1484,HeadCount!A:I,5,0),"")</f>
        <v/>
      </c>
      <c r="P1484" s="19" t="str">
        <f t="shared" si="48"/>
        <v/>
      </c>
    </row>
    <row r="1485" spans="1:16" x14ac:dyDescent="0.3">
      <c r="A1485" s="19" t="str">
        <f t="shared" si="47"/>
        <v/>
      </c>
      <c r="K1485" s="21" t="str">
        <f>IF(J1485&lt;&gt;"",VLOOKUP(J1485,HeadCount!A:I,2,0),"")</f>
        <v/>
      </c>
      <c r="L1485" s="21" t="str">
        <f>IF(J1485&lt;&gt;"",VLOOKUP(J1485,HeadCount!A:I,5,0),"")</f>
        <v/>
      </c>
      <c r="P1485" s="19" t="str">
        <f t="shared" si="48"/>
        <v/>
      </c>
    </row>
    <row r="1486" spans="1:16" x14ac:dyDescent="0.3">
      <c r="A1486" s="19" t="str">
        <f t="shared" si="47"/>
        <v/>
      </c>
      <c r="K1486" s="21" t="str">
        <f>IF(J1486&lt;&gt;"",VLOOKUP(J1486,HeadCount!A:I,2,0),"")</f>
        <v/>
      </c>
      <c r="L1486" s="21" t="str">
        <f>IF(J1486&lt;&gt;"",VLOOKUP(J1486,HeadCount!A:I,5,0),"")</f>
        <v/>
      </c>
      <c r="P1486" s="19" t="str">
        <f t="shared" si="48"/>
        <v/>
      </c>
    </row>
    <row r="1487" spans="1:16" x14ac:dyDescent="0.3">
      <c r="A1487" s="19" t="str">
        <f t="shared" si="47"/>
        <v/>
      </c>
      <c r="K1487" s="21" t="str">
        <f>IF(J1487&lt;&gt;"",VLOOKUP(J1487,HeadCount!A:I,2,0),"")</f>
        <v/>
      </c>
      <c r="L1487" s="21" t="str">
        <f>IF(J1487&lt;&gt;"",VLOOKUP(J1487,HeadCount!A:I,5,0),"")</f>
        <v/>
      </c>
      <c r="P1487" s="19" t="str">
        <f t="shared" si="48"/>
        <v/>
      </c>
    </row>
    <row r="1488" spans="1:16" x14ac:dyDescent="0.3">
      <c r="A1488" s="19" t="str">
        <f t="shared" si="47"/>
        <v/>
      </c>
      <c r="K1488" s="21" t="str">
        <f>IF(J1488&lt;&gt;"",VLOOKUP(J1488,HeadCount!A:I,2,0),"")</f>
        <v/>
      </c>
      <c r="L1488" s="21" t="str">
        <f>IF(J1488&lt;&gt;"",VLOOKUP(J1488,HeadCount!A:I,5,0),"")</f>
        <v/>
      </c>
      <c r="P1488" s="19" t="str">
        <f t="shared" si="48"/>
        <v/>
      </c>
    </row>
    <row r="1489" spans="1:16" x14ac:dyDescent="0.3">
      <c r="A1489" s="19" t="str">
        <f t="shared" si="47"/>
        <v/>
      </c>
      <c r="K1489" s="21" t="str">
        <f>IF(J1489&lt;&gt;"",VLOOKUP(J1489,HeadCount!A:I,2,0),"")</f>
        <v/>
      </c>
      <c r="L1489" s="21" t="str">
        <f>IF(J1489&lt;&gt;"",VLOOKUP(J1489,HeadCount!A:I,5,0),"")</f>
        <v/>
      </c>
      <c r="P1489" s="19" t="str">
        <f t="shared" si="48"/>
        <v/>
      </c>
    </row>
    <row r="1490" spans="1:16" x14ac:dyDescent="0.3">
      <c r="A1490" s="19" t="str">
        <f t="shared" si="47"/>
        <v/>
      </c>
      <c r="K1490" s="21" t="str">
        <f>IF(J1490&lt;&gt;"",VLOOKUP(J1490,HeadCount!A:I,2,0),"")</f>
        <v/>
      </c>
      <c r="L1490" s="21" t="str">
        <f>IF(J1490&lt;&gt;"",VLOOKUP(J1490,HeadCount!A:I,5,0),"")</f>
        <v/>
      </c>
      <c r="P1490" s="19" t="str">
        <f t="shared" si="48"/>
        <v/>
      </c>
    </row>
    <row r="1491" spans="1:16" x14ac:dyDescent="0.3">
      <c r="A1491" s="19" t="str">
        <f t="shared" si="47"/>
        <v/>
      </c>
      <c r="K1491" s="21" t="str">
        <f>IF(J1491&lt;&gt;"",VLOOKUP(J1491,HeadCount!A:I,2,0),"")</f>
        <v/>
      </c>
      <c r="L1491" s="21" t="str">
        <f>IF(J1491&lt;&gt;"",VLOOKUP(J1491,HeadCount!A:I,5,0),"")</f>
        <v/>
      </c>
      <c r="P1491" s="19" t="str">
        <f t="shared" si="48"/>
        <v/>
      </c>
    </row>
    <row r="1492" spans="1:16" x14ac:dyDescent="0.3">
      <c r="A1492" s="19" t="str">
        <f t="shared" si="47"/>
        <v/>
      </c>
      <c r="K1492" s="21" t="str">
        <f>IF(J1492&lt;&gt;"",VLOOKUP(J1492,HeadCount!A:I,2,0),"")</f>
        <v/>
      </c>
      <c r="L1492" s="21" t="str">
        <f>IF(J1492&lt;&gt;"",VLOOKUP(J1492,HeadCount!A:I,5,0),"")</f>
        <v/>
      </c>
      <c r="P1492" s="19" t="str">
        <f t="shared" si="48"/>
        <v/>
      </c>
    </row>
    <row r="1493" spans="1:16" x14ac:dyDescent="0.3">
      <c r="A1493" s="19" t="str">
        <f t="shared" si="47"/>
        <v/>
      </c>
      <c r="K1493" s="21" t="str">
        <f>IF(J1493&lt;&gt;"",VLOOKUP(J1493,HeadCount!A:I,2,0),"")</f>
        <v/>
      </c>
      <c r="L1493" s="21" t="str">
        <f>IF(J1493&lt;&gt;"",VLOOKUP(J1493,HeadCount!A:I,5,0),"")</f>
        <v/>
      </c>
      <c r="P1493" s="19" t="str">
        <f t="shared" si="48"/>
        <v/>
      </c>
    </row>
    <row r="1494" spans="1:16" x14ac:dyDescent="0.3">
      <c r="A1494" s="19" t="str">
        <f t="shared" si="47"/>
        <v/>
      </c>
      <c r="K1494" s="21" t="str">
        <f>IF(J1494&lt;&gt;"",VLOOKUP(J1494,HeadCount!A:I,2,0),"")</f>
        <v/>
      </c>
      <c r="L1494" s="21" t="str">
        <f>IF(J1494&lt;&gt;"",VLOOKUP(J1494,HeadCount!A:I,5,0),"")</f>
        <v/>
      </c>
      <c r="P1494" s="19" t="str">
        <f t="shared" si="48"/>
        <v/>
      </c>
    </row>
    <row r="1495" spans="1:16" x14ac:dyDescent="0.3">
      <c r="A1495" s="19" t="str">
        <f t="shared" si="47"/>
        <v/>
      </c>
      <c r="K1495" s="21" t="str">
        <f>IF(J1495&lt;&gt;"",VLOOKUP(J1495,HeadCount!A:I,2,0),"")</f>
        <v/>
      </c>
      <c r="L1495" s="21" t="str">
        <f>IF(J1495&lt;&gt;"",VLOOKUP(J1495,HeadCount!A:I,5,0),"")</f>
        <v/>
      </c>
      <c r="P1495" s="19" t="str">
        <f t="shared" si="48"/>
        <v/>
      </c>
    </row>
    <row r="1496" spans="1:16" x14ac:dyDescent="0.3">
      <c r="A1496" s="19" t="str">
        <f t="shared" si="47"/>
        <v/>
      </c>
      <c r="K1496" s="21" t="str">
        <f>IF(J1496&lt;&gt;"",VLOOKUP(J1496,HeadCount!A:I,2,0),"")</f>
        <v/>
      </c>
      <c r="L1496" s="21" t="str">
        <f>IF(J1496&lt;&gt;"",VLOOKUP(J1496,HeadCount!A:I,5,0),"")</f>
        <v/>
      </c>
      <c r="P1496" s="19" t="str">
        <f t="shared" si="48"/>
        <v/>
      </c>
    </row>
    <row r="1497" spans="1:16" x14ac:dyDescent="0.3">
      <c r="A1497" s="19" t="str">
        <f t="shared" si="47"/>
        <v/>
      </c>
      <c r="K1497" s="21" t="str">
        <f>IF(J1497&lt;&gt;"",VLOOKUP(J1497,HeadCount!A:I,2,0),"")</f>
        <v/>
      </c>
      <c r="L1497" s="21" t="str">
        <f>IF(J1497&lt;&gt;"",VLOOKUP(J1497,HeadCount!A:I,5,0),"")</f>
        <v/>
      </c>
      <c r="P1497" s="19" t="str">
        <f t="shared" si="48"/>
        <v/>
      </c>
    </row>
    <row r="1498" spans="1:16" x14ac:dyDescent="0.3">
      <c r="A1498" s="19" t="str">
        <f t="shared" si="47"/>
        <v/>
      </c>
      <c r="K1498" s="21" t="str">
        <f>IF(J1498&lt;&gt;"",VLOOKUP(J1498,HeadCount!A:I,2,0),"")</f>
        <v/>
      </c>
      <c r="L1498" s="21" t="str">
        <f>IF(J1498&lt;&gt;"",VLOOKUP(J1498,HeadCount!A:I,5,0),"")</f>
        <v/>
      </c>
      <c r="P1498" s="19" t="str">
        <f t="shared" si="48"/>
        <v/>
      </c>
    </row>
    <row r="1499" spans="1:16" x14ac:dyDescent="0.3">
      <c r="A1499" s="19" t="str">
        <f t="shared" si="47"/>
        <v/>
      </c>
      <c r="K1499" s="21" t="str">
        <f>IF(J1499&lt;&gt;"",VLOOKUP(J1499,HeadCount!A:I,2,0),"")</f>
        <v/>
      </c>
      <c r="L1499" s="21" t="str">
        <f>IF(J1499&lt;&gt;"",VLOOKUP(J1499,HeadCount!A:I,5,0),"")</f>
        <v/>
      </c>
      <c r="P1499" s="19" t="str">
        <f t="shared" si="48"/>
        <v/>
      </c>
    </row>
    <row r="1500" spans="1:16" x14ac:dyDescent="0.3">
      <c r="A1500" s="19" t="str">
        <f t="shared" si="47"/>
        <v/>
      </c>
      <c r="K1500" s="21" t="str">
        <f>IF(J1500&lt;&gt;"",VLOOKUP(J1500,HeadCount!A:I,2,0),"")</f>
        <v/>
      </c>
      <c r="L1500" s="21" t="str">
        <f>IF(J1500&lt;&gt;"",VLOOKUP(J1500,HeadCount!A:I,5,0),"")</f>
        <v/>
      </c>
      <c r="P1500" s="19" t="str">
        <f t="shared" si="48"/>
        <v/>
      </c>
    </row>
    <row r="1501" spans="1:16" x14ac:dyDescent="0.3">
      <c r="A1501" s="19" t="str">
        <f t="shared" si="47"/>
        <v/>
      </c>
      <c r="K1501" s="21" t="str">
        <f>IF(J1501&lt;&gt;"",VLOOKUP(J1501,HeadCount!A:I,2,0),"")</f>
        <v/>
      </c>
      <c r="L1501" s="21" t="str">
        <f>IF(J1501&lt;&gt;"",VLOOKUP(J1501,HeadCount!A:I,5,0),"")</f>
        <v/>
      </c>
      <c r="P1501" s="19" t="str">
        <f t="shared" si="48"/>
        <v/>
      </c>
    </row>
    <row r="1502" spans="1:16" x14ac:dyDescent="0.3">
      <c r="A1502" s="19" t="str">
        <f t="shared" si="47"/>
        <v/>
      </c>
      <c r="K1502" s="21" t="str">
        <f>IF(J1502&lt;&gt;"",VLOOKUP(J1502,HeadCount!A:I,2,0),"")</f>
        <v/>
      </c>
      <c r="L1502" s="21" t="str">
        <f>IF(J1502&lt;&gt;"",VLOOKUP(J1502,HeadCount!A:I,5,0),"")</f>
        <v/>
      </c>
      <c r="P1502" s="19" t="str">
        <f t="shared" si="48"/>
        <v/>
      </c>
    </row>
    <row r="1503" spans="1:16" x14ac:dyDescent="0.3">
      <c r="A1503" s="19" t="str">
        <f t="shared" si="47"/>
        <v/>
      </c>
      <c r="K1503" s="21" t="str">
        <f>IF(J1503&lt;&gt;"",VLOOKUP(J1503,HeadCount!A:I,2,0),"")</f>
        <v/>
      </c>
      <c r="L1503" s="21" t="str">
        <f>IF(J1503&lt;&gt;"",VLOOKUP(J1503,HeadCount!A:I,5,0),"")</f>
        <v/>
      </c>
      <c r="P1503" s="19" t="str">
        <f t="shared" si="48"/>
        <v/>
      </c>
    </row>
    <row r="1504" spans="1:16" x14ac:dyDescent="0.3">
      <c r="A1504" s="19" t="str">
        <f t="shared" si="47"/>
        <v/>
      </c>
      <c r="K1504" s="21" t="str">
        <f>IF(J1504&lt;&gt;"",VLOOKUP(J1504,HeadCount!A:I,2,0),"")</f>
        <v/>
      </c>
      <c r="L1504" s="21" t="str">
        <f>IF(J1504&lt;&gt;"",VLOOKUP(J1504,HeadCount!A:I,5,0),"")</f>
        <v/>
      </c>
      <c r="P1504" s="19" t="str">
        <f t="shared" si="48"/>
        <v/>
      </c>
    </row>
    <row r="1505" spans="1:16" x14ac:dyDescent="0.3">
      <c r="A1505" s="19" t="str">
        <f t="shared" si="47"/>
        <v/>
      </c>
      <c r="K1505" s="21" t="str">
        <f>IF(J1505&lt;&gt;"",VLOOKUP(J1505,HeadCount!A:I,2,0),"")</f>
        <v/>
      </c>
      <c r="L1505" s="21" t="str">
        <f>IF(J1505&lt;&gt;"",VLOOKUP(J1505,HeadCount!A:I,5,0),"")</f>
        <v/>
      </c>
      <c r="P1505" s="19" t="str">
        <f t="shared" si="48"/>
        <v/>
      </c>
    </row>
    <row r="1506" spans="1:16" x14ac:dyDescent="0.3">
      <c r="A1506" s="19" t="str">
        <f t="shared" si="47"/>
        <v/>
      </c>
      <c r="K1506" s="21" t="str">
        <f>IF(J1506&lt;&gt;"",VLOOKUP(J1506,HeadCount!A:I,2,0),"")</f>
        <v/>
      </c>
      <c r="L1506" s="21" t="str">
        <f>IF(J1506&lt;&gt;"",VLOOKUP(J1506,HeadCount!A:I,5,0),"")</f>
        <v/>
      </c>
      <c r="P1506" s="19" t="str">
        <f t="shared" si="48"/>
        <v/>
      </c>
    </row>
    <row r="1507" spans="1:16" x14ac:dyDescent="0.3">
      <c r="A1507" s="19" t="str">
        <f t="shared" si="47"/>
        <v/>
      </c>
      <c r="K1507" s="21" t="str">
        <f>IF(J1507&lt;&gt;"",VLOOKUP(J1507,HeadCount!A:I,2,0),"")</f>
        <v/>
      </c>
      <c r="L1507" s="21" t="str">
        <f>IF(J1507&lt;&gt;"",VLOOKUP(J1507,HeadCount!A:I,5,0),"")</f>
        <v/>
      </c>
      <c r="P1507" s="19" t="str">
        <f t="shared" si="48"/>
        <v/>
      </c>
    </row>
    <row r="1508" spans="1:16" x14ac:dyDescent="0.3">
      <c r="A1508" s="19" t="str">
        <f t="shared" si="47"/>
        <v/>
      </c>
      <c r="K1508" s="21" t="str">
        <f>IF(J1508&lt;&gt;"",VLOOKUP(J1508,HeadCount!A:I,2,0),"")</f>
        <v/>
      </c>
      <c r="L1508" s="21" t="str">
        <f>IF(J1508&lt;&gt;"",VLOOKUP(J1508,HeadCount!A:I,5,0),"")</f>
        <v/>
      </c>
      <c r="P1508" s="19" t="str">
        <f t="shared" si="48"/>
        <v/>
      </c>
    </row>
    <row r="1509" spans="1:16" x14ac:dyDescent="0.3">
      <c r="A1509" s="19" t="str">
        <f t="shared" si="47"/>
        <v/>
      </c>
      <c r="K1509" s="21" t="str">
        <f>IF(J1509&lt;&gt;"",VLOOKUP(J1509,HeadCount!A:I,2,0),"")</f>
        <v/>
      </c>
      <c r="L1509" s="21" t="str">
        <f>IF(J1509&lt;&gt;"",VLOOKUP(J1509,HeadCount!A:I,5,0),"")</f>
        <v/>
      </c>
      <c r="P1509" s="19" t="str">
        <f t="shared" si="48"/>
        <v/>
      </c>
    </row>
    <row r="1510" spans="1:16" x14ac:dyDescent="0.3">
      <c r="A1510" s="19" t="str">
        <f t="shared" si="47"/>
        <v/>
      </c>
      <c r="K1510" s="21" t="str">
        <f>IF(J1510&lt;&gt;"",VLOOKUP(J1510,HeadCount!A:I,2,0),"")</f>
        <v/>
      </c>
      <c r="L1510" s="21" t="str">
        <f>IF(J1510&lt;&gt;"",VLOOKUP(J1510,HeadCount!A:I,5,0),"")</f>
        <v/>
      </c>
      <c r="P1510" s="19" t="str">
        <f t="shared" si="48"/>
        <v/>
      </c>
    </row>
    <row r="1511" spans="1:16" x14ac:dyDescent="0.3">
      <c r="A1511" s="19" t="str">
        <f t="shared" si="47"/>
        <v/>
      </c>
      <c r="K1511" s="21" t="str">
        <f>IF(J1511&lt;&gt;"",VLOOKUP(J1511,HeadCount!A:I,2,0),"")</f>
        <v/>
      </c>
      <c r="L1511" s="21" t="str">
        <f>IF(J1511&lt;&gt;"",VLOOKUP(J1511,HeadCount!A:I,5,0),"")</f>
        <v/>
      </c>
      <c r="P1511" s="19" t="str">
        <f t="shared" si="48"/>
        <v/>
      </c>
    </row>
    <row r="1512" spans="1:16" x14ac:dyDescent="0.3">
      <c r="A1512" s="19" t="str">
        <f t="shared" si="47"/>
        <v/>
      </c>
      <c r="K1512" s="21" t="str">
        <f>IF(J1512&lt;&gt;"",VLOOKUP(J1512,HeadCount!A:I,2,0),"")</f>
        <v/>
      </c>
      <c r="L1512" s="21" t="str">
        <f>IF(J1512&lt;&gt;"",VLOOKUP(J1512,HeadCount!A:I,5,0),"")</f>
        <v/>
      </c>
      <c r="P1512" s="19" t="str">
        <f t="shared" si="48"/>
        <v/>
      </c>
    </row>
    <row r="1513" spans="1:16" x14ac:dyDescent="0.3">
      <c r="A1513" s="19" t="str">
        <f t="shared" si="47"/>
        <v/>
      </c>
      <c r="K1513" s="21" t="str">
        <f>IF(J1513&lt;&gt;"",VLOOKUP(J1513,HeadCount!A:I,2,0),"")</f>
        <v/>
      </c>
      <c r="L1513" s="21" t="str">
        <f>IF(J1513&lt;&gt;"",VLOOKUP(J1513,HeadCount!A:I,5,0),"")</f>
        <v/>
      </c>
      <c r="P1513" s="19" t="str">
        <f t="shared" si="48"/>
        <v/>
      </c>
    </row>
    <row r="1514" spans="1:16" x14ac:dyDescent="0.3">
      <c r="A1514" s="19" t="str">
        <f t="shared" si="47"/>
        <v/>
      </c>
      <c r="K1514" s="21" t="str">
        <f>IF(J1514&lt;&gt;"",VLOOKUP(J1514,HeadCount!A:I,2,0),"")</f>
        <v/>
      </c>
      <c r="L1514" s="21" t="str">
        <f>IF(J1514&lt;&gt;"",VLOOKUP(J1514,HeadCount!A:I,5,0),"")</f>
        <v/>
      </c>
      <c r="P1514" s="19" t="str">
        <f t="shared" si="48"/>
        <v/>
      </c>
    </row>
    <row r="1515" spans="1:16" x14ac:dyDescent="0.3">
      <c r="A1515" s="19" t="str">
        <f t="shared" si="47"/>
        <v/>
      </c>
      <c r="K1515" s="21" t="str">
        <f>IF(J1515&lt;&gt;"",VLOOKUP(J1515,HeadCount!A:I,2,0),"")</f>
        <v/>
      </c>
      <c r="L1515" s="21" t="str">
        <f>IF(J1515&lt;&gt;"",VLOOKUP(J1515,HeadCount!A:I,5,0),"")</f>
        <v/>
      </c>
      <c r="P1515" s="19" t="str">
        <f t="shared" si="48"/>
        <v/>
      </c>
    </row>
    <row r="1516" spans="1:16" x14ac:dyDescent="0.3">
      <c r="A1516" s="19" t="str">
        <f t="shared" si="47"/>
        <v/>
      </c>
      <c r="K1516" s="21" t="str">
        <f>IF(J1516&lt;&gt;"",VLOOKUP(J1516,HeadCount!A:I,2,0),"")</f>
        <v/>
      </c>
      <c r="L1516" s="21" t="str">
        <f>IF(J1516&lt;&gt;"",VLOOKUP(J1516,HeadCount!A:I,5,0),"")</f>
        <v/>
      </c>
      <c r="P1516" s="19" t="str">
        <f t="shared" si="48"/>
        <v/>
      </c>
    </row>
    <row r="1517" spans="1:16" x14ac:dyDescent="0.3">
      <c r="A1517" s="19" t="str">
        <f t="shared" si="47"/>
        <v/>
      </c>
      <c r="K1517" s="21" t="str">
        <f>IF(J1517&lt;&gt;"",VLOOKUP(J1517,HeadCount!A:I,2,0),"")</f>
        <v/>
      </c>
      <c r="L1517" s="21" t="str">
        <f>IF(J1517&lt;&gt;"",VLOOKUP(J1517,HeadCount!A:I,5,0),"")</f>
        <v/>
      </c>
      <c r="P1517" s="19" t="str">
        <f t="shared" si="48"/>
        <v/>
      </c>
    </row>
    <row r="1518" spans="1:16" x14ac:dyDescent="0.3">
      <c r="A1518" s="19" t="str">
        <f t="shared" si="47"/>
        <v/>
      </c>
      <c r="K1518" s="21" t="str">
        <f>IF(J1518&lt;&gt;"",VLOOKUP(J1518,HeadCount!A:I,2,0),"")</f>
        <v/>
      </c>
      <c r="L1518" s="21" t="str">
        <f>IF(J1518&lt;&gt;"",VLOOKUP(J1518,HeadCount!A:I,5,0),"")</f>
        <v/>
      </c>
      <c r="P1518" s="19" t="str">
        <f t="shared" si="48"/>
        <v/>
      </c>
    </row>
    <row r="1519" spans="1:16" x14ac:dyDescent="0.3">
      <c r="A1519" s="19" t="str">
        <f t="shared" si="47"/>
        <v/>
      </c>
      <c r="L1519" s="21" t="str">
        <f>IF(J1519&lt;&gt;"",VLOOKUP(J1519,HeadCount!A:I,5,0),"")</f>
        <v/>
      </c>
      <c r="P1519" s="19" t="str">
        <f t="shared" si="48"/>
        <v/>
      </c>
    </row>
    <row r="1520" spans="1:16" x14ac:dyDescent="0.3">
      <c r="A1520" s="19" t="str">
        <f t="shared" si="47"/>
        <v/>
      </c>
      <c r="L1520" s="21" t="str">
        <f>IF(J1520&lt;&gt;"",VLOOKUP(J1520,HeadCount!A:I,5,0),"")</f>
        <v/>
      </c>
      <c r="P1520" s="19" t="str">
        <f t="shared" si="48"/>
        <v/>
      </c>
    </row>
    <row r="1521" spans="1:16" x14ac:dyDescent="0.3">
      <c r="A1521" s="19" t="str">
        <f t="shared" si="47"/>
        <v/>
      </c>
      <c r="L1521" s="21" t="str">
        <f>IF(J1521&lt;&gt;"",VLOOKUP(J1521,HeadCount!A:I,5,0),"")</f>
        <v/>
      </c>
      <c r="P1521" s="19" t="str">
        <f t="shared" si="48"/>
        <v/>
      </c>
    </row>
    <row r="1522" spans="1:16" x14ac:dyDescent="0.3">
      <c r="A1522" s="19" t="str">
        <f t="shared" si="47"/>
        <v/>
      </c>
      <c r="L1522" s="21" t="str">
        <f>IF(J1522&lt;&gt;"",VLOOKUP(J1522,HeadCount!A:I,5,0),"")</f>
        <v/>
      </c>
      <c r="P1522" s="19" t="str">
        <f t="shared" si="48"/>
        <v/>
      </c>
    </row>
    <row r="1523" spans="1:16" x14ac:dyDescent="0.3">
      <c r="A1523" s="19" t="str">
        <f t="shared" si="47"/>
        <v/>
      </c>
      <c r="L1523" s="21" t="str">
        <f>IF(J1523&lt;&gt;"",VLOOKUP(J1523,HeadCount!A:I,5,0),"")</f>
        <v/>
      </c>
      <c r="P1523" s="19" t="str">
        <f t="shared" si="48"/>
        <v/>
      </c>
    </row>
    <row r="1524" spans="1:16" x14ac:dyDescent="0.3">
      <c r="A1524" s="19" t="str">
        <f t="shared" si="47"/>
        <v/>
      </c>
      <c r="L1524" s="21" t="str">
        <f>IF(J1524&lt;&gt;"",VLOOKUP(J1524,HeadCount!A:I,5,0),"")</f>
        <v/>
      </c>
      <c r="P1524" s="19" t="str">
        <f t="shared" si="48"/>
        <v/>
      </c>
    </row>
    <row r="1525" spans="1:16" x14ac:dyDescent="0.3">
      <c r="A1525" s="19" t="str">
        <f t="shared" si="47"/>
        <v/>
      </c>
      <c r="L1525" s="21" t="str">
        <f>IF(J1525&lt;&gt;"",VLOOKUP(J1525,HeadCount!A:I,5,0),"")</f>
        <v/>
      </c>
      <c r="P1525" s="19" t="str">
        <f t="shared" si="48"/>
        <v/>
      </c>
    </row>
    <row r="1526" spans="1:16" x14ac:dyDescent="0.3">
      <c r="A1526" s="19" t="str">
        <f t="shared" si="47"/>
        <v/>
      </c>
      <c r="L1526" s="21" t="str">
        <f>IF(J1526&lt;&gt;"",VLOOKUP(J1526,HeadCount!A:I,5,0),"")</f>
        <v/>
      </c>
      <c r="P1526" s="19" t="str">
        <f t="shared" si="48"/>
        <v/>
      </c>
    </row>
    <row r="1527" spans="1:16" x14ac:dyDescent="0.3">
      <c r="A1527" s="19" t="str">
        <f t="shared" si="47"/>
        <v/>
      </c>
      <c r="L1527" s="21" t="str">
        <f>IF(J1527&lt;&gt;"",VLOOKUP(J1527,HeadCount!A:I,5,0),"")</f>
        <v/>
      </c>
      <c r="P1527" s="19" t="str">
        <f t="shared" si="48"/>
        <v/>
      </c>
    </row>
    <row r="1528" spans="1:16" x14ac:dyDescent="0.3">
      <c r="A1528" s="19" t="str">
        <f t="shared" si="47"/>
        <v/>
      </c>
      <c r="L1528" s="21" t="str">
        <f>IF(J1528&lt;&gt;"",VLOOKUP(J1528,HeadCount!A:I,5,0),"")</f>
        <v/>
      </c>
      <c r="P1528" s="19" t="str">
        <f t="shared" si="48"/>
        <v/>
      </c>
    </row>
    <row r="1529" spans="1:16" x14ac:dyDescent="0.3">
      <c r="A1529" s="19" t="str">
        <f t="shared" si="47"/>
        <v/>
      </c>
      <c r="L1529" s="21" t="str">
        <f>IF(J1529&lt;&gt;"",VLOOKUP(J1529,HeadCount!A:I,5,0),"")</f>
        <v/>
      </c>
      <c r="P1529" s="19" t="str">
        <f t="shared" si="48"/>
        <v/>
      </c>
    </row>
    <row r="1530" spans="1:16" x14ac:dyDescent="0.3">
      <c r="A1530" s="19" t="str">
        <f t="shared" si="47"/>
        <v/>
      </c>
      <c r="L1530" s="21" t="str">
        <f>IF(J1530&lt;&gt;"",VLOOKUP(J1530,HeadCount!A:I,5,0),"")</f>
        <v/>
      </c>
      <c r="P1530" s="19" t="str">
        <f t="shared" si="48"/>
        <v/>
      </c>
    </row>
    <row r="1531" spans="1:16" x14ac:dyDescent="0.3">
      <c r="A1531" s="19" t="str">
        <f t="shared" si="47"/>
        <v/>
      </c>
      <c r="L1531" s="21" t="str">
        <f>IF(J1531&lt;&gt;"",VLOOKUP(J1531,HeadCount!A:I,5,0),"")</f>
        <v/>
      </c>
      <c r="P1531" s="19" t="str">
        <f t="shared" si="48"/>
        <v/>
      </c>
    </row>
    <row r="1532" spans="1:16" x14ac:dyDescent="0.3">
      <c r="A1532" s="19" t="str">
        <f t="shared" si="47"/>
        <v/>
      </c>
      <c r="L1532" s="21" t="str">
        <f>IF(J1532&lt;&gt;"",VLOOKUP(J1532,HeadCount!A:I,5,0),"")</f>
        <v/>
      </c>
      <c r="P1532" s="19" t="str">
        <f t="shared" si="48"/>
        <v/>
      </c>
    </row>
    <row r="1533" spans="1:16" x14ac:dyDescent="0.3">
      <c r="A1533" s="19" t="str">
        <f t="shared" si="47"/>
        <v/>
      </c>
      <c r="L1533" s="21" t="str">
        <f>IF(J1533&lt;&gt;"",VLOOKUP(J1533,HeadCount!A:I,5,0),"")</f>
        <v/>
      </c>
      <c r="P1533" s="19" t="str">
        <f t="shared" si="48"/>
        <v/>
      </c>
    </row>
    <row r="1534" spans="1:16" x14ac:dyDescent="0.3">
      <c r="A1534" s="19" t="str">
        <f t="shared" si="47"/>
        <v/>
      </c>
      <c r="L1534" s="21" t="str">
        <f>IF(J1534&lt;&gt;"",VLOOKUP(J1534,HeadCount!A:I,5,0),"")</f>
        <v/>
      </c>
      <c r="P1534" s="19" t="str">
        <f t="shared" si="48"/>
        <v/>
      </c>
    </row>
    <row r="1535" spans="1:16" x14ac:dyDescent="0.3">
      <c r="A1535" s="19" t="str">
        <f t="shared" si="47"/>
        <v/>
      </c>
      <c r="L1535" s="21" t="str">
        <f>IF(J1535&lt;&gt;"",VLOOKUP(J1535,HeadCount!A:I,5,0),"")</f>
        <v/>
      </c>
      <c r="P1535" s="19" t="str">
        <f t="shared" si="48"/>
        <v/>
      </c>
    </row>
    <row r="1536" spans="1:16" x14ac:dyDescent="0.3">
      <c r="A1536" s="19" t="str">
        <f t="shared" si="47"/>
        <v/>
      </c>
      <c r="L1536" s="21" t="str">
        <f>IF(J1536&lt;&gt;"",VLOOKUP(J1536,HeadCount!A:I,5,0),"")</f>
        <v/>
      </c>
      <c r="P1536" s="19" t="str">
        <f t="shared" si="48"/>
        <v/>
      </c>
    </row>
    <row r="1537" spans="1:16" x14ac:dyDescent="0.3">
      <c r="A1537" s="19" t="str">
        <f t="shared" si="47"/>
        <v/>
      </c>
      <c r="L1537" s="21" t="str">
        <f>IF(J1537&lt;&gt;"",VLOOKUP(J1537,HeadCount!A:I,5,0),"")</f>
        <v/>
      </c>
      <c r="P1537" s="19" t="str">
        <f t="shared" si="48"/>
        <v/>
      </c>
    </row>
    <row r="1538" spans="1:16" x14ac:dyDescent="0.3">
      <c r="A1538" s="19" t="str">
        <f t="shared" ref="A1538:A1601" si="49">IF(C1538&lt;&gt;"",ROW(A1537),"")</f>
        <v/>
      </c>
      <c r="L1538" s="21" t="str">
        <f>IF(J1538&lt;&gt;"",VLOOKUP(J1538,HeadCount!A:I,5,0),"")</f>
        <v/>
      </c>
      <c r="P1538" s="19" t="str">
        <f t="shared" si="48"/>
        <v/>
      </c>
    </row>
    <row r="1539" spans="1:16" x14ac:dyDescent="0.3">
      <c r="A1539" s="19" t="str">
        <f t="shared" si="49"/>
        <v/>
      </c>
      <c r="L1539" s="21" t="str">
        <f>IF(J1539&lt;&gt;"",VLOOKUP(J1539,HeadCount!A:I,5,0),"")</f>
        <v/>
      </c>
      <c r="P1539" s="19" t="str">
        <f t="shared" ref="P1539:P1602" si="50">IF(N1539="","",(O1539-N1539)+1)</f>
        <v/>
      </c>
    </row>
    <row r="1540" spans="1:16" x14ac:dyDescent="0.3">
      <c r="A1540" s="19" t="str">
        <f t="shared" si="49"/>
        <v/>
      </c>
      <c r="L1540" s="21" t="str">
        <f>IF(J1540&lt;&gt;"",VLOOKUP(J1540,HeadCount!A:I,5,0),"")</f>
        <v/>
      </c>
      <c r="P1540" s="19" t="str">
        <f t="shared" si="50"/>
        <v/>
      </c>
    </row>
    <row r="1541" spans="1:16" x14ac:dyDescent="0.3">
      <c r="A1541" s="19" t="str">
        <f t="shared" si="49"/>
        <v/>
      </c>
      <c r="L1541" s="21" t="str">
        <f>IF(J1541&lt;&gt;"",VLOOKUP(J1541,HeadCount!A:I,5,0),"")</f>
        <v/>
      </c>
      <c r="P1541" s="19" t="str">
        <f t="shared" si="50"/>
        <v/>
      </c>
    </row>
    <row r="1542" spans="1:16" x14ac:dyDescent="0.3">
      <c r="A1542" s="19" t="str">
        <f t="shared" si="49"/>
        <v/>
      </c>
      <c r="L1542" s="21" t="str">
        <f>IF(J1542&lt;&gt;"",VLOOKUP(J1542,HeadCount!A:I,5,0),"")</f>
        <v/>
      </c>
      <c r="P1542" s="19" t="str">
        <f t="shared" si="50"/>
        <v/>
      </c>
    </row>
    <row r="1543" spans="1:16" x14ac:dyDescent="0.3">
      <c r="A1543" s="19" t="str">
        <f t="shared" si="49"/>
        <v/>
      </c>
      <c r="L1543" s="21" t="str">
        <f>IF(J1543&lt;&gt;"",VLOOKUP(J1543,HeadCount!A:I,5,0),"")</f>
        <v/>
      </c>
      <c r="P1543" s="19" t="str">
        <f t="shared" si="50"/>
        <v/>
      </c>
    </row>
    <row r="1544" spans="1:16" x14ac:dyDescent="0.3">
      <c r="A1544" s="19" t="str">
        <f t="shared" si="49"/>
        <v/>
      </c>
      <c r="L1544" s="21" t="str">
        <f>IF(J1544&lt;&gt;"",VLOOKUP(J1544,HeadCount!A:I,5,0),"")</f>
        <v/>
      </c>
      <c r="P1544" s="19" t="str">
        <f t="shared" si="50"/>
        <v/>
      </c>
    </row>
    <row r="1545" spans="1:16" x14ac:dyDescent="0.3">
      <c r="A1545" s="19" t="str">
        <f t="shared" si="49"/>
        <v/>
      </c>
      <c r="L1545" s="21" t="str">
        <f>IF(J1545&lt;&gt;"",VLOOKUP(J1545,HeadCount!A:I,5,0),"")</f>
        <v/>
      </c>
      <c r="P1545" s="19" t="str">
        <f t="shared" si="50"/>
        <v/>
      </c>
    </row>
    <row r="1546" spans="1:16" x14ac:dyDescent="0.3">
      <c r="A1546" s="19" t="str">
        <f t="shared" si="49"/>
        <v/>
      </c>
      <c r="L1546" s="21" t="str">
        <f>IF(J1546&lt;&gt;"",VLOOKUP(J1546,HeadCount!A:I,5,0),"")</f>
        <v/>
      </c>
      <c r="P1546" s="19" t="str">
        <f t="shared" si="50"/>
        <v/>
      </c>
    </row>
    <row r="1547" spans="1:16" x14ac:dyDescent="0.3">
      <c r="A1547" s="19" t="str">
        <f t="shared" si="49"/>
        <v/>
      </c>
      <c r="L1547" s="21" t="str">
        <f>IF(J1547&lt;&gt;"",VLOOKUP(J1547,HeadCount!A:I,5,0),"")</f>
        <v/>
      </c>
      <c r="P1547" s="19" t="str">
        <f t="shared" si="50"/>
        <v/>
      </c>
    </row>
    <row r="1548" spans="1:16" x14ac:dyDescent="0.3">
      <c r="A1548" s="19" t="str">
        <f t="shared" si="49"/>
        <v/>
      </c>
      <c r="L1548" s="21" t="str">
        <f>IF(J1548&lt;&gt;"",VLOOKUP(J1548,HeadCount!A:I,5,0),"")</f>
        <v/>
      </c>
      <c r="P1548" s="19" t="str">
        <f t="shared" si="50"/>
        <v/>
      </c>
    </row>
    <row r="1549" spans="1:16" x14ac:dyDescent="0.3">
      <c r="A1549" s="19" t="str">
        <f t="shared" si="49"/>
        <v/>
      </c>
      <c r="L1549" s="21" t="str">
        <f>IF(J1549&lt;&gt;"",VLOOKUP(J1549,HeadCount!A:I,5,0),"")</f>
        <v/>
      </c>
      <c r="P1549" s="19" t="str">
        <f t="shared" si="50"/>
        <v/>
      </c>
    </row>
    <row r="1550" spans="1:16" x14ac:dyDescent="0.3">
      <c r="A1550" s="19" t="str">
        <f t="shared" si="49"/>
        <v/>
      </c>
      <c r="L1550" s="21" t="str">
        <f>IF(J1550&lt;&gt;"",VLOOKUP(J1550,HeadCount!A:I,5,0),"")</f>
        <v/>
      </c>
      <c r="P1550" s="19" t="str">
        <f t="shared" si="50"/>
        <v/>
      </c>
    </row>
    <row r="1551" spans="1:16" x14ac:dyDescent="0.3">
      <c r="A1551" s="19" t="str">
        <f t="shared" si="49"/>
        <v/>
      </c>
      <c r="L1551" s="21" t="str">
        <f>IF(J1551&lt;&gt;"",VLOOKUP(J1551,HeadCount!A:I,5,0),"")</f>
        <v/>
      </c>
      <c r="P1551" s="19" t="str">
        <f t="shared" si="50"/>
        <v/>
      </c>
    </row>
    <row r="1552" spans="1:16" x14ac:dyDescent="0.3">
      <c r="A1552" s="19" t="str">
        <f t="shared" si="49"/>
        <v/>
      </c>
      <c r="L1552" s="21" t="str">
        <f>IF(J1552&lt;&gt;"",VLOOKUP(J1552,HeadCount!A:I,5,0),"")</f>
        <v/>
      </c>
      <c r="P1552" s="19" t="str">
        <f t="shared" si="50"/>
        <v/>
      </c>
    </row>
    <row r="1553" spans="1:16" x14ac:dyDescent="0.3">
      <c r="A1553" s="19" t="str">
        <f t="shared" si="49"/>
        <v/>
      </c>
      <c r="L1553" s="21" t="str">
        <f>IF(J1553&lt;&gt;"",VLOOKUP(J1553,HeadCount!A:I,5,0),"")</f>
        <v/>
      </c>
      <c r="P1553" s="19" t="str">
        <f t="shared" si="50"/>
        <v/>
      </c>
    </row>
    <row r="1554" spans="1:16" x14ac:dyDescent="0.3">
      <c r="A1554" s="19" t="str">
        <f t="shared" si="49"/>
        <v/>
      </c>
      <c r="L1554" s="21" t="str">
        <f>IF(J1554&lt;&gt;"",VLOOKUP(J1554,HeadCount!A:I,5,0),"")</f>
        <v/>
      </c>
      <c r="P1554" s="19" t="str">
        <f t="shared" si="50"/>
        <v/>
      </c>
    </row>
    <row r="1555" spans="1:16" x14ac:dyDescent="0.3">
      <c r="A1555" s="19" t="str">
        <f t="shared" si="49"/>
        <v/>
      </c>
      <c r="L1555" s="21" t="str">
        <f>IF(J1555&lt;&gt;"",VLOOKUP(J1555,HeadCount!A:I,5,0),"")</f>
        <v/>
      </c>
      <c r="P1555" s="19" t="str">
        <f t="shared" si="50"/>
        <v/>
      </c>
    </row>
    <row r="1556" spans="1:16" x14ac:dyDescent="0.3">
      <c r="A1556" s="19" t="str">
        <f t="shared" si="49"/>
        <v/>
      </c>
      <c r="L1556" s="21" t="str">
        <f>IF(J1556&lt;&gt;"",VLOOKUP(J1556,HeadCount!A:I,5,0),"")</f>
        <v/>
      </c>
      <c r="P1556" s="19" t="str">
        <f t="shared" si="50"/>
        <v/>
      </c>
    </row>
    <row r="1557" spans="1:16" x14ac:dyDescent="0.3">
      <c r="A1557" s="19" t="str">
        <f t="shared" si="49"/>
        <v/>
      </c>
      <c r="L1557" s="21" t="str">
        <f>IF(J1557&lt;&gt;"",VLOOKUP(J1557,HeadCount!A:I,5,0),"")</f>
        <v/>
      </c>
      <c r="P1557" s="19" t="str">
        <f t="shared" si="50"/>
        <v/>
      </c>
    </row>
    <row r="1558" spans="1:16" x14ac:dyDescent="0.3">
      <c r="A1558" s="19" t="str">
        <f t="shared" si="49"/>
        <v/>
      </c>
      <c r="L1558" s="21" t="str">
        <f>IF(J1558&lt;&gt;"",VLOOKUP(J1558,HeadCount!A:I,5,0),"")</f>
        <v/>
      </c>
      <c r="P1558" s="19" t="str">
        <f t="shared" si="50"/>
        <v/>
      </c>
    </row>
    <row r="1559" spans="1:16" x14ac:dyDescent="0.3">
      <c r="A1559" s="19" t="str">
        <f t="shared" si="49"/>
        <v/>
      </c>
      <c r="L1559" s="21" t="str">
        <f>IF(J1559&lt;&gt;"",VLOOKUP(J1559,HeadCount!A:I,5,0),"")</f>
        <v/>
      </c>
      <c r="P1559" s="19" t="str">
        <f t="shared" si="50"/>
        <v/>
      </c>
    </row>
    <row r="1560" spans="1:16" x14ac:dyDescent="0.3">
      <c r="A1560" s="19" t="str">
        <f t="shared" si="49"/>
        <v/>
      </c>
      <c r="L1560" s="21" t="str">
        <f>IF(J1560&lt;&gt;"",VLOOKUP(J1560,HeadCount!A:I,5,0),"")</f>
        <v/>
      </c>
      <c r="P1560" s="19" t="str">
        <f t="shared" si="50"/>
        <v/>
      </c>
    </row>
    <row r="1561" spans="1:16" x14ac:dyDescent="0.3">
      <c r="A1561" s="19" t="str">
        <f t="shared" si="49"/>
        <v/>
      </c>
      <c r="L1561" s="21" t="str">
        <f>IF(J1561&lt;&gt;"",VLOOKUP(J1561,HeadCount!A:I,5,0),"")</f>
        <v/>
      </c>
      <c r="P1561" s="19" t="str">
        <f t="shared" si="50"/>
        <v/>
      </c>
    </row>
    <row r="1562" spans="1:16" x14ac:dyDescent="0.3">
      <c r="A1562" s="19" t="str">
        <f t="shared" si="49"/>
        <v/>
      </c>
      <c r="L1562" s="21" t="str">
        <f>IF(J1562&lt;&gt;"",VLOOKUP(J1562,HeadCount!A:I,5,0),"")</f>
        <v/>
      </c>
      <c r="P1562" s="19" t="str">
        <f t="shared" si="50"/>
        <v/>
      </c>
    </row>
    <row r="1563" spans="1:16" x14ac:dyDescent="0.3">
      <c r="A1563" s="19" t="str">
        <f t="shared" si="49"/>
        <v/>
      </c>
      <c r="L1563" s="21" t="str">
        <f>IF(J1563&lt;&gt;"",VLOOKUP(J1563,HeadCount!A:I,5,0),"")</f>
        <v/>
      </c>
      <c r="P1563" s="19" t="str">
        <f t="shared" si="50"/>
        <v/>
      </c>
    </row>
    <row r="1564" spans="1:16" x14ac:dyDescent="0.3">
      <c r="A1564" s="19" t="str">
        <f t="shared" si="49"/>
        <v/>
      </c>
      <c r="L1564" s="21" t="str">
        <f>IF(J1564&lt;&gt;"",VLOOKUP(J1564,HeadCount!A:I,5,0),"")</f>
        <v/>
      </c>
      <c r="P1564" s="19" t="str">
        <f t="shared" si="50"/>
        <v/>
      </c>
    </row>
    <row r="1565" spans="1:16" x14ac:dyDescent="0.3">
      <c r="A1565" s="19" t="str">
        <f t="shared" si="49"/>
        <v/>
      </c>
      <c r="L1565" s="21" t="str">
        <f>IF(J1565&lt;&gt;"",VLOOKUP(J1565,HeadCount!A:I,5,0),"")</f>
        <v/>
      </c>
      <c r="P1565" s="19" t="str">
        <f t="shared" si="50"/>
        <v/>
      </c>
    </row>
    <row r="1566" spans="1:16" x14ac:dyDescent="0.3">
      <c r="A1566" s="19" t="str">
        <f t="shared" si="49"/>
        <v/>
      </c>
      <c r="L1566" s="21" t="str">
        <f>IF(J1566&lt;&gt;"",VLOOKUP(J1566,HeadCount!A:I,5,0),"")</f>
        <v/>
      </c>
      <c r="P1566" s="19" t="str">
        <f t="shared" si="50"/>
        <v/>
      </c>
    </row>
    <row r="1567" spans="1:16" x14ac:dyDescent="0.3">
      <c r="A1567" s="19" t="str">
        <f t="shared" si="49"/>
        <v/>
      </c>
      <c r="L1567" s="21" t="str">
        <f>IF(J1567&lt;&gt;"",VLOOKUP(J1567,HeadCount!A:I,5,0),"")</f>
        <v/>
      </c>
      <c r="P1567" s="19" t="str">
        <f t="shared" si="50"/>
        <v/>
      </c>
    </row>
    <row r="1568" spans="1:16" x14ac:dyDescent="0.3">
      <c r="A1568" s="19" t="str">
        <f t="shared" si="49"/>
        <v/>
      </c>
      <c r="L1568" s="21" t="str">
        <f>IF(J1568&lt;&gt;"",VLOOKUP(J1568,HeadCount!A:I,5,0),"")</f>
        <v/>
      </c>
      <c r="P1568" s="19" t="str">
        <f t="shared" si="50"/>
        <v/>
      </c>
    </row>
    <row r="1569" spans="1:16" x14ac:dyDescent="0.3">
      <c r="A1569" s="19" t="str">
        <f t="shared" si="49"/>
        <v/>
      </c>
      <c r="L1569" s="21" t="str">
        <f>IF(J1569&lt;&gt;"",VLOOKUP(J1569,HeadCount!A:I,5,0),"")</f>
        <v/>
      </c>
      <c r="P1569" s="19" t="str">
        <f t="shared" si="50"/>
        <v/>
      </c>
    </row>
    <row r="1570" spans="1:16" x14ac:dyDescent="0.3">
      <c r="A1570" s="19" t="str">
        <f t="shared" si="49"/>
        <v/>
      </c>
      <c r="L1570" s="21" t="str">
        <f>IF(J1570&lt;&gt;"",VLOOKUP(J1570,HeadCount!A:I,5,0),"")</f>
        <v/>
      </c>
      <c r="P1570" s="19" t="str">
        <f t="shared" si="50"/>
        <v/>
      </c>
    </row>
    <row r="1571" spans="1:16" x14ac:dyDescent="0.3">
      <c r="A1571" s="19" t="str">
        <f t="shared" si="49"/>
        <v/>
      </c>
      <c r="L1571" s="21" t="str">
        <f>IF(J1571&lt;&gt;"",VLOOKUP(J1571,HeadCount!A:I,5,0),"")</f>
        <v/>
      </c>
      <c r="P1571" s="19" t="str">
        <f t="shared" si="50"/>
        <v/>
      </c>
    </row>
    <row r="1572" spans="1:16" x14ac:dyDescent="0.3">
      <c r="A1572" s="19" t="str">
        <f t="shared" si="49"/>
        <v/>
      </c>
      <c r="L1572" s="21" t="str">
        <f>IF(J1572&lt;&gt;"",VLOOKUP(J1572,HeadCount!A:I,5,0),"")</f>
        <v/>
      </c>
      <c r="P1572" s="19" t="str">
        <f t="shared" si="50"/>
        <v/>
      </c>
    </row>
    <row r="1573" spans="1:16" x14ac:dyDescent="0.3">
      <c r="A1573" s="19" t="str">
        <f t="shared" si="49"/>
        <v/>
      </c>
      <c r="L1573" s="21" t="str">
        <f>IF(J1573&lt;&gt;"",VLOOKUP(J1573,HeadCount!A:I,5,0),"")</f>
        <v/>
      </c>
      <c r="P1573" s="19" t="str">
        <f t="shared" si="50"/>
        <v/>
      </c>
    </row>
    <row r="1574" spans="1:16" x14ac:dyDescent="0.3">
      <c r="A1574" s="19" t="str">
        <f t="shared" si="49"/>
        <v/>
      </c>
      <c r="L1574" s="21" t="str">
        <f>IF(J1574&lt;&gt;"",VLOOKUP(J1574,HeadCount!A:I,5,0),"")</f>
        <v/>
      </c>
      <c r="P1574" s="19" t="str">
        <f t="shared" si="50"/>
        <v/>
      </c>
    </row>
    <row r="1575" spans="1:16" x14ac:dyDescent="0.3">
      <c r="A1575" s="19" t="str">
        <f t="shared" si="49"/>
        <v/>
      </c>
      <c r="L1575" s="21" t="str">
        <f>IF(J1575&lt;&gt;"",VLOOKUP(J1575,HeadCount!A:I,5,0),"")</f>
        <v/>
      </c>
      <c r="P1575" s="19" t="str">
        <f t="shared" si="50"/>
        <v/>
      </c>
    </row>
    <row r="1576" spans="1:16" x14ac:dyDescent="0.3">
      <c r="A1576" s="19" t="str">
        <f t="shared" si="49"/>
        <v/>
      </c>
      <c r="L1576" s="21" t="str">
        <f>IF(J1576&lt;&gt;"",VLOOKUP(J1576,HeadCount!A:I,5,0),"")</f>
        <v/>
      </c>
      <c r="P1576" s="19" t="str">
        <f t="shared" si="50"/>
        <v/>
      </c>
    </row>
    <row r="1577" spans="1:16" x14ac:dyDescent="0.3">
      <c r="A1577" s="19" t="str">
        <f t="shared" si="49"/>
        <v/>
      </c>
      <c r="L1577" s="21" t="str">
        <f>IF(J1577&lt;&gt;"",VLOOKUP(J1577,HeadCount!A:I,5,0),"")</f>
        <v/>
      </c>
      <c r="P1577" s="19" t="str">
        <f t="shared" si="50"/>
        <v/>
      </c>
    </row>
    <row r="1578" spans="1:16" x14ac:dyDescent="0.3">
      <c r="A1578" s="19" t="str">
        <f t="shared" si="49"/>
        <v/>
      </c>
      <c r="L1578" s="21" t="str">
        <f>IF(J1578&lt;&gt;"",VLOOKUP(J1578,HeadCount!A:I,5,0),"")</f>
        <v/>
      </c>
      <c r="P1578" s="19" t="str">
        <f t="shared" si="50"/>
        <v/>
      </c>
    </row>
    <row r="1579" spans="1:16" x14ac:dyDescent="0.3">
      <c r="A1579" s="19" t="str">
        <f t="shared" si="49"/>
        <v/>
      </c>
      <c r="L1579" s="21" t="str">
        <f>IF(J1579&lt;&gt;"",VLOOKUP(J1579,HeadCount!A:I,5,0),"")</f>
        <v/>
      </c>
      <c r="P1579" s="19" t="str">
        <f t="shared" si="50"/>
        <v/>
      </c>
    </row>
    <row r="1580" spans="1:16" x14ac:dyDescent="0.3">
      <c r="A1580" s="19" t="str">
        <f t="shared" si="49"/>
        <v/>
      </c>
      <c r="L1580" s="21" t="str">
        <f>IF(J1580&lt;&gt;"",VLOOKUP(J1580,HeadCount!A:I,5,0),"")</f>
        <v/>
      </c>
      <c r="P1580" s="19" t="str">
        <f t="shared" si="50"/>
        <v/>
      </c>
    </row>
    <row r="1581" spans="1:16" x14ac:dyDescent="0.3">
      <c r="A1581" s="19" t="str">
        <f t="shared" si="49"/>
        <v/>
      </c>
      <c r="L1581" s="21" t="str">
        <f>IF(J1581&lt;&gt;"",VLOOKUP(J1581,HeadCount!A:I,5,0),"")</f>
        <v/>
      </c>
      <c r="P1581" s="19" t="str">
        <f t="shared" si="50"/>
        <v/>
      </c>
    </row>
    <row r="1582" spans="1:16" x14ac:dyDescent="0.3">
      <c r="A1582" s="19" t="str">
        <f t="shared" si="49"/>
        <v/>
      </c>
      <c r="L1582" s="21" t="str">
        <f>IF(J1582&lt;&gt;"",VLOOKUP(J1582,HeadCount!A:I,5,0),"")</f>
        <v/>
      </c>
      <c r="P1582" s="19" t="str">
        <f t="shared" si="50"/>
        <v/>
      </c>
    </row>
    <row r="1583" spans="1:16" x14ac:dyDescent="0.3">
      <c r="A1583" s="19" t="str">
        <f t="shared" si="49"/>
        <v/>
      </c>
      <c r="L1583" s="21" t="str">
        <f>IF(J1583&lt;&gt;"",VLOOKUP(J1583,HeadCount!A:I,5,0),"")</f>
        <v/>
      </c>
      <c r="P1583" s="19" t="str">
        <f t="shared" si="50"/>
        <v/>
      </c>
    </row>
    <row r="1584" spans="1:16" x14ac:dyDescent="0.3">
      <c r="A1584" s="19" t="str">
        <f t="shared" si="49"/>
        <v/>
      </c>
      <c r="L1584" s="21" t="str">
        <f>IF(J1584&lt;&gt;"",VLOOKUP(J1584,HeadCount!A:I,5,0),"")</f>
        <v/>
      </c>
      <c r="P1584" s="19" t="str">
        <f t="shared" si="50"/>
        <v/>
      </c>
    </row>
    <row r="1585" spans="1:16" x14ac:dyDescent="0.3">
      <c r="A1585" s="19" t="str">
        <f t="shared" si="49"/>
        <v/>
      </c>
      <c r="L1585" s="21" t="str">
        <f>IF(J1585&lt;&gt;"",VLOOKUP(J1585,HeadCount!A:I,5,0),"")</f>
        <v/>
      </c>
      <c r="P1585" s="19" t="str">
        <f t="shared" si="50"/>
        <v/>
      </c>
    </row>
    <row r="1586" spans="1:16" x14ac:dyDescent="0.3">
      <c r="A1586" s="19" t="str">
        <f t="shared" si="49"/>
        <v/>
      </c>
      <c r="L1586" s="21" t="str">
        <f>IF(J1586&lt;&gt;"",VLOOKUP(J1586,HeadCount!A:I,5,0),"")</f>
        <v/>
      </c>
      <c r="P1586" s="19" t="str">
        <f t="shared" si="50"/>
        <v/>
      </c>
    </row>
    <row r="1587" spans="1:16" x14ac:dyDescent="0.3">
      <c r="A1587" s="19" t="str">
        <f t="shared" si="49"/>
        <v/>
      </c>
      <c r="L1587" s="21" t="str">
        <f>IF(J1587&lt;&gt;"",VLOOKUP(J1587,HeadCount!A:I,5,0),"")</f>
        <v/>
      </c>
      <c r="P1587" s="19" t="str">
        <f t="shared" si="50"/>
        <v/>
      </c>
    </row>
    <row r="1588" spans="1:16" x14ac:dyDescent="0.3">
      <c r="A1588" s="19" t="str">
        <f t="shared" si="49"/>
        <v/>
      </c>
      <c r="L1588" s="21" t="str">
        <f>IF(J1588&lt;&gt;"",VLOOKUP(J1588,HeadCount!A:I,5,0),"")</f>
        <v/>
      </c>
      <c r="P1588" s="19" t="str">
        <f t="shared" si="50"/>
        <v/>
      </c>
    </row>
    <row r="1589" spans="1:16" x14ac:dyDescent="0.3">
      <c r="A1589" s="19" t="str">
        <f t="shared" si="49"/>
        <v/>
      </c>
      <c r="L1589" s="21" t="str">
        <f>IF(J1589&lt;&gt;"",VLOOKUP(J1589,HeadCount!A:I,5,0),"")</f>
        <v/>
      </c>
      <c r="P1589" s="19" t="str">
        <f t="shared" si="50"/>
        <v/>
      </c>
    </row>
    <row r="1590" spans="1:16" x14ac:dyDescent="0.3">
      <c r="A1590" s="19" t="str">
        <f t="shared" si="49"/>
        <v/>
      </c>
      <c r="L1590" s="21" t="str">
        <f>IF(J1590&lt;&gt;"",VLOOKUP(J1590,HeadCount!A:I,5,0),"")</f>
        <v/>
      </c>
      <c r="P1590" s="19" t="str">
        <f t="shared" si="50"/>
        <v/>
      </c>
    </row>
    <row r="1591" spans="1:16" x14ac:dyDescent="0.3">
      <c r="A1591" s="19" t="str">
        <f t="shared" si="49"/>
        <v/>
      </c>
      <c r="L1591" s="21" t="str">
        <f>IF(J1591&lt;&gt;"",VLOOKUP(J1591,HeadCount!A:I,5,0),"")</f>
        <v/>
      </c>
      <c r="P1591" s="19" t="str">
        <f t="shared" si="50"/>
        <v/>
      </c>
    </row>
    <row r="1592" spans="1:16" x14ac:dyDescent="0.3">
      <c r="A1592" s="19" t="str">
        <f t="shared" si="49"/>
        <v/>
      </c>
      <c r="L1592" s="21" t="str">
        <f>IF(J1592&lt;&gt;"",VLOOKUP(J1592,HeadCount!A:I,5,0),"")</f>
        <v/>
      </c>
      <c r="P1592" s="19" t="str">
        <f t="shared" si="50"/>
        <v/>
      </c>
    </row>
    <row r="1593" spans="1:16" x14ac:dyDescent="0.3">
      <c r="A1593" s="19" t="str">
        <f t="shared" si="49"/>
        <v/>
      </c>
      <c r="L1593" s="21" t="str">
        <f>IF(J1593&lt;&gt;"",VLOOKUP(J1593,HeadCount!A:I,5,0),"")</f>
        <v/>
      </c>
      <c r="P1593" s="19" t="str">
        <f t="shared" si="50"/>
        <v/>
      </c>
    </row>
    <row r="1594" spans="1:16" x14ac:dyDescent="0.3">
      <c r="A1594" s="19" t="str">
        <f t="shared" si="49"/>
        <v/>
      </c>
      <c r="L1594" s="21" t="str">
        <f>IF(J1594&lt;&gt;"",VLOOKUP(J1594,HeadCount!A:I,5,0),"")</f>
        <v/>
      </c>
      <c r="P1594" s="19" t="str">
        <f t="shared" si="50"/>
        <v/>
      </c>
    </row>
    <row r="1595" spans="1:16" x14ac:dyDescent="0.3">
      <c r="A1595" s="19" t="str">
        <f t="shared" si="49"/>
        <v/>
      </c>
      <c r="L1595" s="21" t="str">
        <f>IF(J1595&lt;&gt;"",VLOOKUP(J1595,HeadCount!A:I,5,0),"")</f>
        <v/>
      </c>
      <c r="P1595" s="19" t="str">
        <f t="shared" si="50"/>
        <v/>
      </c>
    </row>
    <row r="1596" spans="1:16" x14ac:dyDescent="0.3">
      <c r="A1596" s="19" t="str">
        <f t="shared" si="49"/>
        <v/>
      </c>
      <c r="L1596" s="21" t="str">
        <f>IF(J1596&lt;&gt;"",VLOOKUP(J1596,HeadCount!A:I,5,0),"")</f>
        <v/>
      </c>
      <c r="P1596" s="19" t="str">
        <f t="shared" si="50"/>
        <v/>
      </c>
    </row>
    <row r="1597" spans="1:16" x14ac:dyDescent="0.3">
      <c r="A1597" s="19" t="str">
        <f t="shared" si="49"/>
        <v/>
      </c>
      <c r="L1597" s="21" t="str">
        <f>IF(J1597&lt;&gt;"",VLOOKUP(J1597,HeadCount!A:I,5,0),"")</f>
        <v/>
      </c>
      <c r="P1597" s="19" t="str">
        <f t="shared" si="50"/>
        <v/>
      </c>
    </row>
    <row r="1598" spans="1:16" x14ac:dyDescent="0.3">
      <c r="A1598" s="19" t="str">
        <f t="shared" si="49"/>
        <v/>
      </c>
      <c r="L1598" s="21" t="str">
        <f>IF(J1598&lt;&gt;"",VLOOKUP(J1598,HeadCount!A:I,5,0),"")</f>
        <v/>
      </c>
      <c r="P1598" s="19" t="str">
        <f t="shared" si="50"/>
        <v/>
      </c>
    </row>
    <row r="1599" spans="1:16" x14ac:dyDescent="0.3">
      <c r="A1599" s="19" t="str">
        <f t="shared" si="49"/>
        <v/>
      </c>
      <c r="L1599" s="21" t="str">
        <f>IF(J1599&lt;&gt;"",VLOOKUP(J1599,HeadCount!A:I,5,0),"")</f>
        <v/>
      </c>
      <c r="P1599" s="19" t="str">
        <f t="shared" si="50"/>
        <v/>
      </c>
    </row>
    <row r="1600" spans="1:16" x14ac:dyDescent="0.3">
      <c r="A1600" s="19" t="str">
        <f t="shared" si="49"/>
        <v/>
      </c>
      <c r="L1600" s="21" t="str">
        <f>IF(J1600&lt;&gt;"",VLOOKUP(J1600,HeadCount!A:I,5,0),"")</f>
        <v/>
      </c>
      <c r="P1600" s="19" t="str">
        <f t="shared" si="50"/>
        <v/>
      </c>
    </row>
    <row r="1601" spans="1:16" x14ac:dyDescent="0.3">
      <c r="A1601" s="19" t="str">
        <f t="shared" si="49"/>
        <v/>
      </c>
      <c r="L1601" s="21" t="str">
        <f>IF(J1601&lt;&gt;"",VLOOKUP(J1601,HeadCount!A:I,5,0),"")</f>
        <v/>
      </c>
      <c r="P1601" s="19" t="str">
        <f t="shared" si="50"/>
        <v/>
      </c>
    </row>
    <row r="1602" spans="1:16" x14ac:dyDescent="0.3">
      <c r="A1602" s="19" t="str">
        <f t="shared" ref="A1602:A1665" si="51">IF(C1602&lt;&gt;"",ROW(A1601),"")</f>
        <v/>
      </c>
      <c r="L1602" s="21" t="str">
        <f>IF(J1602&lt;&gt;"",VLOOKUP(J1602,HeadCount!A:I,5,0),"")</f>
        <v/>
      </c>
      <c r="P1602" s="19" t="str">
        <f t="shared" si="50"/>
        <v/>
      </c>
    </row>
    <row r="1603" spans="1:16" x14ac:dyDescent="0.3">
      <c r="A1603" s="19" t="str">
        <f t="shared" si="51"/>
        <v/>
      </c>
      <c r="L1603" s="21" t="str">
        <f>IF(J1603&lt;&gt;"",VLOOKUP(J1603,HeadCount!A:I,5,0),"")</f>
        <v/>
      </c>
      <c r="P1603" s="19" t="str">
        <f t="shared" ref="P1603:P1666" si="52">IF(N1603="","",(O1603-N1603)+1)</f>
        <v/>
      </c>
    </row>
    <row r="1604" spans="1:16" x14ac:dyDescent="0.3">
      <c r="A1604" s="19" t="str">
        <f t="shared" si="51"/>
        <v/>
      </c>
      <c r="L1604" s="21" t="str">
        <f>IF(J1604&lt;&gt;"",VLOOKUP(J1604,HeadCount!A:I,5,0),"")</f>
        <v/>
      </c>
      <c r="P1604" s="19" t="str">
        <f t="shared" si="52"/>
        <v/>
      </c>
    </row>
    <row r="1605" spans="1:16" x14ac:dyDescent="0.3">
      <c r="A1605" s="19" t="str">
        <f t="shared" si="51"/>
        <v/>
      </c>
      <c r="L1605" s="21" t="str">
        <f>IF(J1605&lt;&gt;"",VLOOKUP(J1605,HeadCount!A:I,5,0),"")</f>
        <v/>
      </c>
      <c r="P1605" s="19" t="str">
        <f t="shared" si="52"/>
        <v/>
      </c>
    </row>
    <row r="1606" spans="1:16" x14ac:dyDescent="0.3">
      <c r="A1606" s="19" t="str">
        <f t="shared" si="51"/>
        <v/>
      </c>
      <c r="L1606" s="21" t="str">
        <f>IF(J1606&lt;&gt;"",VLOOKUP(J1606,HeadCount!A:I,5,0),"")</f>
        <v/>
      </c>
      <c r="P1606" s="19" t="str">
        <f t="shared" si="52"/>
        <v/>
      </c>
    </row>
    <row r="1607" spans="1:16" x14ac:dyDescent="0.3">
      <c r="A1607" s="19" t="str">
        <f t="shared" si="51"/>
        <v/>
      </c>
      <c r="L1607" s="21" t="str">
        <f>IF(J1607&lt;&gt;"",VLOOKUP(J1607,HeadCount!A:I,5,0),"")</f>
        <v/>
      </c>
      <c r="P1607" s="19" t="str">
        <f t="shared" si="52"/>
        <v/>
      </c>
    </row>
    <row r="1608" spans="1:16" x14ac:dyDescent="0.3">
      <c r="A1608" s="19" t="str">
        <f t="shared" si="51"/>
        <v/>
      </c>
      <c r="L1608" s="21" t="str">
        <f>IF(J1608&lt;&gt;"",VLOOKUP(J1608,HeadCount!A:I,5,0),"")</f>
        <v/>
      </c>
      <c r="P1608" s="19" t="str">
        <f t="shared" si="52"/>
        <v/>
      </c>
    </row>
    <row r="1609" spans="1:16" x14ac:dyDescent="0.3">
      <c r="A1609" s="19" t="str">
        <f t="shared" si="51"/>
        <v/>
      </c>
      <c r="L1609" s="21" t="str">
        <f>IF(J1609&lt;&gt;"",VLOOKUP(J1609,HeadCount!A:I,5,0),"")</f>
        <v/>
      </c>
      <c r="P1609" s="19" t="str">
        <f t="shared" si="52"/>
        <v/>
      </c>
    </row>
    <row r="1610" spans="1:16" x14ac:dyDescent="0.3">
      <c r="A1610" s="19" t="str">
        <f t="shared" si="51"/>
        <v/>
      </c>
      <c r="L1610" s="21" t="str">
        <f>IF(J1610&lt;&gt;"",VLOOKUP(J1610,HeadCount!A:I,5,0),"")</f>
        <v/>
      </c>
      <c r="P1610" s="19" t="str">
        <f t="shared" si="52"/>
        <v/>
      </c>
    </row>
    <row r="1611" spans="1:16" x14ac:dyDescent="0.3">
      <c r="A1611" s="19" t="str">
        <f t="shared" si="51"/>
        <v/>
      </c>
      <c r="L1611" s="21" t="str">
        <f>IF(J1611&lt;&gt;"",VLOOKUP(J1611,HeadCount!A:I,5,0),"")</f>
        <v/>
      </c>
      <c r="P1611" s="19" t="str">
        <f t="shared" si="52"/>
        <v/>
      </c>
    </row>
    <row r="1612" spans="1:16" x14ac:dyDescent="0.3">
      <c r="A1612" s="19" t="str">
        <f t="shared" si="51"/>
        <v/>
      </c>
      <c r="L1612" s="21" t="str">
        <f>IF(J1612&lt;&gt;"",VLOOKUP(J1612,HeadCount!A:I,5,0),"")</f>
        <v/>
      </c>
      <c r="P1612" s="19" t="str">
        <f t="shared" si="52"/>
        <v/>
      </c>
    </row>
    <row r="1613" spans="1:16" x14ac:dyDescent="0.3">
      <c r="A1613" s="19" t="str">
        <f t="shared" si="51"/>
        <v/>
      </c>
      <c r="L1613" s="21" t="str">
        <f>IF(J1613&lt;&gt;"",VLOOKUP(J1613,HeadCount!A:I,5,0),"")</f>
        <v/>
      </c>
      <c r="P1613" s="19" t="str">
        <f t="shared" si="52"/>
        <v/>
      </c>
    </row>
    <row r="1614" spans="1:16" x14ac:dyDescent="0.3">
      <c r="A1614" s="19" t="str">
        <f t="shared" si="51"/>
        <v/>
      </c>
      <c r="L1614" s="21" t="str">
        <f>IF(J1614&lt;&gt;"",VLOOKUP(J1614,HeadCount!A:I,5,0),"")</f>
        <v/>
      </c>
      <c r="P1614" s="19" t="str">
        <f t="shared" si="52"/>
        <v/>
      </c>
    </row>
    <row r="1615" spans="1:16" x14ac:dyDescent="0.3">
      <c r="A1615" s="19" t="str">
        <f t="shared" si="51"/>
        <v/>
      </c>
      <c r="L1615" s="21" t="str">
        <f>IF(J1615&lt;&gt;"",VLOOKUP(J1615,HeadCount!A:I,5,0),"")</f>
        <v/>
      </c>
      <c r="P1615" s="19" t="str">
        <f t="shared" si="52"/>
        <v/>
      </c>
    </row>
    <row r="1616" spans="1:16" x14ac:dyDescent="0.3">
      <c r="A1616" s="19" t="str">
        <f t="shared" si="51"/>
        <v/>
      </c>
      <c r="L1616" s="21" t="str">
        <f>IF(J1616&lt;&gt;"",VLOOKUP(J1616,HeadCount!A:I,5,0),"")</f>
        <v/>
      </c>
      <c r="P1616" s="19" t="str">
        <f t="shared" si="52"/>
        <v/>
      </c>
    </row>
    <row r="1617" spans="1:16" x14ac:dyDescent="0.3">
      <c r="A1617" s="19" t="str">
        <f t="shared" si="51"/>
        <v/>
      </c>
      <c r="L1617" s="21" t="str">
        <f>IF(J1617&lt;&gt;"",VLOOKUP(J1617,HeadCount!A:I,5,0),"")</f>
        <v/>
      </c>
      <c r="P1617" s="19" t="str">
        <f t="shared" si="52"/>
        <v/>
      </c>
    </row>
    <row r="1618" spans="1:16" x14ac:dyDescent="0.3">
      <c r="A1618" s="19" t="str">
        <f t="shared" si="51"/>
        <v/>
      </c>
      <c r="L1618" s="21" t="str">
        <f>IF(J1618&lt;&gt;"",VLOOKUP(J1618,HeadCount!A:I,5,0),"")</f>
        <v/>
      </c>
      <c r="P1618" s="19" t="str">
        <f t="shared" si="52"/>
        <v/>
      </c>
    </row>
    <row r="1619" spans="1:16" x14ac:dyDescent="0.3">
      <c r="A1619" s="19" t="str">
        <f t="shared" si="51"/>
        <v/>
      </c>
      <c r="L1619" s="21" t="str">
        <f>IF(J1619&lt;&gt;"",VLOOKUP(J1619,HeadCount!A:I,5,0),"")</f>
        <v/>
      </c>
      <c r="P1619" s="19" t="str">
        <f t="shared" si="52"/>
        <v/>
      </c>
    </row>
    <row r="1620" spans="1:16" x14ac:dyDescent="0.3">
      <c r="A1620" s="19" t="str">
        <f t="shared" si="51"/>
        <v/>
      </c>
      <c r="L1620" s="21" t="str">
        <f>IF(J1620&lt;&gt;"",VLOOKUP(J1620,HeadCount!A:I,5,0),"")</f>
        <v/>
      </c>
      <c r="P1620" s="19" t="str">
        <f t="shared" si="52"/>
        <v/>
      </c>
    </row>
    <row r="1621" spans="1:16" x14ac:dyDescent="0.3">
      <c r="A1621" s="19" t="str">
        <f t="shared" si="51"/>
        <v/>
      </c>
      <c r="L1621" s="21" t="str">
        <f>IF(J1621&lt;&gt;"",VLOOKUP(J1621,HeadCount!A:I,5,0),"")</f>
        <v/>
      </c>
      <c r="P1621" s="19" t="str">
        <f t="shared" si="52"/>
        <v/>
      </c>
    </row>
    <row r="1622" spans="1:16" x14ac:dyDescent="0.3">
      <c r="A1622" s="19" t="str">
        <f t="shared" si="51"/>
        <v/>
      </c>
      <c r="L1622" s="21" t="str">
        <f>IF(J1622&lt;&gt;"",VLOOKUP(J1622,HeadCount!A:I,5,0),"")</f>
        <v/>
      </c>
      <c r="P1622" s="19" t="str">
        <f t="shared" si="52"/>
        <v/>
      </c>
    </row>
    <row r="1623" spans="1:16" x14ac:dyDescent="0.3">
      <c r="A1623" s="19" t="str">
        <f t="shared" si="51"/>
        <v/>
      </c>
      <c r="L1623" s="21" t="str">
        <f>IF(J1623&lt;&gt;"",VLOOKUP(J1623,HeadCount!A:I,5,0),"")</f>
        <v/>
      </c>
      <c r="P1623" s="19" t="str">
        <f t="shared" si="52"/>
        <v/>
      </c>
    </row>
    <row r="1624" spans="1:16" x14ac:dyDescent="0.3">
      <c r="A1624" s="19" t="str">
        <f t="shared" si="51"/>
        <v/>
      </c>
      <c r="L1624" s="21" t="str">
        <f>IF(J1624&lt;&gt;"",VLOOKUP(J1624,HeadCount!A:I,5,0),"")</f>
        <v/>
      </c>
      <c r="P1624" s="19" t="str">
        <f t="shared" si="52"/>
        <v/>
      </c>
    </row>
    <row r="1625" spans="1:16" x14ac:dyDescent="0.3">
      <c r="A1625" s="19" t="str">
        <f t="shared" si="51"/>
        <v/>
      </c>
      <c r="L1625" s="21" t="str">
        <f>IF(J1625&lt;&gt;"",VLOOKUP(J1625,HeadCount!A:I,5,0),"")</f>
        <v/>
      </c>
      <c r="P1625" s="19" t="str">
        <f t="shared" si="52"/>
        <v/>
      </c>
    </row>
    <row r="1626" spans="1:16" x14ac:dyDescent="0.3">
      <c r="A1626" s="19" t="str">
        <f t="shared" si="51"/>
        <v/>
      </c>
      <c r="L1626" s="21" t="str">
        <f>IF(J1626&lt;&gt;"",VLOOKUP(J1626,HeadCount!A:I,5,0),"")</f>
        <v/>
      </c>
      <c r="P1626" s="19" t="str">
        <f t="shared" si="52"/>
        <v/>
      </c>
    </row>
    <row r="1627" spans="1:16" x14ac:dyDescent="0.3">
      <c r="A1627" s="19" t="str">
        <f t="shared" si="51"/>
        <v/>
      </c>
      <c r="L1627" s="21" t="str">
        <f>IF(J1627&lt;&gt;"",VLOOKUP(J1627,HeadCount!A:I,5,0),"")</f>
        <v/>
      </c>
      <c r="P1627" s="19" t="str">
        <f t="shared" si="52"/>
        <v/>
      </c>
    </row>
    <row r="1628" spans="1:16" x14ac:dyDescent="0.3">
      <c r="A1628" s="19" t="str">
        <f t="shared" si="51"/>
        <v/>
      </c>
      <c r="L1628" s="21" t="str">
        <f>IF(J1628&lt;&gt;"",VLOOKUP(J1628,HeadCount!A:I,5,0),"")</f>
        <v/>
      </c>
      <c r="P1628" s="19" t="str">
        <f t="shared" si="52"/>
        <v/>
      </c>
    </row>
    <row r="1629" spans="1:16" x14ac:dyDescent="0.3">
      <c r="A1629" s="19" t="str">
        <f t="shared" si="51"/>
        <v/>
      </c>
      <c r="L1629" s="21" t="str">
        <f>IF(J1629&lt;&gt;"",VLOOKUP(J1629,HeadCount!A:I,5,0),"")</f>
        <v/>
      </c>
      <c r="P1629" s="19" t="str">
        <f t="shared" si="52"/>
        <v/>
      </c>
    </row>
    <row r="1630" spans="1:16" x14ac:dyDescent="0.3">
      <c r="A1630" s="19" t="str">
        <f t="shared" si="51"/>
        <v/>
      </c>
      <c r="L1630" s="21" t="str">
        <f>IF(J1630&lt;&gt;"",VLOOKUP(J1630,HeadCount!A:I,5,0),"")</f>
        <v/>
      </c>
      <c r="P1630" s="19" t="str">
        <f t="shared" si="52"/>
        <v/>
      </c>
    </row>
    <row r="1631" spans="1:16" x14ac:dyDescent="0.3">
      <c r="A1631" s="19" t="str">
        <f t="shared" si="51"/>
        <v/>
      </c>
      <c r="L1631" s="21" t="str">
        <f>IF(J1631&lt;&gt;"",VLOOKUP(J1631,HeadCount!A:I,5,0),"")</f>
        <v/>
      </c>
      <c r="P1631" s="19" t="str">
        <f t="shared" si="52"/>
        <v/>
      </c>
    </row>
    <row r="1632" spans="1:16" x14ac:dyDescent="0.3">
      <c r="A1632" s="19" t="str">
        <f t="shared" si="51"/>
        <v/>
      </c>
      <c r="L1632" s="21" t="str">
        <f>IF(J1632&lt;&gt;"",VLOOKUP(J1632,HeadCount!A:I,5,0),"")</f>
        <v/>
      </c>
      <c r="P1632" s="19" t="str">
        <f t="shared" si="52"/>
        <v/>
      </c>
    </row>
    <row r="1633" spans="1:16" x14ac:dyDescent="0.3">
      <c r="A1633" s="19" t="str">
        <f t="shared" si="51"/>
        <v/>
      </c>
      <c r="L1633" s="21" t="str">
        <f>IF(J1633&lt;&gt;"",VLOOKUP(J1633,HeadCount!A:I,5,0),"")</f>
        <v/>
      </c>
      <c r="P1633" s="19" t="str">
        <f t="shared" si="52"/>
        <v/>
      </c>
    </row>
    <row r="1634" spans="1:16" x14ac:dyDescent="0.3">
      <c r="A1634" s="19" t="str">
        <f t="shared" si="51"/>
        <v/>
      </c>
      <c r="L1634" s="21" t="str">
        <f>IF(J1634&lt;&gt;"",VLOOKUP(J1634,HeadCount!A:I,5,0),"")</f>
        <v/>
      </c>
      <c r="P1634" s="19" t="str">
        <f t="shared" si="52"/>
        <v/>
      </c>
    </row>
    <row r="1635" spans="1:16" x14ac:dyDescent="0.3">
      <c r="A1635" s="19" t="str">
        <f t="shared" si="51"/>
        <v/>
      </c>
      <c r="L1635" s="21" t="str">
        <f>IF(J1635&lt;&gt;"",VLOOKUP(J1635,HeadCount!A:I,5,0),"")</f>
        <v/>
      </c>
      <c r="P1635" s="19" t="str">
        <f t="shared" si="52"/>
        <v/>
      </c>
    </row>
    <row r="1636" spans="1:16" x14ac:dyDescent="0.3">
      <c r="A1636" s="19" t="str">
        <f t="shared" si="51"/>
        <v/>
      </c>
      <c r="L1636" s="21" t="str">
        <f>IF(J1636&lt;&gt;"",VLOOKUP(J1636,HeadCount!A:I,5,0),"")</f>
        <v/>
      </c>
      <c r="P1636" s="19" t="str">
        <f t="shared" si="52"/>
        <v/>
      </c>
    </row>
    <row r="1637" spans="1:16" x14ac:dyDescent="0.3">
      <c r="A1637" s="19" t="str">
        <f t="shared" si="51"/>
        <v/>
      </c>
      <c r="L1637" s="21" t="str">
        <f>IF(J1637&lt;&gt;"",VLOOKUP(J1637,HeadCount!A:I,5,0),"")</f>
        <v/>
      </c>
      <c r="P1637" s="19" t="str">
        <f t="shared" si="52"/>
        <v/>
      </c>
    </row>
    <row r="1638" spans="1:16" x14ac:dyDescent="0.3">
      <c r="A1638" s="19" t="str">
        <f t="shared" si="51"/>
        <v/>
      </c>
      <c r="L1638" s="21" t="str">
        <f>IF(J1638&lt;&gt;"",VLOOKUP(J1638,HeadCount!A:I,5,0),"")</f>
        <v/>
      </c>
      <c r="P1638" s="19" t="str">
        <f t="shared" si="52"/>
        <v/>
      </c>
    </row>
    <row r="1639" spans="1:16" x14ac:dyDescent="0.3">
      <c r="A1639" s="19" t="str">
        <f t="shared" si="51"/>
        <v/>
      </c>
      <c r="L1639" s="21" t="str">
        <f>IF(J1639&lt;&gt;"",VLOOKUP(J1639,HeadCount!A:I,5,0),"")</f>
        <v/>
      </c>
      <c r="P1639" s="19" t="str">
        <f t="shared" si="52"/>
        <v/>
      </c>
    </row>
    <row r="1640" spans="1:16" x14ac:dyDescent="0.3">
      <c r="A1640" s="19" t="str">
        <f t="shared" si="51"/>
        <v/>
      </c>
      <c r="L1640" s="21" t="str">
        <f>IF(J1640&lt;&gt;"",VLOOKUP(J1640,HeadCount!A:I,5,0),"")</f>
        <v/>
      </c>
      <c r="P1640" s="19" t="str">
        <f t="shared" si="52"/>
        <v/>
      </c>
    </row>
    <row r="1641" spans="1:16" x14ac:dyDescent="0.3">
      <c r="A1641" s="19" t="str">
        <f t="shared" si="51"/>
        <v/>
      </c>
      <c r="L1641" s="21" t="str">
        <f>IF(J1641&lt;&gt;"",VLOOKUP(J1641,HeadCount!A:I,5,0),"")</f>
        <v/>
      </c>
      <c r="P1641" s="19" t="str">
        <f t="shared" si="52"/>
        <v/>
      </c>
    </row>
    <row r="1642" spans="1:16" x14ac:dyDescent="0.3">
      <c r="A1642" s="19" t="str">
        <f t="shared" si="51"/>
        <v/>
      </c>
      <c r="L1642" s="21" t="str">
        <f>IF(J1642&lt;&gt;"",VLOOKUP(J1642,HeadCount!A:I,5,0),"")</f>
        <v/>
      </c>
      <c r="P1642" s="19" t="str">
        <f t="shared" si="52"/>
        <v/>
      </c>
    </row>
    <row r="1643" spans="1:16" x14ac:dyDescent="0.3">
      <c r="A1643" s="19" t="str">
        <f t="shared" si="51"/>
        <v/>
      </c>
      <c r="L1643" s="21" t="str">
        <f>IF(J1643&lt;&gt;"",VLOOKUP(J1643,HeadCount!A:I,5,0),"")</f>
        <v/>
      </c>
      <c r="P1643" s="19" t="str">
        <f t="shared" si="52"/>
        <v/>
      </c>
    </row>
    <row r="1644" spans="1:16" x14ac:dyDescent="0.3">
      <c r="A1644" s="19" t="str">
        <f t="shared" si="51"/>
        <v/>
      </c>
      <c r="L1644" s="21" t="str">
        <f>IF(J1644&lt;&gt;"",VLOOKUP(J1644,HeadCount!A:I,5,0),"")</f>
        <v/>
      </c>
      <c r="P1644" s="19" t="str">
        <f t="shared" si="52"/>
        <v/>
      </c>
    </row>
    <row r="1645" spans="1:16" x14ac:dyDescent="0.3">
      <c r="A1645" s="19" t="str">
        <f t="shared" si="51"/>
        <v/>
      </c>
      <c r="L1645" s="21" t="str">
        <f>IF(J1645&lt;&gt;"",VLOOKUP(J1645,HeadCount!A:I,5,0),"")</f>
        <v/>
      </c>
      <c r="P1645" s="19" t="str">
        <f t="shared" si="52"/>
        <v/>
      </c>
    </row>
    <row r="1646" spans="1:16" x14ac:dyDescent="0.3">
      <c r="A1646" s="19" t="str">
        <f t="shared" si="51"/>
        <v/>
      </c>
      <c r="L1646" s="21" t="str">
        <f>IF(J1646&lt;&gt;"",VLOOKUP(J1646,HeadCount!A:I,5,0),"")</f>
        <v/>
      </c>
      <c r="P1646" s="19" t="str">
        <f t="shared" si="52"/>
        <v/>
      </c>
    </row>
    <row r="1647" spans="1:16" x14ac:dyDescent="0.3">
      <c r="A1647" s="19" t="str">
        <f t="shared" si="51"/>
        <v/>
      </c>
      <c r="L1647" s="21" t="str">
        <f>IF(J1647&lt;&gt;"",VLOOKUP(J1647,HeadCount!A:I,5,0),"")</f>
        <v/>
      </c>
      <c r="P1647" s="19" t="str">
        <f t="shared" si="52"/>
        <v/>
      </c>
    </row>
    <row r="1648" spans="1:16" x14ac:dyDescent="0.3">
      <c r="A1648" s="19" t="str">
        <f t="shared" si="51"/>
        <v/>
      </c>
      <c r="L1648" s="21" t="str">
        <f>IF(J1648&lt;&gt;"",VLOOKUP(J1648,HeadCount!A:I,5,0),"")</f>
        <v/>
      </c>
      <c r="P1648" s="19" t="str">
        <f t="shared" si="52"/>
        <v/>
      </c>
    </row>
    <row r="1649" spans="1:16" x14ac:dyDescent="0.3">
      <c r="A1649" s="19" t="str">
        <f t="shared" si="51"/>
        <v/>
      </c>
      <c r="L1649" s="21" t="str">
        <f>IF(J1649&lt;&gt;"",VLOOKUP(J1649,HeadCount!A:I,5,0),"")</f>
        <v/>
      </c>
      <c r="P1649" s="19" t="str">
        <f t="shared" si="52"/>
        <v/>
      </c>
    </row>
    <row r="1650" spans="1:16" x14ac:dyDescent="0.3">
      <c r="A1650" s="19" t="str">
        <f t="shared" si="51"/>
        <v/>
      </c>
      <c r="L1650" s="21" t="str">
        <f>IF(J1650&lt;&gt;"",VLOOKUP(J1650,HeadCount!A:I,5,0),"")</f>
        <v/>
      </c>
      <c r="P1650" s="19" t="str">
        <f t="shared" si="52"/>
        <v/>
      </c>
    </row>
    <row r="1651" spans="1:16" x14ac:dyDescent="0.3">
      <c r="A1651" s="19" t="str">
        <f t="shared" si="51"/>
        <v/>
      </c>
      <c r="L1651" s="21" t="str">
        <f>IF(J1651&lt;&gt;"",VLOOKUP(J1651,HeadCount!A:I,5,0),"")</f>
        <v/>
      </c>
      <c r="P1651" s="19" t="str">
        <f t="shared" si="52"/>
        <v/>
      </c>
    </row>
    <row r="1652" spans="1:16" x14ac:dyDescent="0.3">
      <c r="A1652" s="19" t="str">
        <f t="shared" si="51"/>
        <v/>
      </c>
      <c r="L1652" s="21" t="str">
        <f>IF(J1652&lt;&gt;"",VLOOKUP(J1652,HeadCount!A:I,5,0),"")</f>
        <v/>
      </c>
      <c r="P1652" s="19" t="str">
        <f t="shared" si="52"/>
        <v/>
      </c>
    </row>
    <row r="1653" spans="1:16" x14ac:dyDescent="0.3">
      <c r="A1653" s="19" t="str">
        <f t="shared" si="51"/>
        <v/>
      </c>
      <c r="L1653" s="21" t="str">
        <f>IF(J1653&lt;&gt;"",VLOOKUP(J1653,HeadCount!A:I,5,0),"")</f>
        <v/>
      </c>
      <c r="P1653" s="19" t="str">
        <f t="shared" si="52"/>
        <v/>
      </c>
    </row>
    <row r="1654" spans="1:16" x14ac:dyDescent="0.3">
      <c r="A1654" s="19" t="str">
        <f t="shared" si="51"/>
        <v/>
      </c>
      <c r="L1654" s="21" t="str">
        <f>IF(J1654&lt;&gt;"",VLOOKUP(J1654,HeadCount!A:I,5,0),"")</f>
        <v/>
      </c>
      <c r="P1654" s="19" t="str">
        <f t="shared" si="52"/>
        <v/>
      </c>
    </row>
    <row r="1655" spans="1:16" x14ac:dyDescent="0.3">
      <c r="A1655" s="19" t="str">
        <f t="shared" si="51"/>
        <v/>
      </c>
      <c r="L1655" s="21" t="str">
        <f>IF(J1655&lt;&gt;"",VLOOKUP(J1655,HeadCount!A:I,5,0),"")</f>
        <v/>
      </c>
      <c r="P1655" s="19" t="str">
        <f t="shared" si="52"/>
        <v/>
      </c>
    </row>
    <row r="1656" spans="1:16" x14ac:dyDescent="0.3">
      <c r="A1656" s="19" t="str">
        <f t="shared" si="51"/>
        <v/>
      </c>
      <c r="L1656" s="21" t="str">
        <f>IF(J1656&lt;&gt;"",VLOOKUP(J1656,HeadCount!A:I,5,0),"")</f>
        <v/>
      </c>
      <c r="P1656" s="19" t="str">
        <f t="shared" si="52"/>
        <v/>
      </c>
    </row>
    <row r="1657" spans="1:16" x14ac:dyDescent="0.3">
      <c r="A1657" s="19" t="str">
        <f t="shared" si="51"/>
        <v/>
      </c>
      <c r="L1657" s="21" t="str">
        <f>IF(J1657&lt;&gt;"",VLOOKUP(J1657,HeadCount!A:I,5,0),"")</f>
        <v/>
      </c>
      <c r="P1657" s="19" t="str">
        <f t="shared" si="52"/>
        <v/>
      </c>
    </row>
    <row r="1658" spans="1:16" x14ac:dyDescent="0.3">
      <c r="A1658" s="19" t="str">
        <f t="shared" si="51"/>
        <v/>
      </c>
      <c r="L1658" s="21" t="str">
        <f>IF(J1658&lt;&gt;"",VLOOKUP(J1658,HeadCount!A:I,5,0),"")</f>
        <v/>
      </c>
      <c r="P1658" s="19" t="str">
        <f t="shared" si="52"/>
        <v/>
      </c>
    </row>
    <row r="1659" spans="1:16" x14ac:dyDescent="0.3">
      <c r="A1659" s="19" t="str">
        <f t="shared" si="51"/>
        <v/>
      </c>
      <c r="L1659" s="21" t="str">
        <f>IF(J1659&lt;&gt;"",VLOOKUP(J1659,HeadCount!A:I,5,0),"")</f>
        <v/>
      </c>
      <c r="P1659" s="19" t="str">
        <f t="shared" si="52"/>
        <v/>
      </c>
    </row>
    <row r="1660" spans="1:16" x14ac:dyDescent="0.3">
      <c r="A1660" s="19" t="str">
        <f t="shared" si="51"/>
        <v/>
      </c>
      <c r="L1660" s="21" t="str">
        <f>IF(J1660&lt;&gt;"",VLOOKUP(J1660,HeadCount!A:I,5,0),"")</f>
        <v/>
      </c>
      <c r="P1660" s="19" t="str">
        <f t="shared" si="52"/>
        <v/>
      </c>
    </row>
    <row r="1661" spans="1:16" x14ac:dyDescent="0.3">
      <c r="A1661" s="19" t="str">
        <f t="shared" si="51"/>
        <v/>
      </c>
      <c r="L1661" s="21" t="str">
        <f>IF(J1661&lt;&gt;"",VLOOKUP(J1661,HeadCount!A:I,5,0),"")</f>
        <v/>
      </c>
      <c r="P1661" s="19" t="str">
        <f t="shared" si="52"/>
        <v/>
      </c>
    </row>
    <row r="1662" spans="1:16" x14ac:dyDescent="0.3">
      <c r="A1662" s="19" t="str">
        <f t="shared" si="51"/>
        <v/>
      </c>
      <c r="L1662" s="21" t="str">
        <f>IF(J1662&lt;&gt;"",VLOOKUP(J1662,HeadCount!A:I,5,0),"")</f>
        <v/>
      </c>
      <c r="P1662" s="19" t="str">
        <f t="shared" si="52"/>
        <v/>
      </c>
    </row>
    <row r="1663" spans="1:16" x14ac:dyDescent="0.3">
      <c r="A1663" s="19" t="str">
        <f t="shared" si="51"/>
        <v/>
      </c>
      <c r="L1663" s="21" t="str">
        <f>IF(J1663&lt;&gt;"",VLOOKUP(J1663,HeadCount!A:I,5,0),"")</f>
        <v/>
      </c>
      <c r="P1663" s="19" t="str">
        <f t="shared" si="52"/>
        <v/>
      </c>
    </row>
    <row r="1664" spans="1:16" x14ac:dyDescent="0.3">
      <c r="A1664" s="19" t="str">
        <f t="shared" si="51"/>
        <v/>
      </c>
      <c r="L1664" s="21" t="str">
        <f>IF(J1664&lt;&gt;"",VLOOKUP(J1664,HeadCount!A:I,5,0),"")</f>
        <v/>
      </c>
      <c r="P1664" s="19" t="str">
        <f t="shared" si="52"/>
        <v/>
      </c>
    </row>
    <row r="1665" spans="1:16" x14ac:dyDescent="0.3">
      <c r="A1665" s="19" t="str">
        <f t="shared" si="51"/>
        <v/>
      </c>
      <c r="L1665" s="21" t="str">
        <f>IF(J1665&lt;&gt;"",VLOOKUP(J1665,HeadCount!A:I,5,0),"")</f>
        <v/>
      </c>
      <c r="P1665" s="19" t="str">
        <f t="shared" si="52"/>
        <v/>
      </c>
    </row>
    <row r="1666" spans="1:16" x14ac:dyDescent="0.3">
      <c r="A1666" s="19" t="str">
        <f t="shared" ref="A1666:A1729" si="53">IF(C1666&lt;&gt;"",ROW(A1665),"")</f>
        <v/>
      </c>
      <c r="L1666" s="21" t="str">
        <f>IF(J1666&lt;&gt;"",VLOOKUP(J1666,HeadCount!A:I,5,0),"")</f>
        <v/>
      </c>
      <c r="P1666" s="19" t="str">
        <f t="shared" si="52"/>
        <v/>
      </c>
    </row>
    <row r="1667" spans="1:16" x14ac:dyDescent="0.3">
      <c r="A1667" s="19" t="str">
        <f t="shared" si="53"/>
        <v/>
      </c>
      <c r="L1667" s="21" t="str">
        <f>IF(J1667&lt;&gt;"",VLOOKUP(J1667,HeadCount!A:I,5,0),"")</f>
        <v/>
      </c>
      <c r="P1667" s="19" t="str">
        <f t="shared" ref="P1667:P1730" si="54">IF(N1667="","",(O1667-N1667)+1)</f>
        <v/>
      </c>
    </row>
    <row r="1668" spans="1:16" x14ac:dyDescent="0.3">
      <c r="A1668" s="19" t="str">
        <f t="shared" si="53"/>
        <v/>
      </c>
      <c r="L1668" s="21" t="str">
        <f>IF(J1668&lt;&gt;"",VLOOKUP(J1668,HeadCount!A:I,5,0),"")</f>
        <v/>
      </c>
      <c r="P1668" s="19" t="str">
        <f t="shared" si="54"/>
        <v/>
      </c>
    </row>
    <row r="1669" spans="1:16" x14ac:dyDescent="0.3">
      <c r="A1669" s="19" t="str">
        <f t="shared" si="53"/>
        <v/>
      </c>
      <c r="L1669" s="21" t="str">
        <f>IF(J1669&lt;&gt;"",VLOOKUP(J1669,HeadCount!A:I,5,0),"")</f>
        <v/>
      </c>
      <c r="P1669" s="19" t="str">
        <f t="shared" si="54"/>
        <v/>
      </c>
    </row>
    <row r="1670" spans="1:16" x14ac:dyDescent="0.3">
      <c r="A1670" s="19" t="str">
        <f t="shared" si="53"/>
        <v/>
      </c>
      <c r="L1670" s="21" t="str">
        <f>IF(J1670&lt;&gt;"",VLOOKUP(J1670,HeadCount!A:I,5,0),"")</f>
        <v/>
      </c>
      <c r="P1670" s="19" t="str">
        <f t="shared" si="54"/>
        <v/>
      </c>
    </row>
    <row r="1671" spans="1:16" x14ac:dyDescent="0.3">
      <c r="A1671" s="19" t="str">
        <f t="shared" si="53"/>
        <v/>
      </c>
      <c r="L1671" s="21" t="str">
        <f>IF(J1671&lt;&gt;"",VLOOKUP(J1671,HeadCount!A:I,5,0),"")</f>
        <v/>
      </c>
      <c r="P1671" s="19" t="str">
        <f t="shared" si="54"/>
        <v/>
      </c>
    </row>
    <row r="1672" spans="1:16" x14ac:dyDescent="0.3">
      <c r="A1672" s="19" t="str">
        <f t="shared" si="53"/>
        <v/>
      </c>
      <c r="L1672" s="21" t="str">
        <f>IF(J1672&lt;&gt;"",VLOOKUP(J1672,HeadCount!A:I,5,0),"")</f>
        <v/>
      </c>
      <c r="P1672" s="19" t="str">
        <f t="shared" si="54"/>
        <v/>
      </c>
    </row>
    <row r="1673" spans="1:16" x14ac:dyDescent="0.3">
      <c r="A1673" s="19" t="str">
        <f t="shared" si="53"/>
        <v/>
      </c>
      <c r="L1673" s="21" t="str">
        <f>IF(J1673&lt;&gt;"",VLOOKUP(J1673,HeadCount!A:I,5,0),"")</f>
        <v/>
      </c>
      <c r="P1673" s="19" t="str">
        <f t="shared" si="54"/>
        <v/>
      </c>
    </row>
    <row r="1674" spans="1:16" x14ac:dyDescent="0.3">
      <c r="A1674" s="19" t="str">
        <f t="shared" si="53"/>
        <v/>
      </c>
      <c r="L1674" s="21" t="str">
        <f>IF(J1674&lt;&gt;"",VLOOKUP(J1674,HeadCount!A:I,5,0),"")</f>
        <v/>
      </c>
      <c r="P1674" s="19" t="str">
        <f t="shared" si="54"/>
        <v/>
      </c>
    </row>
    <row r="1675" spans="1:16" x14ac:dyDescent="0.3">
      <c r="A1675" s="19" t="str">
        <f t="shared" si="53"/>
        <v/>
      </c>
      <c r="L1675" s="21" t="str">
        <f>IF(J1675&lt;&gt;"",VLOOKUP(J1675,HeadCount!A:I,5,0),"")</f>
        <v/>
      </c>
      <c r="P1675" s="19" t="str">
        <f t="shared" si="54"/>
        <v/>
      </c>
    </row>
    <row r="1676" spans="1:16" x14ac:dyDescent="0.3">
      <c r="A1676" s="19" t="str">
        <f t="shared" si="53"/>
        <v/>
      </c>
      <c r="L1676" s="21" t="str">
        <f>IF(J1676&lt;&gt;"",VLOOKUP(J1676,HeadCount!A:I,5,0),"")</f>
        <v/>
      </c>
      <c r="P1676" s="19" t="str">
        <f t="shared" si="54"/>
        <v/>
      </c>
    </row>
    <row r="1677" spans="1:16" x14ac:dyDescent="0.3">
      <c r="A1677" s="19" t="str">
        <f t="shared" si="53"/>
        <v/>
      </c>
      <c r="L1677" s="21" t="str">
        <f>IF(J1677&lt;&gt;"",VLOOKUP(J1677,HeadCount!A:I,5,0),"")</f>
        <v/>
      </c>
      <c r="P1677" s="19" t="str">
        <f t="shared" si="54"/>
        <v/>
      </c>
    </row>
    <row r="1678" spans="1:16" x14ac:dyDescent="0.3">
      <c r="A1678" s="19" t="str">
        <f t="shared" si="53"/>
        <v/>
      </c>
      <c r="L1678" s="21" t="str">
        <f>IF(J1678&lt;&gt;"",VLOOKUP(J1678,HeadCount!A:I,5,0),"")</f>
        <v/>
      </c>
      <c r="P1678" s="19" t="str">
        <f t="shared" si="54"/>
        <v/>
      </c>
    </row>
    <row r="1679" spans="1:16" x14ac:dyDescent="0.3">
      <c r="A1679" s="19" t="str">
        <f t="shared" si="53"/>
        <v/>
      </c>
      <c r="L1679" s="21" t="str">
        <f>IF(J1679&lt;&gt;"",VLOOKUP(J1679,HeadCount!A:I,5,0),"")</f>
        <v/>
      </c>
      <c r="P1679" s="19" t="str">
        <f t="shared" si="54"/>
        <v/>
      </c>
    </row>
    <row r="1680" spans="1:16" x14ac:dyDescent="0.3">
      <c r="A1680" s="19" t="str">
        <f t="shared" si="53"/>
        <v/>
      </c>
      <c r="L1680" s="21" t="str">
        <f>IF(J1680&lt;&gt;"",VLOOKUP(J1680,HeadCount!A:I,5,0),"")</f>
        <v/>
      </c>
      <c r="P1680" s="19" t="str">
        <f t="shared" si="54"/>
        <v/>
      </c>
    </row>
    <row r="1681" spans="1:16" x14ac:dyDescent="0.3">
      <c r="A1681" s="19" t="str">
        <f t="shared" si="53"/>
        <v/>
      </c>
      <c r="L1681" s="21" t="str">
        <f>IF(J1681&lt;&gt;"",VLOOKUP(J1681,HeadCount!A:I,5,0),"")</f>
        <v/>
      </c>
      <c r="P1681" s="19" t="str">
        <f t="shared" si="54"/>
        <v/>
      </c>
    </row>
    <row r="1682" spans="1:16" x14ac:dyDescent="0.3">
      <c r="A1682" s="19" t="str">
        <f t="shared" si="53"/>
        <v/>
      </c>
      <c r="L1682" s="21" t="str">
        <f>IF(J1682&lt;&gt;"",VLOOKUP(J1682,HeadCount!A:I,5,0),"")</f>
        <v/>
      </c>
      <c r="P1682" s="19" t="str">
        <f t="shared" si="54"/>
        <v/>
      </c>
    </row>
    <row r="1683" spans="1:16" x14ac:dyDescent="0.3">
      <c r="A1683" s="19" t="str">
        <f t="shared" si="53"/>
        <v/>
      </c>
      <c r="L1683" s="21" t="str">
        <f>IF(J1683&lt;&gt;"",VLOOKUP(J1683,HeadCount!A:I,5,0),"")</f>
        <v/>
      </c>
      <c r="P1683" s="19" t="str">
        <f t="shared" si="54"/>
        <v/>
      </c>
    </row>
    <row r="1684" spans="1:16" x14ac:dyDescent="0.3">
      <c r="A1684" s="19" t="str">
        <f t="shared" si="53"/>
        <v/>
      </c>
      <c r="L1684" s="21" t="str">
        <f>IF(J1684&lt;&gt;"",VLOOKUP(J1684,HeadCount!A:I,5,0),"")</f>
        <v/>
      </c>
      <c r="P1684" s="19" t="str">
        <f t="shared" si="54"/>
        <v/>
      </c>
    </row>
    <row r="1685" spans="1:16" x14ac:dyDescent="0.3">
      <c r="A1685" s="19" t="str">
        <f t="shared" si="53"/>
        <v/>
      </c>
      <c r="L1685" s="21" t="str">
        <f>IF(J1685&lt;&gt;"",VLOOKUP(J1685,HeadCount!A:I,5,0),"")</f>
        <v/>
      </c>
      <c r="P1685" s="19" t="str">
        <f t="shared" si="54"/>
        <v/>
      </c>
    </row>
    <row r="1686" spans="1:16" x14ac:dyDescent="0.3">
      <c r="A1686" s="19" t="str">
        <f t="shared" si="53"/>
        <v/>
      </c>
      <c r="L1686" s="21" t="str">
        <f>IF(J1686&lt;&gt;"",VLOOKUP(J1686,HeadCount!A:I,5,0),"")</f>
        <v/>
      </c>
      <c r="P1686" s="19" t="str">
        <f t="shared" si="54"/>
        <v/>
      </c>
    </row>
    <row r="1687" spans="1:16" x14ac:dyDescent="0.3">
      <c r="A1687" s="19" t="str">
        <f t="shared" si="53"/>
        <v/>
      </c>
      <c r="L1687" s="21" t="str">
        <f>IF(J1687&lt;&gt;"",VLOOKUP(J1687,HeadCount!A:I,5,0),"")</f>
        <v/>
      </c>
      <c r="P1687" s="19" t="str">
        <f t="shared" si="54"/>
        <v/>
      </c>
    </row>
    <row r="1688" spans="1:16" x14ac:dyDescent="0.3">
      <c r="A1688" s="19" t="str">
        <f t="shared" si="53"/>
        <v/>
      </c>
      <c r="L1688" s="21" t="str">
        <f>IF(J1688&lt;&gt;"",VLOOKUP(J1688,HeadCount!A:I,5,0),"")</f>
        <v/>
      </c>
      <c r="P1688" s="19" t="str">
        <f t="shared" si="54"/>
        <v/>
      </c>
    </row>
    <row r="1689" spans="1:16" x14ac:dyDescent="0.3">
      <c r="A1689" s="19" t="str">
        <f t="shared" si="53"/>
        <v/>
      </c>
      <c r="L1689" s="21" t="str">
        <f>IF(J1689&lt;&gt;"",VLOOKUP(J1689,HeadCount!A:I,5,0),"")</f>
        <v/>
      </c>
      <c r="P1689" s="19" t="str">
        <f t="shared" si="54"/>
        <v/>
      </c>
    </row>
    <row r="1690" spans="1:16" x14ac:dyDescent="0.3">
      <c r="A1690" s="19" t="str">
        <f t="shared" si="53"/>
        <v/>
      </c>
      <c r="L1690" s="21" t="str">
        <f>IF(J1690&lt;&gt;"",VLOOKUP(J1690,HeadCount!A:I,5,0),"")</f>
        <v/>
      </c>
      <c r="P1690" s="19" t="str">
        <f t="shared" si="54"/>
        <v/>
      </c>
    </row>
    <row r="1691" spans="1:16" x14ac:dyDescent="0.3">
      <c r="A1691" s="19" t="str">
        <f t="shared" si="53"/>
        <v/>
      </c>
      <c r="L1691" s="21" t="str">
        <f>IF(J1691&lt;&gt;"",VLOOKUP(J1691,HeadCount!A:I,5,0),"")</f>
        <v/>
      </c>
      <c r="P1691" s="19" t="str">
        <f t="shared" si="54"/>
        <v/>
      </c>
    </row>
    <row r="1692" spans="1:16" x14ac:dyDescent="0.3">
      <c r="A1692" s="19" t="str">
        <f t="shared" si="53"/>
        <v/>
      </c>
      <c r="L1692" s="21" t="str">
        <f>IF(J1692&lt;&gt;"",VLOOKUP(J1692,HeadCount!A:I,5,0),"")</f>
        <v/>
      </c>
      <c r="P1692" s="19" t="str">
        <f t="shared" si="54"/>
        <v/>
      </c>
    </row>
    <row r="1693" spans="1:16" x14ac:dyDescent="0.3">
      <c r="A1693" s="19" t="str">
        <f t="shared" si="53"/>
        <v/>
      </c>
      <c r="L1693" s="21" t="str">
        <f>IF(J1693&lt;&gt;"",VLOOKUP(J1693,HeadCount!A:I,5,0),"")</f>
        <v/>
      </c>
      <c r="P1693" s="19" t="str">
        <f t="shared" si="54"/>
        <v/>
      </c>
    </row>
    <row r="1694" spans="1:16" x14ac:dyDescent="0.3">
      <c r="A1694" s="19" t="str">
        <f t="shared" si="53"/>
        <v/>
      </c>
      <c r="L1694" s="21" t="str">
        <f>IF(J1694&lt;&gt;"",VLOOKUP(J1694,HeadCount!A:I,5,0),"")</f>
        <v/>
      </c>
      <c r="P1694" s="19" t="str">
        <f t="shared" si="54"/>
        <v/>
      </c>
    </row>
    <row r="1695" spans="1:16" x14ac:dyDescent="0.3">
      <c r="A1695" s="19" t="str">
        <f t="shared" si="53"/>
        <v/>
      </c>
      <c r="L1695" s="21" t="str">
        <f>IF(J1695&lt;&gt;"",VLOOKUP(J1695,HeadCount!A:I,5,0),"")</f>
        <v/>
      </c>
      <c r="P1695" s="19" t="str">
        <f t="shared" si="54"/>
        <v/>
      </c>
    </row>
    <row r="1696" spans="1:16" x14ac:dyDescent="0.3">
      <c r="A1696" s="19" t="str">
        <f t="shared" si="53"/>
        <v/>
      </c>
      <c r="L1696" s="21" t="str">
        <f>IF(J1696&lt;&gt;"",VLOOKUP(J1696,HeadCount!A:I,5,0),"")</f>
        <v/>
      </c>
      <c r="P1696" s="19" t="str">
        <f t="shared" si="54"/>
        <v/>
      </c>
    </row>
    <row r="1697" spans="1:16" x14ac:dyDescent="0.3">
      <c r="A1697" s="19" t="str">
        <f t="shared" si="53"/>
        <v/>
      </c>
      <c r="L1697" s="21" t="str">
        <f>IF(J1697&lt;&gt;"",VLOOKUP(J1697,HeadCount!A:I,5,0),"")</f>
        <v/>
      </c>
      <c r="P1697" s="19" t="str">
        <f t="shared" si="54"/>
        <v/>
      </c>
    </row>
    <row r="1698" spans="1:16" x14ac:dyDescent="0.3">
      <c r="A1698" s="19" t="str">
        <f t="shared" si="53"/>
        <v/>
      </c>
      <c r="L1698" s="21" t="str">
        <f>IF(J1698&lt;&gt;"",VLOOKUP(J1698,HeadCount!A:I,5,0),"")</f>
        <v/>
      </c>
      <c r="P1698" s="19" t="str">
        <f t="shared" si="54"/>
        <v/>
      </c>
    </row>
    <row r="1699" spans="1:16" x14ac:dyDescent="0.3">
      <c r="A1699" s="19" t="str">
        <f t="shared" si="53"/>
        <v/>
      </c>
      <c r="L1699" s="21" t="str">
        <f>IF(J1699&lt;&gt;"",VLOOKUP(J1699,HeadCount!A:I,5,0),"")</f>
        <v/>
      </c>
      <c r="P1699" s="19" t="str">
        <f t="shared" si="54"/>
        <v/>
      </c>
    </row>
    <row r="1700" spans="1:16" x14ac:dyDescent="0.3">
      <c r="A1700" s="19" t="str">
        <f t="shared" si="53"/>
        <v/>
      </c>
      <c r="L1700" s="21" t="str">
        <f>IF(J1700&lt;&gt;"",VLOOKUP(J1700,HeadCount!A:I,5,0),"")</f>
        <v/>
      </c>
      <c r="P1700" s="19" t="str">
        <f t="shared" si="54"/>
        <v/>
      </c>
    </row>
    <row r="1701" spans="1:16" x14ac:dyDescent="0.3">
      <c r="A1701" s="19" t="str">
        <f t="shared" si="53"/>
        <v/>
      </c>
      <c r="L1701" s="21" t="str">
        <f>IF(J1701&lt;&gt;"",VLOOKUP(J1701,HeadCount!A:I,5,0),"")</f>
        <v/>
      </c>
      <c r="P1701" s="19" t="str">
        <f t="shared" si="54"/>
        <v/>
      </c>
    </row>
    <row r="1702" spans="1:16" x14ac:dyDescent="0.3">
      <c r="A1702" s="19" t="str">
        <f t="shared" si="53"/>
        <v/>
      </c>
      <c r="L1702" s="21" t="str">
        <f>IF(J1702&lt;&gt;"",VLOOKUP(J1702,HeadCount!A:I,5,0),"")</f>
        <v/>
      </c>
      <c r="P1702" s="19" t="str">
        <f t="shared" si="54"/>
        <v/>
      </c>
    </row>
    <row r="1703" spans="1:16" x14ac:dyDescent="0.3">
      <c r="A1703" s="19" t="str">
        <f t="shared" si="53"/>
        <v/>
      </c>
      <c r="L1703" s="21" t="str">
        <f>IF(J1703&lt;&gt;"",VLOOKUP(J1703,HeadCount!A:I,5,0),"")</f>
        <v/>
      </c>
      <c r="P1703" s="19" t="str">
        <f t="shared" si="54"/>
        <v/>
      </c>
    </row>
    <row r="1704" spans="1:16" x14ac:dyDescent="0.3">
      <c r="A1704" s="19" t="str">
        <f t="shared" si="53"/>
        <v/>
      </c>
      <c r="L1704" s="21" t="str">
        <f>IF(J1704&lt;&gt;"",VLOOKUP(J1704,HeadCount!A:I,5,0),"")</f>
        <v/>
      </c>
      <c r="P1704" s="19" t="str">
        <f t="shared" si="54"/>
        <v/>
      </c>
    </row>
    <row r="1705" spans="1:16" x14ac:dyDescent="0.3">
      <c r="A1705" s="19" t="str">
        <f t="shared" si="53"/>
        <v/>
      </c>
      <c r="L1705" s="21" t="str">
        <f>IF(J1705&lt;&gt;"",VLOOKUP(J1705,HeadCount!A:I,5,0),"")</f>
        <v/>
      </c>
      <c r="P1705" s="19" t="str">
        <f t="shared" si="54"/>
        <v/>
      </c>
    </row>
    <row r="1706" spans="1:16" x14ac:dyDescent="0.3">
      <c r="A1706" s="19" t="str">
        <f t="shared" si="53"/>
        <v/>
      </c>
      <c r="L1706" s="21" t="str">
        <f>IF(J1706&lt;&gt;"",VLOOKUP(J1706,HeadCount!A:I,5,0),"")</f>
        <v/>
      </c>
      <c r="P1706" s="19" t="str">
        <f t="shared" si="54"/>
        <v/>
      </c>
    </row>
    <row r="1707" spans="1:16" x14ac:dyDescent="0.3">
      <c r="A1707" s="19" t="str">
        <f t="shared" si="53"/>
        <v/>
      </c>
      <c r="L1707" s="21" t="str">
        <f>IF(J1707&lt;&gt;"",VLOOKUP(J1707,HeadCount!A:I,5,0),"")</f>
        <v/>
      </c>
      <c r="P1707" s="19" t="str">
        <f t="shared" si="54"/>
        <v/>
      </c>
    </row>
    <row r="1708" spans="1:16" x14ac:dyDescent="0.3">
      <c r="A1708" s="19" t="str">
        <f t="shared" si="53"/>
        <v/>
      </c>
      <c r="L1708" s="21" t="str">
        <f>IF(J1708&lt;&gt;"",VLOOKUP(J1708,HeadCount!A:I,5,0),"")</f>
        <v/>
      </c>
      <c r="P1708" s="19" t="str">
        <f t="shared" si="54"/>
        <v/>
      </c>
    </row>
    <row r="1709" spans="1:16" x14ac:dyDescent="0.3">
      <c r="A1709" s="19" t="str">
        <f t="shared" si="53"/>
        <v/>
      </c>
      <c r="L1709" s="21" t="str">
        <f>IF(J1709&lt;&gt;"",VLOOKUP(J1709,HeadCount!A:I,5,0),"")</f>
        <v/>
      </c>
      <c r="P1709" s="19" t="str">
        <f t="shared" si="54"/>
        <v/>
      </c>
    </row>
    <row r="1710" spans="1:16" x14ac:dyDescent="0.3">
      <c r="A1710" s="19" t="str">
        <f t="shared" si="53"/>
        <v/>
      </c>
      <c r="L1710" s="21" t="str">
        <f>IF(J1710&lt;&gt;"",VLOOKUP(J1710,HeadCount!A:I,5,0),"")</f>
        <v/>
      </c>
      <c r="P1710" s="19" t="str">
        <f t="shared" si="54"/>
        <v/>
      </c>
    </row>
    <row r="1711" spans="1:16" x14ac:dyDescent="0.3">
      <c r="A1711" s="19" t="str">
        <f t="shared" si="53"/>
        <v/>
      </c>
      <c r="L1711" s="21" t="str">
        <f>IF(J1711&lt;&gt;"",VLOOKUP(J1711,HeadCount!A:I,5,0),"")</f>
        <v/>
      </c>
      <c r="P1711" s="19" t="str">
        <f t="shared" si="54"/>
        <v/>
      </c>
    </row>
    <row r="1712" spans="1:16" x14ac:dyDescent="0.3">
      <c r="A1712" s="19" t="str">
        <f t="shared" si="53"/>
        <v/>
      </c>
      <c r="L1712" s="21" t="str">
        <f>IF(J1712&lt;&gt;"",VLOOKUP(J1712,HeadCount!A:I,5,0),"")</f>
        <v/>
      </c>
      <c r="P1712" s="19" t="str">
        <f t="shared" si="54"/>
        <v/>
      </c>
    </row>
    <row r="1713" spans="1:16" x14ac:dyDescent="0.3">
      <c r="A1713" s="19" t="str">
        <f t="shared" si="53"/>
        <v/>
      </c>
      <c r="L1713" s="21" t="str">
        <f>IF(J1713&lt;&gt;"",VLOOKUP(J1713,HeadCount!A:I,5,0),"")</f>
        <v/>
      </c>
      <c r="P1713" s="19" t="str">
        <f t="shared" si="54"/>
        <v/>
      </c>
    </row>
    <row r="1714" spans="1:16" x14ac:dyDescent="0.3">
      <c r="A1714" s="19" t="str">
        <f t="shared" si="53"/>
        <v/>
      </c>
      <c r="L1714" s="21" t="str">
        <f>IF(J1714&lt;&gt;"",VLOOKUP(J1714,HeadCount!A:I,5,0),"")</f>
        <v/>
      </c>
      <c r="P1714" s="19" t="str">
        <f t="shared" si="54"/>
        <v/>
      </c>
    </row>
    <row r="1715" spans="1:16" x14ac:dyDescent="0.3">
      <c r="A1715" s="19" t="str">
        <f t="shared" si="53"/>
        <v/>
      </c>
      <c r="L1715" s="21" t="str">
        <f>IF(J1715&lt;&gt;"",VLOOKUP(J1715,HeadCount!A:I,5,0),"")</f>
        <v/>
      </c>
      <c r="P1715" s="19" t="str">
        <f t="shared" si="54"/>
        <v/>
      </c>
    </row>
    <row r="1716" spans="1:16" x14ac:dyDescent="0.3">
      <c r="A1716" s="19" t="str">
        <f t="shared" si="53"/>
        <v/>
      </c>
      <c r="L1716" s="21" t="str">
        <f>IF(J1716&lt;&gt;"",VLOOKUP(J1716,HeadCount!A:I,5,0),"")</f>
        <v/>
      </c>
      <c r="P1716" s="19" t="str">
        <f t="shared" si="54"/>
        <v/>
      </c>
    </row>
    <row r="1717" spans="1:16" x14ac:dyDescent="0.3">
      <c r="A1717" s="19" t="str">
        <f t="shared" si="53"/>
        <v/>
      </c>
      <c r="L1717" s="21" t="str">
        <f>IF(J1717&lt;&gt;"",VLOOKUP(J1717,HeadCount!A:I,5,0),"")</f>
        <v/>
      </c>
      <c r="P1717" s="19" t="str">
        <f t="shared" si="54"/>
        <v/>
      </c>
    </row>
    <row r="1718" spans="1:16" x14ac:dyDescent="0.3">
      <c r="A1718" s="19" t="str">
        <f t="shared" si="53"/>
        <v/>
      </c>
      <c r="L1718" s="21" t="str">
        <f>IF(J1718&lt;&gt;"",VLOOKUP(J1718,HeadCount!A:I,5,0),"")</f>
        <v/>
      </c>
      <c r="P1718" s="19" t="str">
        <f t="shared" si="54"/>
        <v/>
      </c>
    </row>
    <row r="1719" spans="1:16" x14ac:dyDescent="0.3">
      <c r="A1719" s="19" t="str">
        <f t="shared" si="53"/>
        <v/>
      </c>
      <c r="L1719" s="21" t="str">
        <f>IF(J1719&lt;&gt;"",VLOOKUP(J1719,HeadCount!A:I,5,0),"")</f>
        <v/>
      </c>
      <c r="P1719" s="19" t="str">
        <f t="shared" si="54"/>
        <v/>
      </c>
    </row>
    <row r="1720" spans="1:16" x14ac:dyDescent="0.3">
      <c r="A1720" s="19" t="str">
        <f t="shared" si="53"/>
        <v/>
      </c>
      <c r="L1720" s="21" t="str">
        <f>IF(J1720&lt;&gt;"",VLOOKUP(J1720,HeadCount!A:I,5,0),"")</f>
        <v/>
      </c>
      <c r="P1720" s="19" t="str">
        <f t="shared" si="54"/>
        <v/>
      </c>
    </row>
    <row r="1721" spans="1:16" x14ac:dyDescent="0.3">
      <c r="A1721" s="19" t="str">
        <f t="shared" si="53"/>
        <v/>
      </c>
      <c r="L1721" s="21" t="str">
        <f>IF(J1721&lt;&gt;"",VLOOKUP(J1721,HeadCount!A:I,5,0),"")</f>
        <v/>
      </c>
      <c r="P1721" s="19" t="str">
        <f t="shared" si="54"/>
        <v/>
      </c>
    </row>
    <row r="1722" spans="1:16" x14ac:dyDescent="0.3">
      <c r="A1722" s="19" t="str">
        <f t="shared" si="53"/>
        <v/>
      </c>
      <c r="L1722" s="21" t="str">
        <f>IF(J1722&lt;&gt;"",VLOOKUP(J1722,HeadCount!A:I,5,0),"")</f>
        <v/>
      </c>
      <c r="P1722" s="19" t="str">
        <f t="shared" si="54"/>
        <v/>
      </c>
    </row>
    <row r="1723" spans="1:16" x14ac:dyDescent="0.3">
      <c r="A1723" s="19" t="str">
        <f t="shared" si="53"/>
        <v/>
      </c>
      <c r="L1723" s="21" t="str">
        <f>IF(J1723&lt;&gt;"",VLOOKUP(J1723,HeadCount!A:I,5,0),"")</f>
        <v/>
      </c>
      <c r="P1723" s="19" t="str">
        <f t="shared" si="54"/>
        <v/>
      </c>
    </row>
    <row r="1724" spans="1:16" x14ac:dyDescent="0.3">
      <c r="A1724" s="19" t="str">
        <f t="shared" si="53"/>
        <v/>
      </c>
      <c r="L1724" s="21" t="str">
        <f>IF(J1724&lt;&gt;"",VLOOKUP(J1724,HeadCount!A:I,5,0),"")</f>
        <v/>
      </c>
      <c r="P1724" s="19" t="str">
        <f t="shared" si="54"/>
        <v/>
      </c>
    </row>
    <row r="1725" spans="1:16" x14ac:dyDescent="0.3">
      <c r="A1725" s="19" t="str">
        <f t="shared" si="53"/>
        <v/>
      </c>
      <c r="L1725" s="21" t="str">
        <f>IF(J1725&lt;&gt;"",VLOOKUP(J1725,HeadCount!A:I,5,0),"")</f>
        <v/>
      </c>
      <c r="P1725" s="19" t="str">
        <f t="shared" si="54"/>
        <v/>
      </c>
    </row>
    <row r="1726" spans="1:16" x14ac:dyDescent="0.3">
      <c r="A1726" s="19" t="str">
        <f t="shared" si="53"/>
        <v/>
      </c>
      <c r="L1726" s="21" t="str">
        <f>IF(J1726&lt;&gt;"",VLOOKUP(J1726,HeadCount!A:I,5,0),"")</f>
        <v/>
      </c>
      <c r="P1726" s="19" t="str">
        <f t="shared" si="54"/>
        <v/>
      </c>
    </row>
    <row r="1727" spans="1:16" x14ac:dyDescent="0.3">
      <c r="A1727" s="19" t="str">
        <f t="shared" si="53"/>
        <v/>
      </c>
      <c r="L1727" s="21" t="str">
        <f>IF(J1727&lt;&gt;"",VLOOKUP(J1727,HeadCount!A:I,5,0),"")</f>
        <v/>
      </c>
      <c r="P1727" s="19" t="str">
        <f t="shared" si="54"/>
        <v/>
      </c>
    </row>
    <row r="1728" spans="1:16" x14ac:dyDescent="0.3">
      <c r="A1728" s="19" t="str">
        <f t="shared" si="53"/>
        <v/>
      </c>
      <c r="L1728" s="21" t="str">
        <f>IF(J1728&lt;&gt;"",VLOOKUP(J1728,HeadCount!A:I,5,0),"")</f>
        <v/>
      </c>
      <c r="P1728" s="19" t="str">
        <f t="shared" si="54"/>
        <v/>
      </c>
    </row>
    <row r="1729" spans="1:16" x14ac:dyDescent="0.3">
      <c r="A1729" s="19" t="str">
        <f t="shared" si="53"/>
        <v/>
      </c>
      <c r="L1729" s="21" t="str">
        <f>IF(J1729&lt;&gt;"",VLOOKUP(J1729,HeadCount!A:I,5,0),"")</f>
        <v/>
      </c>
      <c r="P1729" s="19" t="str">
        <f t="shared" si="54"/>
        <v/>
      </c>
    </row>
    <row r="1730" spans="1:16" x14ac:dyDescent="0.3">
      <c r="A1730" s="19" t="str">
        <f t="shared" ref="A1730:A1793" si="55">IF(C1730&lt;&gt;"",ROW(A1729),"")</f>
        <v/>
      </c>
      <c r="L1730" s="21" t="str">
        <f>IF(J1730&lt;&gt;"",VLOOKUP(J1730,HeadCount!A:I,5,0),"")</f>
        <v/>
      </c>
      <c r="P1730" s="19" t="str">
        <f t="shared" si="54"/>
        <v/>
      </c>
    </row>
    <row r="1731" spans="1:16" x14ac:dyDescent="0.3">
      <c r="A1731" s="19" t="str">
        <f t="shared" si="55"/>
        <v/>
      </c>
      <c r="L1731" s="21" t="str">
        <f>IF(J1731&lt;&gt;"",VLOOKUP(J1731,HeadCount!A:I,5,0),"")</f>
        <v/>
      </c>
      <c r="P1731" s="19" t="str">
        <f t="shared" ref="P1731:P1794" si="56">IF(N1731="","",(O1731-N1731)+1)</f>
        <v/>
      </c>
    </row>
    <row r="1732" spans="1:16" x14ac:dyDescent="0.3">
      <c r="A1732" s="19" t="str">
        <f t="shared" si="55"/>
        <v/>
      </c>
      <c r="L1732" s="21" t="str">
        <f>IF(J1732&lt;&gt;"",VLOOKUP(J1732,HeadCount!A:I,5,0),"")</f>
        <v/>
      </c>
      <c r="P1732" s="19" t="str">
        <f t="shared" si="56"/>
        <v/>
      </c>
    </row>
    <row r="1733" spans="1:16" x14ac:dyDescent="0.3">
      <c r="A1733" s="19" t="str">
        <f t="shared" si="55"/>
        <v/>
      </c>
      <c r="L1733" s="21" t="str">
        <f>IF(J1733&lt;&gt;"",VLOOKUP(J1733,HeadCount!A:I,5,0),"")</f>
        <v/>
      </c>
      <c r="P1733" s="19" t="str">
        <f t="shared" si="56"/>
        <v/>
      </c>
    </row>
    <row r="1734" spans="1:16" x14ac:dyDescent="0.3">
      <c r="A1734" s="19" t="str">
        <f t="shared" si="55"/>
        <v/>
      </c>
      <c r="L1734" s="21" t="str">
        <f>IF(J1734&lt;&gt;"",VLOOKUP(J1734,HeadCount!A:I,5,0),"")</f>
        <v/>
      </c>
      <c r="P1734" s="19" t="str">
        <f t="shared" si="56"/>
        <v/>
      </c>
    </row>
    <row r="1735" spans="1:16" x14ac:dyDescent="0.3">
      <c r="A1735" s="19" t="str">
        <f t="shared" si="55"/>
        <v/>
      </c>
      <c r="L1735" s="21" t="str">
        <f>IF(J1735&lt;&gt;"",VLOOKUP(J1735,HeadCount!A:I,5,0),"")</f>
        <v/>
      </c>
      <c r="P1735" s="19" t="str">
        <f t="shared" si="56"/>
        <v/>
      </c>
    </row>
    <row r="1736" spans="1:16" x14ac:dyDescent="0.3">
      <c r="A1736" s="19" t="str">
        <f t="shared" si="55"/>
        <v/>
      </c>
      <c r="L1736" s="21" t="str">
        <f>IF(J1736&lt;&gt;"",VLOOKUP(J1736,HeadCount!A:I,5,0),"")</f>
        <v/>
      </c>
      <c r="P1736" s="19" t="str">
        <f t="shared" si="56"/>
        <v/>
      </c>
    </row>
    <row r="1737" spans="1:16" x14ac:dyDescent="0.3">
      <c r="A1737" s="19" t="str">
        <f t="shared" si="55"/>
        <v/>
      </c>
      <c r="L1737" s="21" t="str">
        <f>IF(J1737&lt;&gt;"",VLOOKUP(J1737,HeadCount!A:I,5,0),"")</f>
        <v/>
      </c>
      <c r="P1737" s="19" t="str">
        <f t="shared" si="56"/>
        <v/>
      </c>
    </row>
    <row r="1738" spans="1:16" x14ac:dyDescent="0.3">
      <c r="A1738" s="19" t="str">
        <f t="shared" si="55"/>
        <v/>
      </c>
      <c r="L1738" s="21" t="str">
        <f>IF(J1738&lt;&gt;"",VLOOKUP(J1738,HeadCount!A:I,5,0),"")</f>
        <v/>
      </c>
      <c r="P1738" s="19" t="str">
        <f t="shared" si="56"/>
        <v/>
      </c>
    </row>
    <row r="1739" spans="1:16" x14ac:dyDescent="0.3">
      <c r="A1739" s="19" t="str">
        <f t="shared" si="55"/>
        <v/>
      </c>
      <c r="L1739" s="21" t="str">
        <f>IF(J1739&lt;&gt;"",VLOOKUP(J1739,HeadCount!A:I,5,0),"")</f>
        <v/>
      </c>
      <c r="P1739" s="19" t="str">
        <f t="shared" si="56"/>
        <v/>
      </c>
    </row>
    <row r="1740" spans="1:16" x14ac:dyDescent="0.3">
      <c r="A1740" s="19" t="str">
        <f t="shared" si="55"/>
        <v/>
      </c>
      <c r="L1740" s="21" t="str">
        <f>IF(J1740&lt;&gt;"",VLOOKUP(J1740,HeadCount!A:I,5,0),"")</f>
        <v/>
      </c>
      <c r="P1740" s="19" t="str">
        <f t="shared" si="56"/>
        <v/>
      </c>
    </row>
    <row r="1741" spans="1:16" x14ac:dyDescent="0.3">
      <c r="A1741" s="19" t="str">
        <f t="shared" si="55"/>
        <v/>
      </c>
      <c r="L1741" s="21" t="str">
        <f>IF(J1741&lt;&gt;"",VLOOKUP(J1741,HeadCount!A:I,5,0),"")</f>
        <v/>
      </c>
      <c r="P1741" s="19" t="str">
        <f t="shared" si="56"/>
        <v/>
      </c>
    </row>
    <row r="1742" spans="1:16" x14ac:dyDescent="0.3">
      <c r="A1742" s="19" t="str">
        <f t="shared" si="55"/>
        <v/>
      </c>
      <c r="L1742" s="21" t="str">
        <f>IF(J1742&lt;&gt;"",VLOOKUP(J1742,HeadCount!A:I,5,0),"")</f>
        <v/>
      </c>
      <c r="P1742" s="19" t="str">
        <f t="shared" si="56"/>
        <v/>
      </c>
    </row>
    <row r="1743" spans="1:16" x14ac:dyDescent="0.3">
      <c r="A1743" s="19" t="str">
        <f t="shared" si="55"/>
        <v/>
      </c>
      <c r="L1743" s="21" t="str">
        <f>IF(J1743&lt;&gt;"",VLOOKUP(J1743,HeadCount!A:I,5,0),"")</f>
        <v/>
      </c>
      <c r="P1743" s="19" t="str">
        <f t="shared" si="56"/>
        <v/>
      </c>
    </row>
    <row r="1744" spans="1:16" x14ac:dyDescent="0.3">
      <c r="A1744" s="19" t="str">
        <f t="shared" si="55"/>
        <v/>
      </c>
      <c r="L1744" s="21" t="str">
        <f>IF(J1744&lt;&gt;"",VLOOKUP(J1744,HeadCount!A:I,5,0),"")</f>
        <v/>
      </c>
      <c r="P1744" s="19" t="str">
        <f t="shared" si="56"/>
        <v/>
      </c>
    </row>
    <row r="1745" spans="1:16" x14ac:dyDescent="0.3">
      <c r="A1745" s="19" t="str">
        <f t="shared" si="55"/>
        <v/>
      </c>
      <c r="L1745" s="21" t="str">
        <f>IF(J1745&lt;&gt;"",VLOOKUP(J1745,HeadCount!A:I,5,0),"")</f>
        <v/>
      </c>
      <c r="P1745" s="19" t="str">
        <f t="shared" si="56"/>
        <v/>
      </c>
    </row>
    <row r="1746" spans="1:16" x14ac:dyDescent="0.3">
      <c r="A1746" s="19" t="str">
        <f t="shared" si="55"/>
        <v/>
      </c>
      <c r="L1746" s="21" t="str">
        <f>IF(J1746&lt;&gt;"",VLOOKUP(J1746,HeadCount!A:I,5,0),"")</f>
        <v/>
      </c>
      <c r="P1746" s="19" t="str">
        <f t="shared" si="56"/>
        <v/>
      </c>
    </row>
    <row r="1747" spans="1:16" x14ac:dyDescent="0.3">
      <c r="A1747" s="19" t="str">
        <f t="shared" si="55"/>
        <v/>
      </c>
      <c r="L1747" s="21" t="str">
        <f>IF(J1747&lt;&gt;"",VLOOKUP(J1747,HeadCount!A:I,5,0),"")</f>
        <v/>
      </c>
      <c r="P1747" s="19" t="str">
        <f t="shared" si="56"/>
        <v/>
      </c>
    </row>
    <row r="1748" spans="1:16" x14ac:dyDescent="0.3">
      <c r="A1748" s="19" t="str">
        <f t="shared" si="55"/>
        <v/>
      </c>
      <c r="L1748" s="21" t="str">
        <f>IF(J1748&lt;&gt;"",VLOOKUP(J1748,HeadCount!A:I,5,0),"")</f>
        <v/>
      </c>
      <c r="P1748" s="19" t="str">
        <f t="shared" si="56"/>
        <v/>
      </c>
    </row>
    <row r="1749" spans="1:16" x14ac:dyDescent="0.3">
      <c r="A1749" s="19" t="str">
        <f t="shared" si="55"/>
        <v/>
      </c>
      <c r="L1749" s="21" t="str">
        <f>IF(J1749&lt;&gt;"",VLOOKUP(J1749,HeadCount!A:I,5,0),"")</f>
        <v/>
      </c>
      <c r="P1749" s="19" t="str">
        <f t="shared" si="56"/>
        <v/>
      </c>
    </row>
    <row r="1750" spans="1:16" x14ac:dyDescent="0.3">
      <c r="A1750" s="19" t="str">
        <f t="shared" si="55"/>
        <v/>
      </c>
      <c r="L1750" s="21" t="str">
        <f>IF(J1750&lt;&gt;"",VLOOKUP(J1750,HeadCount!A:I,5,0),"")</f>
        <v/>
      </c>
      <c r="P1750" s="19" t="str">
        <f t="shared" si="56"/>
        <v/>
      </c>
    </row>
    <row r="1751" spans="1:16" x14ac:dyDescent="0.3">
      <c r="A1751" s="19" t="str">
        <f t="shared" si="55"/>
        <v/>
      </c>
      <c r="L1751" s="21" t="str">
        <f>IF(J1751&lt;&gt;"",VLOOKUP(J1751,HeadCount!A:I,5,0),"")</f>
        <v/>
      </c>
      <c r="P1751" s="19" t="str">
        <f t="shared" si="56"/>
        <v/>
      </c>
    </row>
    <row r="1752" spans="1:16" x14ac:dyDescent="0.3">
      <c r="A1752" s="19" t="str">
        <f t="shared" si="55"/>
        <v/>
      </c>
      <c r="L1752" s="21" t="str">
        <f>IF(J1752&lt;&gt;"",VLOOKUP(J1752,HeadCount!A:I,5,0),"")</f>
        <v/>
      </c>
      <c r="P1752" s="19" t="str">
        <f t="shared" si="56"/>
        <v/>
      </c>
    </row>
    <row r="1753" spans="1:16" x14ac:dyDescent="0.3">
      <c r="A1753" s="19" t="str">
        <f t="shared" si="55"/>
        <v/>
      </c>
      <c r="L1753" s="21" t="str">
        <f>IF(J1753&lt;&gt;"",VLOOKUP(J1753,HeadCount!A:I,5,0),"")</f>
        <v/>
      </c>
      <c r="P1753" s="19" t="str">
        <f t="shared" si="56"/>
        <v/>
      </c>
    </row>
    <row r="1754" spans="1:16" x14ac:dyDescent="0.3">
      <c r="A1754" s="19" t="str">
        <f t="shared" si="55"/>
        <v/>
      </c>
      <c r="L1754" s="21" t="str">
        <f>IF(J1754&lt;&gt;"",VLOOKUP(J1754,HeadCount!A:I,5,0),"")</f>
        <v/>
      </c>
      <c r="P1754" s="19" t="str">
        <f t="shared" si="56"/>
        <v/>
      </c>
    </row>
    <row r="1755" spans="1:16" x14ac:dyDescent="0.3">
      <c r="A1755" s="19" t="str">
        <f t="shared" si="55"/>
        <v/>
      </c>
      <c r="L1755" s="21" t="str">
        <f>IF(J1755&lt;&gt;"",VLOOKUP(J1755,HeadCount!A:I,5,0),"")</f>
        <v/>
      </c>
      <c r="P1755" s="19" t="str">
        <f t="shared" si="56"/>
        <v/>
      </c>
    </row>
    <row r="1756" spans="1:16" x14ac:dyDescent="0.3">
      <c r="A1756" s="19" t="str">
        <f t="shared" si="55"/>
        <v/>
      </c>
      <c r="L1756" s="21" t="str">
        <f>IF(J1756&lt;&gt;"",VLOOKUP(J1756,HeadCount!A:I,5,0),"")</f>
        <v/>
      </c>
      <c r="P1756" s="19" t="str">
        <f t="shared" si="56"/>
        <v/>
      </c>
    </row>
    <row r="1757" spans="1:16" x14ac:dyDescent="0.3">
      <c r="A1757" s="19" t="str">
        <f t="shared" si="55"/>
        <v/>
      </c>
      <c r="L1757" s="21" t="str">
        <f>IF(J1757&lt;&gt;"",VLOOKUP(J1757,HeadCount!A:I,5,0),"")</f>
        <v/>
      </c>
      <c r="P1757" s="19" t="str">
        <f t="shared" si="56"/>
        <v/>
      </c>
    </row>
    <row r="1758" spans="1:16" x14ac:dyDescent="0.3">
      <c r="A1758" s="19" t="str">
        <f t="shared" si="55"/>
        <v/>
      </c>
      <c r="L1758" s="21" t="str">
        <f>IF(J1758&lt;&gt;"",VLOOKUP(J1758,HeadCount!A:I,5,0),"")</f>
        <v/>
      </c>
      <c r="P1758" s="19" t="str">
        <f t="shared" si="56"/>
        <v/>
      </c>
    </row>
    <row r="1759" spans="1:16" x14ac:dyDescent="0.3">
      <c r="A1759" s="19" t="str">
        <f t="shared" si="55"/>
        <v/>
      </c>
      <c r="L1759" s="21" t="str">
        <f>IF(J1759&lt;&gt;"",VLOOKUP(J1759,HeadCount!A:I,5,0),"")</f>
        <v/>
      </c>
      <c r="P1759" s="19" t="str">
        <f t="shared" si="56"/>
        <v/>
      </c>
    </row>
    <row r="1760" spans="1:16" x14ac:dyDescent="0.3">
      <c r="A1760" s="19" t="str">
        <f t="shared" si="55"/>
        <v/>
      </c>
      <c r="L1760" s="21" t="str">
        <f>IF(J1760&lt;&gt;"",VLOOKUP(J1760,HeadCount!A:I,5,0),"")</f>
        <v/>
      </c>
      <c r="P1760" s="19" t="str">
        <f t="shared" si="56"/>
        <v/>
      </c>
    </row>
    <row r="1761" spans="1:16" x14ac:dyDescent="0.3">
      <c r="A1761" s="19" t="str">
        <f t="shared" si="55"/>
        <v/>
      </c>
      <c r="L1761" s="21" t="str">
        <f>IF(J1761&lt;&gt;"",VLOOKUP(J1761,HeadCount!A:I,5,0),"")</f>
        <v/>
      </c>
      <c r="P1761" s="19" t="str">
        <f t="shared" si="56"/>
        <v/>
      </c>
    </row>
    <row r="1762" spans="1:16" x14ac:dyDescent="0.3">
      <c r="A1762" s="19" t="str">
        <f t="shared" si="55"/>
        <v/>
      </c>
      <c r="L1762" s="21" t="str">
        <f>IF(J1762&lt;&gt;"",VLOOKUP(J1762,HeadCount!A:I,5,0),"")</f>
        <v/>
      </c>
      <c r="P1762" s="19" t="str">
        <f t="shared" si="56"/>
        <v/>
      </c>
    </row>
    <row r="1763" spans="1:16" x14ac:dyDescent="0.3">
      <c r="A1763" s="19" t="str">
        <f t="shared" si="55"/>
        <v/>
      </c>
      <c r="L1763" s="21" t="str">
        <f>IF(J1763&lt;&gt;"",VLOOKUP(J1763,HeadCount!A:I,5,0),"")</f>
        <v/>
      </c>
      <c r="P1763" s="19" t="str">
        <f t="shared" si="56"/>
        <v/>
      </c>
    </row>
    <row r="1764" spans="1:16" x14ac:dyDescent="0.3">
      <c r="A1764" s="19" t="str">
        <f t="shared" si="55"/>
        <v/>
      </c>
      <c r="L1764" s="21" t="str">
        <f>IF(J1764&lt;&gt;"",VLOOKUP(J1764,HeadCount!A:I,5,0),"")</f>
        <v/>
      </c>
      <c r="P1764" s="19" t="str">
        <f t="shared" si="56"/>
        <v/>
      </c>
    </row>
    <row r="1765" spans="1:16" x14ac:dyDescent="0.3">
      <c r="A1765" s="19" t="str">
        <f t="shared" si="55"/>
        <v/>
      </c>
      <c r="L1765" s="21" t="str">
        <f>IF(J1765&lt;&gt;"",VLOOKUP(J1765,HeadCount!A:I,5,0),"")</f>
        <v/>
      </c>
      <c r="P1765" s="19" t="str">
        <f t="shared" si="56"/>
        <v/>
      </c>
    </row>
    <row r="1766" spans="1:16" x14ac:dyDescent="0.3">
      <c r="A1766" s="19" t="str">
        <f t="shared" si="55"/>
        <v/>
      </c>
      <c r="L1766" s="21" t="str">
        <f>IF(J1766&lt;&gt;"",VLOOKUP(J1766,HeadCount!A:I,5,0),"")</f>
        <v/>
      </c>
      <c r="P1766" s="19" t="str">
        <f t="shared" si="56"/>
        <v/>
      </c>
    </row>
    <row r="1767" spans="1:16" x14ac:dyDescent="0.3">
      <c r="A1767" s="19" t="str">
        <f t="shared" si="55"/>
        <v/>
      </c>
      <c r="L1767" s="21" t="str">
        <f>IF(J1767&lt;&gt;"",VLOOKUP(J1767,HeadCount!A:I,5,0),"")</f>
        <v/>
      </c>
      <c r="P1767" s="19" t="str">
        <f t="shared" si="56"/>
        <v/>
      </c>
    </row>
    <row r="1768" spans="1:16" x14ac:dyDescent="0.3">
      <c r="A1768" s="19" t="str">
        <f t="shared" si="55"/>
        <v/>
      </c>
      <c r="L1768" s="21" t="str">
        <f>IF(J1768&lt;&gt;"",VLOOKUP(J1768,HeadCount!A:I,5,0),"")</f>
        <v/>
      </c>
      <c r="P1768" s="19" t="str">
        <f t="shared" si="56"/>
        <v/>
      </c>
    </row>
    <row r="1769" spans="1:16" x14ac:dyDescent="0.3">
      <c r="A1769" s="19" t="str">
        <f t="shared" si="55"/>
        <v/>
      </c>
      <c r="L1769" s="21" t="str">
        <f>IF(J1769&lt;&gt;"",VLOOKUP(J1769,HeadCount!A:I,5,0),"")</f>
        <v/>
      </c>
      <c r="P1769" s="19" t="str">
        <f t="shared" si="56"/>
        <v/>
      </c>
    </row>
    <row r="1770" spans="1:16" x14ac:dyDescent="0.3">
      <c r="A1770" s="19" t="str">
        <f t="shared" si="55"/>
        <v/>
      </c>
      <c r="L1770" s="21" t="str">
        <f>IF(J1770&lt;&gt;"",VLOOKUP(J1770,HeadCount!A:I,5,0),"")</f>
        <v/>
      </c>
      <c r="P1770" s="19" t="str">
        <f t="shared" si="56"/>
        <v/>
      </c>
    </row>
    <row r="1771" spans="1:16" x14ac:dyDescent="0.3">
      <c r="A1771" s="19" t="str">
        <f t="shared" si="55"/>
        <v/>
      </c>
      <c r="L1771" s="21" t="str">
        <f>IF(J1771&lt;&gt;"",VLOOKUP(J1771,HeadCount!A:I,5,0),"")</f>
        <v/>
      </c>
      <c r="P1771" s="19" t="str">
        <f t="shared" si="56"/>
        <v/>
      </c>
    </row>
    <row r="1772" spans="1:16" x14ac:dyDescent="0.3">
      <c r="A1772" s="19" t="str">
        <f t="shared" si="55"/>
        <v/>
      </c>
      <c r="L1772" s="21" t="str">
        <f>IF(J1772&lt;&gt;"",VLOOKUP(J1772,HeadCount!A:I,5,0),"")</f>
        <v/>
      </c>
      <c r="P1772" s="19" t="str">
        <f t="shared" si="56"/>
        <v/>
      </c>
    </row>
    <row r="1773" spans="1:16" x14ac:dyDescent="0.3">
      <c r="A1773" s="19" t="str">
        <f t="shared" si="55"/>
        <v/>
      </c>
      <c r="L1773" s="21" t="str">
        <f>IF(J1773&lt;&gt;"",VLOOKUP(J1773,HeadCount!A:I,5,0),"")</f>
        <v/>
      </c>
      <c r="P1773" s="19" t="str">
        <f t="shared" si="56"/>
        <v/>
      </c>
    </row>
    <row r="1774" spans="1:16" x14ac:dyDescent="0.3">
      <c r="A1774" s="19" t="str">
        <f t="shared" si="55"/>
        <v/>
      </c>
      <c r="L1774" s="21" t="str">
        <f>IF(J1774&lt;&gt;"",VLOOKUP(J1774,HeadCount!A:I,5,0),"")</f>
        <v/>
      </c>
      <c r="P1774" s="19" t="str">
        <f t="shared" si="56"/>
        <v/>
      </c>
    </row>
    <row r="1775" spans="1:16" x14ac:dyDescent="0.3">
      <c r="A1775" s="19" t="str">
        <f t="shared" si="55"/>
        <v/>
      </c>
      <c r="L1775" s="21" t="str">
        <f>IF(J1775&lt;&gt;"",VLOOKUP(J1775,HeadCount!A:I,5,0),"")</f>
        <v/>
      </c>
      <c r="P1775" s="19" t="str">
        <f t="shared" si="56"/>
        <v/>
      </c>
    </row>
    <row r="1776" spans="1:16" x14ac:dyDescent="0.3">
      <c r="A1776" s="19" t="str">
        <f t="shared" si="55"/>
        <v/>
      </c>
      <c r="L1776" s="21" t="str">
        <f>IF(J1776&lt;&gt;"",VLOOKUP(J1776,HeadCount!A:I,5,0),"")</f>
        <v/>
      </c>
      <c r="P1776" s="19" t="str">
        <f t="shared" si="56"/>
        <v/>
      </c>
    </row>
    <row r="1777" spans="1:16" x14ac:dyDescent="0.3">
      <c r="A1777" s="19" t="str">
        <f t="shared" si="55"/>
        <v/>
      </c>
      <c r="L1777" s="21" t="str">
        <f>IF(J1777&lt;&gt;"",VLOOKUP(J1777,HeadCount!A:I,5,0),"")</f>
        <v/>
      </c>
      <c r="P1777" s="19" t="str">
        <f t="shared" si="56"/>
        <v/>
      </c>
    </row>
    <row r="1778" spans="1:16" x14ac:dyDescent="0.3">
      <c r="A1778" s="19" t="str">
        <f t="shared" si="55"/>
        <v/>
      </c>
      <c r="L1778" s="21" t="str">
        <f>IF(J1778&lt;&gt;"",VLOOKUP(J1778,HeadCount!A:I,5,0),"")</f>
        <v/>
      </c>
      <c r="P1778" s="19" t="str">
        <f t="shared" si="56"/>
        <v/>
      </c>
    </row>
    <row r="1779" spans="1:16" x14ac:dyDescent="0.3">
      <c r="A1779" s="19" t="str">
        <f t="shared" si="55"/>
        <v/>
      </c>
      <c r="L1779" s="21" t="str">
        <f>IF(J1779&lt;&gt;"",VLOOKUP(J1779,HeadCount!A:I,5,0),"")</f>
        <v/>
      </c>
      <c r="P1779" s="19" t="str">
        <f t="shared" si="56"/>
        <v/>
      </c>
    </row>
    <row r="1780" spans="1:16" x14ac:dyDescent="0.3">
      <c r="A1780" s="19" t="str">
        <f t="shared" si="55"/>
        <v/>
      </c>
      <c r="L1780" s="21" t="str">
        <f>IF(J1780&lt;&gt;"",VLOOKUP(J1780,HeadCount!A:I,5,0),"")</f>
        <v/>
      </c>
      <c r="P1780" s="19" t="str">
        <f t="shared" si="56"/>
        <v/>
      </c>
    </row>
    <row r="1781" spans="1:16" x14ac:dyDescent="0.3">
      <c r="A1781" s="19" t="str">
        <f t="shared" si="55"/>
        <v/>
      </c>
      <c r="L1781" s="21" t="str">
        <f>IF(J1781&lt;&gt;"",VLOOKUP(J1781,HeadCount!A:I,5,0),"")</f>
        <v/>
      </c>
      <c r="P1781" s="19" t="str">
        <f t="shared" si="56"/>
        <v/>
      </c>
    </row>
    <row r="1782" spans="1:16" x14ac:dyDescent="0.3">
      <c r="A1782" s="19" t="str">
        <f t="shared" si="55"/>
        <v/>
      </c>
      <c r="L1782" s="21" t="str">
        <f>IF(J1782&lt;&gt;"",VLOOKUP(J1782,HeadCount!A:I,5,0),"")</f>
        <v/>
      </c>
      <c r="P1782" s="19" t="str">
        <f t="shared" si="56"/>
        <v/>
      </c>
    </row>
    <row r="1783" spans="1:16" x14ac:dyDescent="0.3">
      <c r="A1783" s="19" t="str">
        <f t="shared" si="55"/>
        <v/>
      </c>
      <c r="L1783" s="21" t="str">
        <f>IF(J1783&lt;&gt;"",VLOOKUP(J1783,HeadCount!A:I,5,0),"")</f>
        <v/>
      </c>
      <c r="P1783" s="19" t="str">
        <f t="shared" si="56"/>
        <v/>
      </c>
    </row>
    <row r="1784" spans="1:16" x14ac:dyDescent="0.3">
      <c r="A1784" s="19" t="str">
        <f t="shared" si="55"/>
        <v/>
      </c>
      <c r="L1784" s="21" t="str">
        <f>IF(J1784&lt;&gt;"",VLOOKUP(J1784,HeadCount!A:I,5,0),"")</f>
        <v/>
      </c>
      <c r="P1784" s="19" t="str">
        <f t="shared" si="56"/>
        <v/>
      </c>
    </row>
    <row r="1785" spans="1:16" x14ac:dyDescent="0.3">
      <c r="A1785" s="19" t="str">
        <f t="shared" si="55"/>
        <v/>
      </c>
      <c r="L1785" s="21" t="str">
        <f>IF(J1785&lt;&gt;"",VLOOKUP(J1785,HeadCount!A:I,5,0),"")</f>
        <v/>
      </c>
      <c r="P1785" s="19" t="str">
        <f t="shared" si="56"/>
        <v/>
      </c>
    </row>
    <row r="1786" spans="1:16" x14ac:dyDescent="0.3">
      <c r="A1786" s="19" t="str">
        <f t="shared" si="55"/>
        <v/>
      </c>
      <c r="L1786" s="21" t="str">
        <f>IF(J1786&lt;&gt;"",VLOOKUP(J1786,HeadCount!A:I,5,0),"")</f>
        <v/>
      </c>
      <c r="P1786" s="19" t="str">
        <f t="shared" si="56"/>
        <v/>
      </c>
    </row>
    <row r="1787" spans="1:16" x14ac:dyDescent="0.3">
      <c r="A1787" s="19" t="str">
        <f t="shared" si="55"/>
        <v/>
      </c>
      <c r="L1787" s="21" t="str">
        <f>IF(J1787&lt;&gt;"",VLOOKUP(J1787,HeadCount!A:I,5,0),"")</f>
        <v/>
      </c>
      <c r="P1787" s="19" t="str">
        <f t="shared" si="56"/>
        <v/>
      </c>
    </row>
    <row r="1788" spans="1:16" x14ac:dyDescent="0.3">
      <c r="A1788" s="19" t="str">
        <f t="shared" si="55"/>
        <v/>
      </c>
      <c r="L1788" s="21" t="str">
        <f>IF(J1788&lt;&gt;"",VLOOKUP(J1788,HeadCount!A:I,5,0),"")</f>
        <v/>
      </c>
      <c r="P1788" s="19" t="str">
        <f t="shared" si="56"/>
        <v/>
      </c>
    </row>
    <row r="1789" spans="1:16" x14ac:dyDescent="0.3">
      <c r="A1789" s="19" t="str">
        <f t="shared" si="55"/>
        <v/>
      </c>
      <c r="L1789" s="21" t="str">
        <f>IF(J1789&lt;&gt;"",VLOOKUP(J1789,HeadCount!A:I,5,0),"")</f>
        <v/>
      </c>
      <c r="P1789" s="19" t="str">
        <f t="shared" si="56"/>
        <v/>
      </c>
    </row>
    <row r="1790" spans="1:16" x14ac:dyDescent="0.3">
      <c r="A1790" s="19" t="str">
        <f t="shared" si="55"/>
        <v/>
      </c>
      <c r="L1790" s="21" t="str">
        <f>IF(J1790&lt;&gt;"",VLOOKUP(J1790,HeadCount!A:I,5,0),"")</f>
        <v/>
      </c>
      <c r="P1790" s="19" t="str">
        <f t="shared" si="56"/>
        <v/>
      </c>
    </row>
    <row r="1791" spans="1:16" x14ac:dyDescent="0.3">
      <c r="A1791" s="19" t="str">
        <f t="shared" si="55"/>
        <v/>
      </c>
      <c r="L1791" s="21" t="str">
        <f>IF(J1791&lt;&gt;"",VLOOKUP(J1791,HeadCount!A:I,5,0),"")</f>
        <v/>
      </c>
      <c r="P1791" s="19" t="str">
        <f t="shared" si="56"/>
        <v/>
      </c>
    </row>
    <row r="1792" spans="1:16" x14ac:dyDescent="0.3">
      <c r="A1792" s="19" t="str">
        <f t="shared" si="55"/>
        <v/>
      </c>
      <c r="L1792" s="21" t="str">
        <f>IF(J1792&lt;&gt;"",VLOOKUP(J1792,HeadCount!A:I,5,0),"")</f>
        <v/>
      </c>
      <c r="P1792" s="19" t="str">
        <f t="shared" si="56"/>
        <v/>
      </c>
    </row>
    <row r="1793" spans="1:16" x14ac:dyDescent="0.3">
      <c r="A1793" s="19" t="str">
        <f t="shared" si="55"/>
        <v/>
      </c>
      <c r="L1793" s="21" t="str">
        <f>IF(J1793&lt;&gt;"",VLOOKUP(J1793,HeadCount!A:I,5,0),"")</f>
        <v/>
      </c>
      <c r="P1793" s="19" t="str">
        <f t="shared" si="56"/>
        <v/>
      </c>
    </row>
    <row r="1794" spans="1:16" x14ac:dyDescent="0.3">
      <c r="A1794" s="19" t="str">
        <f t="shared" ref="A1794:A1857" si="57">IF(C1794&lt;&gt;"",ROW(A1793),"")</f>
        <v/>
      </c>
      <c r="L1794" s="21" t="str">
        <f>IF(J1794&lt;&gt;"",VLOOKUP(J1794,HeadCount!A:I,5,0),"")</f>
        <v/>
      </c>
      <c r="P1794" s="19" t="str">
        <f t="shared" si="56"/>
        <v/>
      </c>
    </row>
    <row r="1795" spans="1:16" x14ac:dyDescent="0.3">
      <c r="A1795" s="19" t="str">
        <f t="shared" si="57"/>
        <v/>
      </c>
      <c r="L1795" s="21" t="str">
        <f>IF(J1795&lt;&gt;"",VLOOKUP(J1795,HeadCount!A:I,5,0),"")</f>
        <v/>
      </c>
      <c r="P1795" s="19" t="str">
        <f t="shared" ref="P1795:P1858" si="58">IF(N1795="","",(O1795-N1795)+1)</f>
        <v/>
      </c>
    </row>
    <row r="1796" spans="1:16" x14ac:dyDescent="0.3">
      <c r="A1796" s="19" t="str">
        <f t="shared" si="57"/>
        <v/>
      </c>
      <c r="L1796" s="21" t="str">
        <f>IF(J1796&lt;&gt;"",VLOOKUP(J1796,HeadCount!A:I,5,0),"")</f>
        <v/>
      </c>
      <c r="P1796" s="19" t="str">
        <f t="shared" si="58"/>
        <v/>
      </c>
    </row>
    <row r="1797" spans="1:16" x14ac:dyDescent="0.3">
      <c r="A1797" s="19" t="str">
        <f t="shared" si="57"/>
        <v/>
      </c>
      <c r="L1797" s="21" t="str">
        <f>IF(J1797&lt;&gt;"",VLOOKUP(J1797,HeadCount!A:I,5,0),"")</f>
        <v/>
      </c>
      <c r="P1797" s="19" t="str">
        <f t="shared" si="58"/>
        <v/>
      </c>
    </row>
    <row r="1798" spans="1:16" x14ac:dyDescent="0.3">
      <c r="A1798" s="19" t="str">
        <f t="shared" si="57"/>
        <v/>
      </c>
      <c r="L1798" s="21" t="str">
        <f>IF(J1798&lt;&gt;"",VLOOKUP(J1798,HeadCount!A:I,5,0),"")</f>
        <v/>
      </c>
      <c r="P1798" s="19" t="str">
        <f t="shared" si="58"/>
        <v/>
      </c>
    </row>
    <row r="1799" spans="1:16" x14ac:dyDescent="0.3">
      <c r="A1799" s="19" t="str">
        <f t="shared" si="57"/>
        <v/>
      </c>
      <c r="L1799" s="21" t="str">
        <f>IF(J1799&lt;&gt;"",VLOOKUP(J1799,HeadCount!A:I,5,0),"")</f>
        <v/>
      </c>
      <c r="P1799" s="19" t="str">
        <f t="shared" si="58"/>
        <v/>
      </c>
    </row>
    <row r="1800" spans="1:16" x14ac:dyDescent="0.3">
      <c r="A1800" s="19" t="str">
        <f t="shared" si="57"/>
        <v/>
      </c>
      <c r="L1800" s="21" t="str">
        <f>IF(J1800&lt;&gt;"",VLOOKUP(J1800,HeadCount!A:I,5,0),"")</f>
        <v/>
      </c>
      <c r="P1800" s="19" t="str">
        <f t="shared" si="58"/>
        <v/>
      </c>
    </row>
    <row r="1801" spans="1:16" x14ac:dyDescent="0.3">
      <c r="A1801" s="19" t="str">
        <f t="shared" si="57"/>
        <v/>
      </c>
      <c r="L1801" s="21" t="str">
        <f>IF(J1801&lt;&gt;"",VLOOKUP(J1801,HeadCount!A:I,5,0),"")</f>
        <v/>
      </c>
      <c r="P1801" s="19" t="str">
        <f t="shared" si="58"/>
        <v/>
      </c>
    </row>
    <row r="1802" spans="1:16" x14ac:dyDescent="0.3">
      <c r="A1802" s="19" t="str">
        <f t="shared" si="57"/>
        <v/>
      </c>
      <c r="L1802" s="21" t="str">
        <f>IF(J1802&lt;&gt;"",VLOOKUP(J1802,HeadCount!A:I,5,0),"")</f>
        <v/>
      </c>
      <c r="P1802" s="19" t="str">
        <f t="shared" si="58"/>
        <v/>
      </c>
    </row>
    <row r="1803" spans="1:16" x14ac:dyDescent="0.3">
      <c r="A1803" s="19" t="str">
        <f t="shared" si="57"/>
        <v/>
      </c>
      <c r="L1803" s="21" t="str">
        <f>IF(J1803&lt;&gt;"",VLOOKUP(J1803,HeadCount!A:I,5,0),"")</f>
        <v/>
      </c>
      <c r="P1803" s="19" t="str">
        <f t="shared" si="58"/>
        <v/>
      </c>
    </row>
    <row r="1804" spans="1:16" x14ac:dyDescent="0.3">
      <c r="A1804" s="19" t="str">
        <f t="shared" si="57"/>
        <v/>
      </c>
      <c r="L1804" s="21" t="str">
        <f>IF(J1804&lt;&gt;"",VLOOKUP(J1804,HeadCount!A:I,5,0),"")</f>
        <v/>
      </c>
      <c r="P1804" s="19" t="str">
        <f t="shared" si="58"/>
        <v/>
      </c>
    </row>
    <row r="1805" spans="1:16" x14ac:dyDescent="0.3">
      <c r="A1805" s="19" t="str">
        <f t="shared" si="57"/>
        <v/>
      </c>
      <c r="L1805" s="21" t="str">
        <f>IF(J1805&lt;&gt;"",VLOOKUP(J1805,HeadCount!A:I,5,0),"")</f>
        <v/>
      </c>
      <c r="P1805" s="19" t="str">
        <f t="shared" si="58"/>
        <v/>
      </c>
    </row>
    <row r="1806" spans="1:16" x14ac:dyDescent="0.3">
      <c r="A1806" s="19" t="str">
        <f t="shared" si="57"/>
        <v/>
      </c>
      <c r="L1806" s="21" t="str">
        <f>IF(J1806&lt;&gt;"",VLOOKUP(J1806,HeadCount!A:I,5,0),"")</f>
        <v/>
      </c>
      <c r="P1806" s="19" t="str">
        <f t="shared" si="58"/>
        <v/>
      </c>
    </row>
    <row r="1807" spans="1:16" x14ac:dyDescent="0.3">
      <c r="A1807" s="19" t="str">
        <f t="shared" si="57"/>
        <v/>
      </c>
      <c r="L1807" s="21" t="str">
        <f>IF(J1807&lt;&gt;"",VLOOKUP(J1807,HeadCount!A:I,5,0),"")</f>
        <v/>
      </c>
      <c r="P1807" s="19" t="str">
        <f t="shared" si="58"/>
        <v/>
      </c>
    </row>
    <row r="1808" spans="1:16" x14ac:dyDescent="0.3">
      <c r="A1808" s="19" t="str">
        <f t="shared" si="57"/>
        <v/>
      </c>
      <c r="L1808" s="21" t="str">
        <f>IF(J1808&lt;&gt;"",VLOOKUP(J1808,HeadCount!A:I,5,0),"")</f>
        <v/>
      </c>
      <c r="P1808" s="19" t="str">
        <f t="shared" si="58"/>
        <v/>
      </c>
    </row>
    <row r="1809" spans="1:16" x14ac:dyDescent="0.3">
      <c r="A1809" s="19" t="str">
        <f t="shared" si="57"/>
        <v/>
      </c>
      <c r="L1809" s="21" t="str">
        <f>IF(J1809&lt;&gt;"",VLOOKUP(J1809,HeadCount!A:I,5,0),"")</f>
        <v/>
      </c>
      <c r="P1809" s="19" t="str">
        <f t="shared" si="58"/>
        <v/>
      </c>
    </row>
    <row r="1810" spans="1:16" x14ac:dyDescent="0.3">
      <c r="A1810" s="19" t="str">
        <f t="shared" si="57"/>
        <v/>
      </c>
      <c r="L1810" s="21" t="str">
        <f>IF(J1810&lt;&gt;"",VLOOKUP(J1810,HeadCount!A:I,5,0),"")</f>
        <v/>
      </c>
      <c r="P1810" s="19" t="str">
        <f t="shared" si="58"/>
        <v/>
      </c>
    </row>
    <row r="1811" spans="1:16" x14ac:dyDescent="0.3">
      <c r="A1811" s="19" t="str">
        <f t="shared" si="57"/>
        <v/>
      </c>
      <c r="L1811" s="21" t="str">
        <f>IF(J1811&lt;&gt;"",VLOOKUP(J1811,HeadCount!A:I,5,0),"")</f>
        <v/>
      </c>
      <c r="P1811" s="19" t="str">
        <f t="shared" si="58"/>
        <v/>
      </c>
    </row>
    <row r="1812" spans="1:16" x14ac:dyDescent="0.3">
      <c r="A1812" s="19" t="str">
        <f t="shared" si="57"/>
        <v/>
      </c>
      <c r="L1812" s="21" t="str">
        <f>IF(J1812&lt;&gt;"",VLOOKUP(J1812,HeadCount!A:I,5,0),"")</f>
        <v/>
      </c>
      <c r="P1812" s="19" t="str">
        <f t="shared" si="58"/>
        <v/>
      </c>
    </row>
    <row r="1813" spans="1:16" x14ac:dyDescent="0.3">
      <c r="A1813" s="19" t="str">
        <f t="shared" si="57"/>
        <v/>
      </c>
      <c r="L1813" s="21" t="str">
        <f>IF(J1813&lt;&gt;"",VLOOKUP(J1813,HeadCount!A:I,5,0),"")</f>
        <v/>
      </c>
      <c r="P1813" s="19" t="str">
        <f t="shared" si="58"/>
        <v/>
      </c>
    </row>
    <row r="1814" spans="1:16" x14ac:dyDescent="0.3">
      <c r="A1814" s="19" t="str">
        <f t="shared" si="57"/>
        <v/>
      </c>
      <c r="L1814" s="21" t="str">
        <f>IF(J1814&lt;&gt;"",VLOOKUP(J1814,HeadCount!A:I,5,0),"")</f>
        <v/>
      </c>
      <c r="P1814" s="19" t="str">
        <f t="shared" si="58"/>
        <v/>
      </c>
    </row>
    <row r="1815" spans="1:16" x14ac:dyDescent="0.3">
      <c r="A1815" s="19" t="str">
        <f t="shared" si="57"/>
        <v/>
      </c>
      <c r="L1815" s="21" t="str">
        <f>IF(J1815&lt;&gt;"",VLOOKUP(J1815,HeadCount!A:I,5,0),"")</f>
        <v/>
      </c>
      <c r="P1815" s="19" t="str">
        <f t="shared" si="58"/>
        <v/>
      </c>
    </row>
    <row r="1816" spans="1:16" x14ac:dyDescent="0.3">
      <c r="A1816" s="19" t="str">
        <f t="shared" si="57"/>
        <v/>
      </c>
      <c r="L1816" s="21" t="str">
        <f>IF(J1816&lt;&gt;"",VLOOKUP(J1816,HeadCount!A:I,5,0),"")</f>
        <v/>
      </c>
      <c r="P1816" s="19" t="str">
        <f t="shared" si="58"/>
        <v/>
      </c>
    </row>
    <row r="1817" spans="1:16" x14ac:dyDescent="0.3">
      <c r="A1817" s="19" t="str">
        <f t="shared" si="57"/>
        <v/>
      </c>
      <c r="L1817" s="21" t="str">
        <f>IF(J1817&lt;&gt;"",VLOOKUP(J1817,HeadCount!A:I,5,0),"")</f>
        <v/>
      </c>
      <c r="P1817" s="19" t="str">
        <f t="shared" si="58"/>
        <v/>
      </c>
    </row>
    <row r="1818" spans="1:16" x14ac:dyDescent="0.3">
      <c r="A1818" s="19" t="str">
        <f t="shared" si="57"/>
        <v/>
      </c>
      <c r="L1818" s="21" t="str">
        <f>IF(J1818&lt;&gt;"",VLOOKUP(J1818,HeadCount!A:I,5,0),"")</f>
        <v/>
      </c>
      <c r="P1818" s="19" t="str">
        <f t="shared" si="58"/>
        <v/>
      </c>
    </row>
    <row r="1819" spans="1:16" x14ac:dyDescent="0.3">
      <c r="A1819" s="19" t="str">
        <f t="shared" si="57"/>
        <v/>
      </c>
      <c r="L1819" s="21" t="str">
        <f>IF(J1819&lt;&gt;"",VLOOKUP(J1819,HeadCount!A:I,5,0),"")</f>
        <v/>
      </c>
      <c r="P1819" s="19" t="str">
        <f t="shared" si="58"/>
        <v/>
      </c>
    </row>
    <row r="1820" spans="1:16" x14ac:dyDescent="0.3">
      <c r="A1820" s="19" t="str">
        <f t="shared" si="57"/>
        <v/>
      </c>
      <c r="L1820" s="21" t="str">
        <f>IF(J1820&lt;&gt;"",VLOOKUP(J1820,HeadCount!A:I,5,0),"")</f>
        <v/>
      </c>
      <c r="P1820" s="19" t="str">
        <f t="shared" si="58"/>
        <v/>
      </c>
    </row>
    <row r="1821" spans="1:16" x14ac:dyDescent="0.3">
      <c r="A1821" s="19" t="str">
        <f t="shared" si="57"/>
        <v/>
      </c>
      <c r="L1821" s="21" t="str">
        <f>IF(J1821&lt;&gt;"",VLOOKUP(J1821,HeadCount!A:I,5,0),"")</f>
        <v/>
      </c>
      <c r="P1821" s="19" t="str">
        <f t="shared" si="58"/>
        <v/>
      </c>
    </row>
    <row r="1822" spans="1:16" x14ac:dyDescent="0.3">
      <c r="A1822" s="19" t="str">
        <f t="shared" si="57"/>
        <v/>
      </c>
      <c r="L1822" s="21" t="str">
        <f>IF(J1822&lt;&gt;"",VLOOKUP(J1822,HeadCount!A:I,5,0),"")</f>
        <v/>
      </c>
      <c r="P1822" s="19" t="str">
        <f t="shared" si="58"/>
        <v/>
      </c>
    </row>
    <row r="1823" spans="1:16" x14ac:dyDescent="0.3">
      <c r="A1823" s="19" t="str">
        <f t="shared" si="57"/>
        <v/>
      </c>
      <c r="L1823" s="21" t="str">
        <f>IF(J1823&lt;&gt;"",VLOOKUP(J1823,HeadCount!A:I,5,0),"")</f>
        <v/>
      </c>
      <c r="P1823" s="19" t="str">
        <f t="shared" si="58"/>
        <v/>
      </c>
    </row>
    <row r="1824" spans="1:16" x14ac:dyDescent="0.3">
      <c r="A1824" s="19" t="str">
        <f t="shared" si="57"/>
        <v/>
      </c>
      <c r="L1824" s="21" t="str">
        <f>IF(J1824&lt;&gt;"",VLOOKUP(J1824,HeadCount!A:I,5,0),"")</f>
        <v/>
      </c>
      <c r="P1824" s="19" t="str">
        <f t="shared" si="58"/>
        <v/>
      </c>
    </row>
    <row r="1825" spans="1:16" x14ac:dyDescent="0.3">
      <c r="A1825" s="19" t="str">
        <f t="shared" si="57"/>
        <v/>
      </c>
      <c r="L1825" s="21" t="str">
        <f>IF(J1825&lt;&gt;"",VLOOKUP(J1825,HeadCount!A:I,5,0),"")</f>
        <v/>
      </c>
      <c r="P1825" s="19" t="str">
        <f t="shared" si="58"/>
        <v/>
      </c>
    </row>
    <row r="1826" spans="1:16" x14ac:dyDescent="0.3">
      <c r="A1826" s="19" t="str">
        <f t="shared" si="57"/>
        <v/>
      </c>
      <c r="L1826" s="21" t="str">
        <f>IF(J1826&lt;&gt;"",VLOOKUP(J1826,HeadCount!A:I,5,0),"")</f>
        <v/>
      </c>
      <c r="P1826" s="19" t="str">
        <f t="shared" si="58"/>
        <v/>
      </c>
    </row>
    <row r="1827" spans="1:16" x14ac:dyDescent="0.3">
      <c r="A1827" s="19" t="str">
        <f t="shared" si="57"/>
        <v/>
      </c>
      <c r="L1827" s="21" t="str">
        <f>IF(J1827&lt;&gt;"",VLOOKUP(J1827,HeadCount!A:I,5,0),"")</f>
        <v/>
      </c>
      <c r="P1827" s="19" t="str">
        <f t="shared" si="58"/>
        <v/>
      </c>
    </row>
    <row r="1828" spans="1:16" x14ac:dyDescent="0.3">
      <c r="A1828" s="19" t="str">
        <f t="shared" si="57"/>
        <v/>
      </c>
      <c r="L1828" s="21" t="str">
        <f>IF(J1828&lt;&gt;"",VLOOKUP(J1828,HeadCount!A:I,5,0),"")</f>
        <v/>
      </c>
      <c r="P1828" s="19" t="str">
        <f t="shared" si="58"/>
        <v/>
      </c>
    </row>
    <row r="1829" spans="1:16" x14ac:dyDescent="0.3">
      <c r="A1829" s="19" t="str">
        <f t="shared" si="57"/>
        <v/>
      </c>
      <c r="L1829" s="21" t="str">
        <f>IF(J1829&lt;&gt;"",VLOOKUP(J1829,HeadCount!A:I,5,0),"")</f>
        <v/>
      </c>
      <c r="P1829" s="19" t="str">
        <f t="shared" si="58"/>
        <v/>
      </c>
    </row>
    <row r="1830" spans="1:16" x14ac:dyDescent="0.3">
      <c r="A1830" s="19" t="str">
        <f t="shared" si="57"/>
        <v/>
      </c>
      <c r="L1830" s="21" t="str">
        <f>IF(J1830&lt;&gt;"",VLOOKUP(J1830,HeadCount!A:I,5,0),"")</f>
        <v/>
      </c>
      <c r="P1830" s="19" t="str">
        <f t="shared" si="58"/>
        <v/>
      </c>
    </row>
    <row r="1831" spans="1:16" x14ac:dyDescent="0.3">
      <c r="A1831" s="19" t="str">
        <f t="shared" si="57"/>
        <v/>
      </c>
      <c r="L1831" s="21" t="str">
        <f>IF(J1831&lt;&gt;"",VLOOKUP(J1831,HeadCount!A:I,5,0),"")</f>
        <v/>
      </c>
      <c r="P1831" s="19" t="str">
        <f t="shared" si="58"/>
        <v/>
      </c>
    </row>
    <row r="1832" spans="1:16" x14ac:dyDescent="0.3">
      <c r="A1832" s="19" t="str">
        <f t="shared" si="57"/>
        <v/>
      </c>
      <c r="L1832" s="21" t="str">
        <f>IF(J1832&lt;&gt;"",VLOOKUP(J1832,HeadCount!A:I,5,0),"")</f>
        <v/>
      </c>
      <c r="P1832" s="19" t="str">
        <f t="shared" si="58"/>
        <v/>
      </c>
    </row>
    <row r="1833" spans="1:16" x14ac:dyDescent="0.3">
      <c r="A1833" s="19" t="str">
        <f t="shared" si="57"/>
        <v/>
      </c>
      <c r="L1833" s="21" t="str">
        <f>IF(J1833&lt;&gt;"",VLOOKUP(J1833,HeadCount!A:I,5,0),"")</f>
        <v/>
      </c>
      <c r="P1833" s="19" t="str">
        <f t="shared" si="58"/>
        <v/>
      </c>
    </row>
    <row r="1834" spans="1:16" x14ac:dyDescent="0.3">
      <c r="A1834" s="19" t="str">
        <f t="shared" si="57"/>
        <v/>
      </c>
      <c r="L1834" s="21" t="str">
        <f>IF(J1834&lt;&gt;"",VLOOKUP(J1834,HeadCount!A:I,5,0),"")</f>
        <v/>
      </c>
      <c r="P1834" s="19" t="str">
        <f t="shared" si="58"/>
        <v/>
      </c>
    </row>
    <row r="1835" spans="1:16" x14ac:dyDescent="0.3">
      <c r="A1835" s="19" t="str">
        <f t="shared" si="57"/>
        <v/>
      </c>
      <c r="L1835" s="21" t="str">
        <f>IF(J1835&lt;&gt;"",VLOOKUP(J1835,HeadCount!A:I,5,0),"")</f>
        <v/>
      </c>
      <c r="P1835" s="19" t="str">
        <f t="shared" si="58"/>
        <v/>
      </c>
    </row>
    <row r="1836" spans="1:16" x14ac:dyDescent="0.3">
      <c r="A1836" s="19" t="str">
        <f t="shared" si="57"/>
        <v/>
      </c>
      <c r="L1836" s="21" t="str">
        <f>IF(J1836&lt;&gt;"",VLOOKUP(J1836,HeadCount!A:I,5,0),"")</f>
        <v/>
      </c>
      <c r="P1836" s="19" t="str">
        <f t="shared" si="58"/>
        <v/>
      </c>
    </row>
    <row r="1837" spans="1:16" x14ac:dyDescent="0.3">
      <c r="A1837" s="19" t="str">
        <f t="shared" si="57"/>
        <v/>
      </c>
      <c r="L1837" s="21" t="str">
        <f>IF(J1837&lt;&gt;"",VLOOKUP(J1837,HeadCount!A:I,5,0),"")</f>
        <v/>
      </c>
      <c r="P1837" s="19" t="str">
        <f t="shared" si="58"/>
        <v/>
      </c>
    </row>
    <row r="1838" spans="1:16" x14ac:dyDescent="0.3">
      <c r="A1838" s="19" t="str">
        <f t="shared" si="57"/>
        <v/>
      </c>
      <c r="L1838" s="21" t="str">
        <f>IF(J1838&lt;&gt;"",VLOOKUP(J1838,HeadCount!A:I,5,0),"")</f>
        <v/>
      </c>
      <c r="P1838" s="19" t="str">
        <f t="shared" si="58"/>
        <v/>
      </c>
    </row>
    <row r="1839" spans="1:16" x14ac:dyDescent="0.3">
      <c r="A1839" s="19" t="str">
        <f t="shared" si="57"/>
        <v/>
      </c>
      <c r="L1839" s="21" t="str">
        <f>IF(J1839&lt;&gt;"",VLOOKUP(J1839,HeadCount!A:I,5,0),"")</f>
        <v/>
      </c>
      <c r="P1839" s="19" t="str">
        <f t="shared" si="58"/>
        <v/>
      </c>
    </row>
    <row r="1840" spans="1:16" x14ac:dyDescent="0.3">
      <c r="A1840" s="19" t="str">
        <f t="shared" si="57"/>
        <v/>
      </c>
      <c r="L1840" s="21" t="str">
        <f>IF(J1840&lt;&gt;"",VLOOKUP(J1840,HeadCount!A:I,5,0),"")</f>
        <v/>
      </c>
      <c r="P1840" s="19" t="str">
        <f t="shared" si="58"/>
        <v/>
      </c>
    </row>
    <row r="1841" spans="1:16" x14ac:dyDescent="0.3">
      <c r="A1841" s="19" t="str">
        <f t="shared" si="57"/>
        <v/>
      </c>
      <c r="L1841" s="21" t="str">
        <f>IF(J1841&lt;&gt;"",VLOOKUP(J1841,HeadCount!A:I,5,0),"")</f>
        <v/>
      </c>
      <c r="P1841" s="19" t="str">
        <f t="shared" si="58"/>
        <v/>
      </c>
    </row>
    <row r="1842" spans="1:16" x14ac:dyDescent="0.3">
      <c r="A1842" s="19" t="str">
        <f t="shared" si="57"/>
        <v/>
      </c>
      <c r="L1842" s="21" t="str">
        <f>IF(J1842&lt;&gt;"",VLOOKUP(J1842,HeadCount!A:I,5,0),"")</f>
        <v/>
      </c>
      <c r="P1842" s="19" t="str">
        <f t="shared" si="58"/>
        <v/>
      </c>
    </row>
    <row r="1843" spans="1:16" x14ac:dyDescent="0.3">
      <c r="A1843" s="19" t="str">
        <f t="shared" si="57"/>
        <v/>
      </c>
      <c r="L1843" s="21" t="str">
        <f>IF(J1843&lt;&gt;"",VLOOKUP(J1843,HeadCount!A:I,5,0),"")</f>
        <v/>
      </c>
      <c r="P1843" s="19" t="str">
        <f t="shared" si="58"/>
        <v/>
      </c>
    </row>
    <row r="1844" spans="1:16" x14ac:dyDescent="0.3">
      <c r="A1844" s="19" t="str">
        <f t="shared" si="57"/>
        <v/>
      </c>
      <c r="L1844" s="21" t="str">
        <f>IF(J1844&lt;&gt;"",VLOOKUP(J1844,HeadCount!A:I,5,0),"")</f>
        <v/>
      </c>
      <c r="P1844" s="19" t="str">
        <f t="shared" si="58"/>
        <v/>
      </c>
    </row>
    <row r="1845" spans="1:16" x14ac:dyDescent="0.3">
      <c r="A1845" s="19" t="str">
        <f t="shared" si="57"/>
        <v/>
      </c>
      <c r="L1845" s="21" t="str">
        <f>IF(J1845&lt;&gt;"",VLOOKUP(J1845,HeadCount!A:I,5,0),"")</f>
        <v/>
      </c>
      <c r="P1845" s="19" t="str">
        <f t="shared" si="58"/>
        <v/>
      </c>
    </row>
    <row r="1846" spans="1:16" x14ac:dyDescent="0.3">
      <c r="A1846" s="19" t="str">
        <f t="shared" si="57"/>
        <v/>
      </c>
      <c r="L1846" s="21" t="str">
        <f>IF(J1846&lt;&gt;"",VLOOKUP(J1846,HeadCount!A:I,5,0),"")</f>
        <v/>
      </c>
      <c r="P1846" s="19" t="str">
        <f t="shared" si="58"/>
        <v/>
      </c>
    </row>
    <row r="1847" spans="1:16" x14ac:dyDescent="0.3">
      <c r="A1847" s="19" t="str">
        <f t="shared" si="57"/>
        <v/>
      </c>
      <c r="L1847" s="21" t="str">
        <f>IF(J1847&lt;&gt;"",VLOOKUP(J1847,HeadCount!A:I,5,0),"")</f>
        <v/>
      </c>
      <c r="P1847" s="19" t="str">
        <f t="shared" si="58"/>
        <v/>
      </c>
    </row>
    <row r="1848" spans="1:16" x14ac:dyDescent="0.3">
      <c r="A1848" s="19" t="str">
        <f t="shared" si="57"/>
        <v/>
      </c>
      <c r="L1848" s="21" t="str">
        <f>IF(J1848&lt;&gt;"",VLOOKUP(J1848,HeadCount!A:I,5,0),"")</f>
        <v/>
      </c>
      <c r="P1848" s="19" t="str">
        <f t="shared" si="58"/>
        <v/>
      </c>
    </row>
    <row r="1849" spans="1:16" x14ac:dyDescent="0.3">
      <c r="A1849" s="19" t="str">
        <f t="shared" si="57"/>
        <v/>
      </c>
      <c r="L1849" s="21" t="str">
        <f>IF(J1849&lt;&gt;"",VLOOKUP(J1849,HeadCount!A:I,5,0),"")</f>
        <v/>
      </c>
      <c r="P1849" s="19" t="str">
        <f t="shared" si="58"/>
        <v/>
      </c>
    </row>
    <row r="1850" spans="1:16" x14ac:dyDescent="0.3">
      <c r="A1850" s="19" t="str">
        <f t="shared" si="57"/>
        <v/>
      </c>
      <c r="L1850" s="21" t="str">
        <f>IF(J1850&lt;&gt;"",VLOOKUP(J1850,HeadCount!A:I,5,0),"")</f>
        <v/>
      </c>
      <c r="P1850" s="19" t="str">
        <f t="shared" si="58"/>
        <v/>
      </c>
    </row>
    <row r="1851" spans="1:16" x14ac:dyDescent="0.3">
      <c r="A1851" s="19" t="str">
        <f t="shared" si="57"/>
        <v/>
      </c>
      <c r="L1851" s="21" t="str">
        <f>IF(J1851&lt;&gt;"",VLOOKUP(J1851,HeadCount!A:I,5,0),"")</f>
        <v/>
      </c>
      <c r="P1851" s="19" t="str">
        <f t="shared" si="58"/>
        <v/>
      </c>
    </row>
    <row r="1852" spans="1:16" x14ac:dyDescent="0.3">
      <c r="A1852" s="19" t="str">
        <f t="shared" si="57"/>
        <v/>
      </c>
      <c r="L1852" s="21" t="str">
        <f>IF(J1852&lt;&gt;"",VLOOKUP(J1852,HeadCount!A:I,5,0),"")</f>
        <v/>
      </c>
      <c r="P1852" s="19" t="str">
        <f t="shared" si="58"/>
        <v/>
      </c>
    </row>
    <row r="1853" spans="1:16" x14ac:dyDescent="0.3">
      <c r="A1853" s="19" t="str">
        <f t="shared" si="57"/>
        <v/>
      </c>
      <c r="L1853" s="21" t="str">
        <f>IF(J1853&lt;&gt;"",VLOOKUP(J1853,HeadCount!A:I,5,0),"")</f>
        <v/>
      </c>
      <c r="P1853" s="19" t="str">
        <f t="shared" si="58"/>
        <v/>
      </c>
    </row>
    <row r="1854" spans="1:16" x14ac:dyDescent="0.3">
      <c r="A1854" s="19" t="str">
        <f t="shared" si="57"/>
        <v/>
      </c>
      <c r="L1854" s="21" t="str">
        <f>IF(J1854&lt;&gt;"",VLOOKUP(J1854,HeadCount!A:I,5,0),"")</f>
        <v/>
      </c>
      <c r="P1854" s="19" t="str">
        <f t="shared" si="58"/>
        <v/>
      </c>
    </row>
    <row r="1855" spans="1:16" x14ac:dyDescent="0.3">
      <c r="A1855" s="19" t="str">
        <f t="shared" si="57"/>
        <v/>
      </c>
      <c r="L1855" s="21" t="str">
        <f>IF(J1855&lt;&gt;"",VLOOKUP(J1855,HeadCount!A:I,5,0),"")</f>
        <v/>
      </c>
      <c r="P1855" s="19" t="str">
        <f t="shared" si="58"/>
        <v/>
      </c>
    </row>
    <row r="1856" spans="1:16" x14ac:dyDescent="0.3">
      <c r="A1856" s="19" t="str">
        <f t="shared" si="57"/>
        <v/>
      </c>
      <c r="L1856" s="21" t="str">
        <f>IF(J1856&lt;&gt;"",VLOOKUP(J1856,HeadCount!A:I,5,0),"")</f>
        <v/>
      </c>
      <c r="P1856" s="19" t="str">
        <f t="shared" si="58"/>
        <v/>
      </c>
    </row>
    <row r="1857" spans="1:16" x14ac:dyDescent="0.3">
      <c r="A1857" s="19" t="str">
        <f t="shared" si="57"/>
        <v/>
      </c>
      <c r="L1857" s="21" t="str">
        <f>IF(J1857&lt;&gt;"",VLOOKUP(J1857,HeadCount!A:I,5,0),"")</f>
        <v/>
      </c>
      <c r="P1857" s="19" t="str">
        <f t="shared" si="58"/>
        <v/>
      </c>
    </row>
    <row r="1858" spans="1:16" x14ac:dyDescent="0.3">
      <c r="A1858" s="19" t="str">
        <f t="shared" ref="A1858:A1921" si="59">IF(C1858&lt;&gt;"",ROW(A1857),"")</f>
        <v/>
      </c>
      <c r="L1858" s="21" t="str">
        <f>IF(J1858&lt;&gt;"",VLOOKUP(J1858,HeadCount!A:I,5,0),"")</f>
        <v/>
      </c>
      <c r="P1858" s="19" t="str">
        <f t="shared" si="58"/>
        <v/>
      </c>
    </row>
    <row r="1859" spans="1:16" x14ac:dyDescent="0.3">
      <c r="A1859" s="19" t="str">
        <f t="shared" si="59"/>
        <v/>
      </c>
      <c r="L1859" s="21" t="str">
        <f>IF(J1859&lt;&gt;"",VLOOKUP(J1859,HeadCount!A:I,5,0),"")</f>
        <v/>
      </c>
      <c r="P1859" s="19" t="str">
        <f t="shared" ref="P1859:P1922" si="60">IF(N1859="","",(O1859-N1859)+1)</f>
        <v/>
      </c>
    </row>
    <row r="1860" spans="1:16" x14ac:dyDescent="0.3">
      <c r="A1860" s="19" t="str">
        <f t="shared" si="59"/>
        <v/>
      </c>
      <c r="L1860" s="21" t="str">
        <f>IF(J1860&lt;&gt;"",VLOOKUP(J1860,HeadCount!A:I,5,0),"")</f>
        <v/>
      </c>
      <c r="P1860" s="19" t="str">
        <f t="shared" si="60"/>
        <v/>
      </c>
    </row>
    <row r="1861" spans="1:16" x14ac:dyDescent="0.3">
      <c r="A1861" s="19" t="str">
        <f t="shared" si="59"/>
        <v/>
      </c>
      <c r="L1861" s="21" t="str">
        <f>IF(J1861&lt;&gt;"",VLOOKUP(J1861,HeadCount!A:I,5,0),"")</f>
        <v/>
      </c>
      <c r="P1861" s="19" t="str">
        <f t="shared" si="60"/>
        <v/>
      </c>
    </row>
    <row r="1862" spans="1:16" x14ac:dyDescent="0.3">
      <c r="A1862" s="19" t="str">
        <f t="shared" si="59"/>
        <v/>
      </c>
      <c r="L1862" s="21" t="str">
        <f>IF(J1862&lt;&gt;"",VLOOKUP(J1862,HeadCount!A:I,5,0),"")</f>
        <v/>
      </c>
      <c r="P1862" s="19" t="str">
        <f t="shared" si="60"/>
        <v/>
      </c>
    </row>
    <row r="1863" spans="1:16" x14ac:dyDescent="0.3">
      <c r="A1863" s="19" t="str">
        <f t="shared" si="59"/>
        <v/>
      </c>
      <c r="L1863" s="21" t="str">
        <f>IF(J1863&lt;&gt;"",VLOOKUP(J1863,HeadCount!A:I,5,0),"")</f>
        <v/>
      </c>
      <c r="P1863" s="19" t="str">
        <f t="shared" si="60"/>
        <v/>
      </c>
    </row>
    <row r="1864" spans="1:16" x14ac:dyDescent="0.3">
      <c r="A1864" s="19" t="str">
        <f t="shared" si="59"/>
        <v/>
      </c>
      <c r="L1864" s="21" t="str">
        <f>IF(J1864&lt;&gt;"",VLOOKUP(J1864,HeadCount!A:I,5,0),"")</f>
        <v/>
      </c>
      <c r="P1864" s="19" t="str">
        <f t="shared" si="60"/>
        <v/>
      </c>
    </row>
    <row r="1865" spans="1:16" x14ac:dyDescent="0.3">
      <c r="A1865" s="19" t="str">
        <f t="shared" si="59"/>
        <v/>
      </c>
      <c r="L1865" s="21" t="str">
        <f>IF(J1865&lt;&gt;"",VLOOKUP(J1865,HeadCount!A:I,5,0),"")</f>
        <v/>
      </c>
      <c r="P1865" s="19" t="str">
        <f t="shared" si="60"/>
        <v/>
      </c>
    </row>
    <row r="1866" spans="1:16" x14ac:dyDescent="0.3">
      <c r="A1866" s="19" t="str">
        <f t="shared" si="59"/>
        <v/>
      </c>
      <c r="L1866" s="21" t="str">
        <f>IF(J1866&lt;&gt;"",VLOOKUP(J1866,HeadCount!A:I,5,0),"")</f>
        <v/>
      </c>
      <c r="P1866" s="19" t="str">
        <f t="shared" si="60"/>
        <v/>
      </c>
    </row>
    <row r="1867" spans="1:16" x14ac:dyDescent="0.3">
      <c r="A1867" s="19" t="str">
        <f t="shared" si="59"/>
        <v/>
      </c>
      <c r="L1867" s="21" t="str">
        <f>IF(J1867&lt;&gt;"",VLOOKUP(J1867,HeadCount!A:I,5,0),"")</f>
        <v/>
      </c>
      <c r="P1867" s="19" t="str">
        <f t="shared" si="60"/>
        <v/>
      </c>
    </row>
    <row r="1868" spans="1:16" x14ac:dyDescent="0.3">
      <c r="A1868" s="19" t="str">
        <f t="shared" si="59"/>
        <v/>
      </c>
      <c r="L1868" s="21" t="str">
        <f>IF(J1868&lt;&gt;"",VLOOKUP(J1868,HeadCount!A:I,5,0),"")</f>
        <v/>
      </c>
      <c r="P1868" s="19" t="str">
        <f t="shared" si="60"/>
        <v/>
      </c>
    </row>
    <row r="1869" spans="1:16" x14ac:dyDescent="0.3">
      <c r="A1869" s="19" t="str">
        <f t="shared" si="59"/>
        <v/>
      </c>
      <c r="L1869" s="21" t="str">
        <f>IF(J1869&lt;&gt;"",VLOOKUP(J1869,HeadCount!A:I,5,0),"")</f>
        <v/>
      </c>
      <c r="P1869" s="19" t="str">
        <f t="shared" si="60"/>
        <v/>
      </c>
    </row>
    <row r="1870" spans="1:16" x14ac:dyDescent="0.3">
      <c r="A1870" s="19" t="str">
        <f t="shared" si="59"/>
        <v/>
      </c>
      <c r="L1870" s="21" t="str">
        <f>IF(J1870&lt;&gt;"",VLOOKUP(J1870,HeadCount!A:I,5,0),"")</f>
        <v/>
      </c>
      <c r="P1870" s="19" t="str">
        <f t="shared" si="60"/>
        <v/>
      </c>
    </row>
    <row r="1871" spans="1:16" x14ac:dyDescent="0.3">
      <c r="A1871" s="19" t="str">
        <f t="shared" si="59"/>
        <v/>
      </c>
      <c r="L1871" s="21" t="str">
        <f>IF(J1871&lt;&gt;"",VLOOKUP(J1871,HeadCount!A:I,5,0),"")</f>
        <v/>
      </c>
      <c r="P1871" s="19" t="str">
        <f t="shared" si="60"/>
        <v/>
      </c>
    </row>
    <row r="1872" spans="1:16" x14ac:dyDescent="0.3">
      <c r="A1872" s="19" t="str">
        <f t="shared" si="59"/>
        <v/>
      </c>
      <c r="L1872" s="21" t="str">
        <f>IF(J1872&lt;&gt;"",VLOOKUP(J1872,HeadCount!A:I,5,0),"")</f>
        <v/>
      </c>
      <c r="P1872" s="19" t="str">
        <f t="shared" si="60"/>
        <v/>
      </c>
    </row>
    <row r="1873" spans="1:16" x14ac:dyDescent="0.3">
      <c r="A1873" s="19" t="str">
        <f t="shared" si="59"/>
        <v/>
      </c>
      <c r="L1873" s="21" t="str">
        <f>IF(J1873&lt;&gt;"",VLOOKUP(J1873,HeadCount!A:I,5,0),"")</f>
        <v/>
      </c>
      <c r="P1873" s="19" t="str">
        <f t="shared" si="60"/>
        <v/>
      </c>
    </row>
    <row r="1874" spans="1:16" x14ac:dyDescent="0.3">
      <c r="A1874" s="19" t="str">
        <f t="shared" si="59"/>
        <v/>
      </c>
      <c r="L1874" s="21" t="str">
        <f>IF(J1874&lt;&gt;"",VLOOKUP(J1874,HeadCount!A:I,5,0),"")</f>
        <v/>
      </c>
      <c r="P1874" s="19" t="str">
        <f t="shared" si="60"/>
        <v/>
      </c>
    </row>
    <row r="1875" spans="1:16" x14ac:dyDescent="0.3">
      <c r="A1875" s="19" t="str">
        <f t="shared" si="59"/>
        <v/>
      </c>
      <c r="L1875" s="21" t="str">
        <f>IF(J1875&lt;&gt;"",VLOOKUP(J1875,HeadCount!A:I,5,0),"")</f>
        <v/>
      </c>
      <c r="P1875" s="19" t="str">
        <f t="shared" si="60"/>
        <v/>
      </c>
    </row>
    <row r="1876" spans="1:16" x14ac:dyDescent="0.3">
      <c r="A1876" s="19" t="str">
        <f t="shared" si="59"/>
        <v/>
      </c>
      <c r="L1876" s="21" t="str">
        <f>IF(J1876&lt;&gt;"",VLOOKUP(J1876,HeadCount!A:I,5,0),"")</f>
        <v/>
      </c>
      <c r="P1876" s="19" t="str">
        <f t="shared" si="60"/>
        <v/>
      </c>
    </row>
    <row r="1877" spans="1:16" x14ac:dyDescent="0.3">
      <c r="A1877" s="19" t="str">
        <f t="shared" si="59"/>
        <v/>
      </c>
      <c r="L1877" s="21" t="str">
        <f>IF(J1877&lt;&gt;"",VLOOKUP(J1877,HeadCount!A:I,5,0),"")</f>
        <v/>
      </c>
      <c r="P1877" s="19" t="str">
        <f t="shared" si="60"/>
        <v/>
      </c>
    </row>
    <row r="1878" spans="1:16" x14ac:dyDescent="0.3">
      <c r="A1878" s="19" t="str">
        <f t="shared" si="59"/>
        <v/>
      </c>
      <c r="L1878" s="21" t="str">
        <f>IF(J1878&lt;&gt;"",VLOOKUP(J1878,HeadCount!A:I,5,0),"")</f>
        <v/>
      </c>
      <c r="P1878" s="19" t="str">
        <f t="shared" si="60"/>
        <v/>
      </c>
    </row>
    <row r="1879" spans="1:16" x14ac:dyDescent="0.3">
      <c r="A1879" s="19" t="str">
        <f t="shared" si="59"/>
        <v/>
      </c>
      <c r="L1879" s="21" t="str">
        <f>IF(J1879&lt;&gt;"",VLOOKUP(J1879,HeadCount!A:I,5,0),"")</f>
        <v/>
      </c>
      <c r="P1879" s="19" t="str">
        <f t="shared" si="60"/>
        <v/>
      </c>
    </row>
    <row r="1880" spans="1:16" x14ac:dyDescent="0.3">
      <c r="A1880" s="19" t="str">
        <f t="shared" si="59"/>
        <v/>
      </c>
      <c r="L1880" s="21" t="str">
        <f>IF(J1880&lt;&gt;"",VLOOKUP(J1880,HeadCount!A:I,5,0),"")</f>
        <v/>
      </c>
      <c r="P1880" s="19" t="str">
        <f t="shared" si="60"/>
        <v/>
      </c>
    </row>
    <row r="1881" spans="1:16" x14ac:dyDescent="0.3">
      <c r="A1881" s="19" t="str">
        <f t="shared" si="59"/>
        <v/>
      </c>
      <c r="L1881" s="21" t="str">
        <f>IF(J1881&lt;&gt;"",VLOOKUP(J1881,HeadCount!A:I,5,0),"")</f>
        <v/>
      </c>
      <c r="P1881" s="19" t="str">
        <f t="shared" si="60"/>
        <v/>
      </c>
    </row>
    <row r="1882" spans="1:16" x14ac:dyDescent="0.3">
      <c r="A1882" s="19" t="str">
        <f t="shared" si="59"/>
        <v/>
      </c>
      <c r="L1882" s="21" t="str">
        <f>IF(J1882&lt;&gt;"",VLOOKUP(J1882,HeadCount!A:I,5,0),"")</f>
        <v/>
      </c>
      <c r="P1882" s="19" t="str">
        <f t="shared" si="60"/>
        <v/>
      </c>
    </row>
    <row r="1883" spans="1:16" x14ac:dyDescent="0.3">
      <c r="A1883" s="19" t="str">
        <f t="shared" si="59"/>
        <v/>
      </c>
      <c r="L1883" s="21" t="str">
        <f>IF(J1883&lt;&gt;"",VLOOKUP(J1883,HeadCount!A:I,5,0),"")</f>
        <v/>
      </c>
      <c r="P1883" s="19" t="str">
        <f t="shared" si="60"/>
        <v/>
      </c>
    </row>
    <row r="1884" spans="1:16" x14ac:dyDescent="0.3">
      <c r="A1884" s="19" t="str">
        <f t="shared" si="59"/>
        <v/>
      </c>
      <c r="L1884" s="21" t="str">
        <f>IF(J1884&lt;&gt;"",VLOOKUP(J1884,HeadCount!A:I,5,0),"")</f>
        <v/>
      </c>
      <c r="P1884" s="19" t="str">
        <f t="shared" si="60"/>
        <v/>
      </c>
    </row>
    <row r="1885" spans="1:16" x14ac:dyDescent="0.3">
      <c r="A1885" s="19" t="str">
        <f t="shared" si="59"/>
        <v/>
      </c>
      <c r="L1885" s="21" t="str">
        <f>IF(J1885&lt;&gt;"",VLOOKUP(J1885,HeadCount!A:I,5,0),"")</f>
        <v/>
      </c>
      <c r="P1885" s="19" t="str">
        <f t="shared" si="60"/>
        <v/>
      </c>
    </row>
    <row r="1886" spans="1:16" x14ac:dyDescent="0.3">
      <c r="A1886" s="19" t="str">
        <f t="shared" si="59"/>
        <v/>
      </c>
      <c r="L1886" s="21" t="str">
        <f>IF(J1886&lt;&gt;"",VLOOKUP(J1886,HeadCount!A:I,5,0),"")</f>
        <v/>
      </c>
      <c r="P1886" s="19" t="str">
        <f t="shared" si="60"/>
        <v/>
      </c>
    </row>
    <row r="1887" spans="1:16" x14ac:dyDescent="0.3">
      <c r="A1887" s="19" t="str">
        <f t="shared" si="59"/>
        <v/>
      </c>
      <c r="L1887" s="21" t="str">
        <f>IF(J1887&lt;&gt;"",VLOOKUP(J1887,HeadCount!A:I,5,0),"")</f>
        <v/>
      </c>
      <c r="P1887" s="19" t="str">
        <f t="shared" si="60"/>
        <v/>
      </c>
    </row>
    <row r="1888" spans="1:16" x14ac:dyDescent="0.3">
      <c r="A1888" s="19" t="str">
        <f t="shared" si="59"/>
        <v/>
      </c>
      <c r="L1888" s="21" t="str">
        <f>IF(J1888&lt;&gt;"",VLOOKUP(J1888,HeadCount!A:I,5,0),"")</f>
        <v/>
      </c>
      <c r="P1888" s="19" t="str">
        <f t="shared" si="60"/>
        <v/>
      </c>
    </row>
    <row r="1889" spans="1:16" x14ac:dyDescent="0.3">
      <c r="A1889" s="19" t="str">
        <f t="shared" si="59"/>
        <v/>
      </c>
      <c r="L1889" s="21" t="str">
        <f>IF(J1889&lt;&gt;"",VLOOKUP(J1889,HeadCount!A:I,5,0),"")</f>
        <v/>
      </c>
      <c r="P1889" s="19" t="str">
        <f t="shared" si="60"/>
        <v/>
      </c>
    </row>
    <row r="1890" spans="1:16" x14ac:dyDescent="0.3">
      <c r="A1890" s="19" t="str">
        <f t="shared" si="59"/>
        <v/>
      </c>
      <c r="L1890" s="21" t="str">
        <f>IF(J1890&lt;&gt;"",VLOOKUP(J1890,HeadCount!A:I,5,0),"")</f>
        <v/>
      </c>
      <c r="P1890" s="19" t="str">
        <f t="shared" si="60"/>
        <v/>
      </c>
    </row>
    <row r="1891" spans="1:16" x14ac:dyDescent="0.3">
      <c r="A1891" s="19" t="str">
        <f t="shared" si="59"/>
        <v/>
      </c>
      <c r="L1891" s="21" t="str">
        <f>IF(J1891&lt;&gt;"",VLOOKUP(J1891,HeadCount!A:I,5,0),"")</f>
        <v/>
      </c>
      <c r="P1891" s="19" t="str">
        <f t="shared" si="60"/>
        <v/>
      </c>
    </row>
    <row r="1892" spans="1:16" x14ac:dyDescent="0.3">
      <c r="A1892" s="19" t="str">
        <f t="shared" si="59"/>
        <v/>
      </c>
      <c r="L1892" s="21" t="str">
        <f>IF(J1892&lt;&gt;"",VLOOKUP(J1892,HeadCount!A:I,5,0),"")</f>
        <v/>
      </c>
      <c r="P1892" s="19" t="str">
        <f t="shared" si="60"/>
        <v/>
      </c>
    </row>
    <row r="1893" spans="1:16" x14ac:dyDescent="0.3">
      <c r="A1893" s="19" t="str">
        <f t="shared" si="59"/>
        <v/>
      </c>
      <c r="L1893" s="21" t="str">
        <f>IF(J1893&lt;&gt;"",VLOOKUP(J1893,HeadCount!A:I,5,0),"")</f>
        <v/>
      </c>
      <c r="P1893" s="19" t="str">
        <f t="shared" si="60"/>
        <v/>
      </c>
    </row>
    <row r="1894" spans="1:16" x14ac:dyDescent="0.3">
      <c r="A1894" s="19" t="str">
        <f t="shared" si="59"/>
        <v/>
      </c>
      <c r="L1894" s="21" t="str">
        <f>IF(J1894&lt;&gt;"",VLOOKUP(J1894,HeadCount!A:I,5,0),"")</f>
        <v/>
      </c>
      <c r="P1894" s="19" t="str">
        <f t="shared" si="60"/>
        <v/>
      </c>
    </row>
    <row r="1895" spans="1:16" x14ac:dyDescent="0.3">
      <c r="A1895" s="19" t="str">
        <f t="shared" si="59"/>
        <v/>
      </c>
      <c r="L1895" s="21" t="str">
        <f>IF(J1895&lt;&gt;"",VLOOKUP(J1895,HeadCount!A:I,5,0),"")</f>
        <v/>
      </c>
      <c r="P1895" s="19" t="str">
        <f t="shared" si="60"/>
        <v/>
      </c>
    </row>
    <row r="1896" spans="1:16" x14ac:dyDescent="0.3">
      <c r="A1896" s="19" t="str">
        <f t="shared" si="59"/>
        <v/>
      </c>
      <c r="L1896" s="21" t="str">
        <f>IF(J1896&lt;&gt;"",VLOOKUP(J1896,HeadCount!A:I,5,0),"")</f>
        <v/>
      </c>
      <c r="P1896" s="19" t="str">
        <f t="shared" si="60"/>
        <v/>
      </c>
    </row>
    <row r="1897" spans="1:16" x14ac:dyDescent="0.3">
      <c r="A1897" s="19" t="str">
        <f t="shared" si="59"/>
        <v/>
      </c>
      <c r="L1897" s="21" t="str">
        <f>IF(J1897&lt;&gt;"",VLOOKUP(J1897,HeadCount!A:I,5,0),"")</f>
        <v/>
      </c>
      <c r="P1897" s="19" t="str">
        <f t="shared" si="60"/>
        <v/>
      </c>
    </row>
    <row r="1898" spans="1:16" x14ac:dyDescent="0.3">
      <c r="A1898" s="19" t="str">
        <f t="shared" si="59"/>
        <v/>
      </c>
      <c r="L1898" s="21" t="str">
        <f>IF(J1898&lt;&gt;"",VLOOKUP(J1898,HeadCount!A:I,5,0),"")</f>
        <v/>
      </c>
      <c r="P1898" s="19" t="str">
        <f t="shared" si="60"/>
        <v/>
      </c>
    </row>
    <row r="1899" spans="1:16" x14ac:dyDescent="0.3">
      <c r="A1899" s="19" t="str">
        <f t="shared" si="59"/>
        <v/>
      </c>
      <c r="L1899" s="21" t="str">
        <f>IF(J1899&lt;&gt;"",VLOOKUP(J1899,HeadCount!A:I,5,0),"")</f>
        <v/>
      </c>
      <c r="P1899" s="19" t="str">
        <f t="shared" si="60"/>
        <v/>
      </c>
    </row>
    <row r="1900" spans="1:16" x14ac:dyDescent="0.3">
      <c r="A1900" s="19" t="str">
        <f t="shared" si="59"/>
        <v/>
      </c>
      <c r="L1900" s="21" t="str">
        <f>IF(J1900&lt;&gt;"",VLOOKUP(J1900,HeadCount!A:I,5,0),"")</f>
        <v/>
      </c>
      <c r="P1900" s="19" t="str">
        <f t="shared" si="60"/>
        <v/>
      </c>
    </row>
    <row r="1901" spans="1:16" x14ac:dyDescent="0.3">
      <c r="A1901" s="19" t="str">
        <f t="shared" si="59"/>
        <v/>
      </c>
      <c r="L1901" s="21" t="str">
        <f>IF(J1901&lt;&gt;"",VLOOKUP(J1901,HeadCount!A:I,5,0),"")</f>
        <v/>
      </c>
      <c r="P1901" s="19" t="str">
        <f t="shared" si="60"/>
        <v/>
      </c>
    </row>
    <row r="1902" spans="1:16" x14ac:dyDescent="0.3">
      <c r="A1902" s="19" t="str">
        <f t="shared" si="59"/>
        <v/>
      </c>
      <c r="L1902" s="21" t="str">
        <f>IF(J1902&lt;&gt;"",VLOOKUP(J1902,HeadCount!A:I,5,0),"")</f>
        <v/>
      </c>
      <c r="P1902" s="19" t="str">
        <f t="shared" si="60"/>
        <v/>
      </c>
    </row>
    <row r="1903" spans="1:16" x14ac:dyDescent="0.3">
      <c r="A1903" s="19" t="str">
        <f t="shared" si="59"/>
        <v/>
      </c>
      <c r="L1903" s="21" t="str">
        <f>IF(J1903&lt;&gt;"",VLOOKUP(J1903,HeadCount!A:I,5,0),"")</f>
        <v/>
      </c>
      <c r="P1903" s="19" t="str">
        <f t="shared" si="60"/>
        <v/>
      </c>
    </row>
    <row r="1904" spans="1:16" x14ac:dyDescent="0.3">
      <c r="A1904" s="19" t="str">
        <f t="shared" si="59"/>
        <v/>
      </c>
      <c r="L1904" s="21" t="str">
        <f>IF(J1904&lt;&gt;"",VLOOKUP(J1904,HeadCount!A:I,5,0),"")</f>
        <v/>
      </c>
      <c r="P1904" s="19" t="str">
        <f t="shared" si="60"/>
        <v/>
      </c>
    </row>
    <row r="1905" spans="1:16" x14ac:dyDescent="0.3">
      <c r="A1905" s="19" t="str">
        <f t="shared" si="59"/>
        <v/>
      </c>
      <c r="L1905" s="21" t="str">
        <f>IF(J1905&lt;&gt;"",VLOOKUP(J1905,HeadCount!A:I,5,0),"")</f>
        <v/>
      </c>
      <c r="P1905" s="19" t="str">
        <f t="shared" si="60"/>
        <v/>
      </c>
    </row>
    <row r="1906" spans="1:16" x14ac:dyDescent="0.3">
      <c r="A1906" s="19" t="str">
        <f t="shared" si="59"/>
        <v/>
      </c>
      <c r="L1906" s="21" t="str">
        <f>IF(J1906&lt;&gt;"",VLOOKUP(J1906,HeadCount!A:I,5,0),"")</f>
        <v/>
      </c>
      <c r="P1906" s="19" t="str">
        <f t="shared" si="60"/>
        <v/>
      </c>
    </row>
    <row r="1907" spans="1:16" x14ac:dyDescent="0.3">
      <c r="A1907" s="19" t="str">
        <f t="shared" si="59"/>
        <v/>
      </c>
      <c r="L1907" s="21" t="str">
        <f>IF(J1907&lt;&gt;"",VLOOKUP(J1907,HeadCount!A:I,5,0),"")</f>
        <v/>
      </c>
      <c r="P1907" s="19" t="str">
        <f t="shared" si="60"/>
        <v/>
      </c>
    </row>
    <row r="1908" spans="1:16" x14ac:dyDescent="0.3">
      <c r="A1908" s="19" t="str">
        <f t="shared" si="59"/>
        <v/>
      </c>
      <c r="L1908" s="21" t="str">
        <f>IF(J1908&lt;&gt;"",VLOOKUP(J1908,HeadCount!A:I,5,0),"")</f>
        <v/>
      </c>
      <c r="P1908" s="19" t="str">
        <f t="shared" si="60"/>
        <v/>
      </c>
    </row>
    <row r="1909" spans="1:16" x14ac:dyDescent="0.3">
      <c r="A1909" s="19" t="str">
        <f t="shared" si="59"/>
        <v/>
      </c>
      <c r="L1909" s="21" t="str">
        <f>IF(J1909&lt;&gt;"",VLOOKUP(J1909,HeadCount!A:I,5,0),"")</f>
        <v/>
      </c>
      <c r="P1909" s="19" t="str">
        <f t="shared" si="60"/>
        <v/>
      </c>
    </row>
    <row r="1910" spans="1:16" x14ac:dyDescent="0.3">
      <c r="A1910" s="19" t="str">
        <f t="shared" si="59"/>
        <v/>
      </c>
      <c r="L1910" s="21" t="str">
        <f>IF(J1910&lt;&gt;"",VLOOKUP(J1910,HeadCount!A:I,5,0),"")</f>
        <v/>
      </c>
      <c r="P1910" s="19" t="str">
        <f t="shared" si="60"/>
        <v/>
      </c>
    </row>
    <row r="1911" spans="1:16" x14ac:dyDescent="0.3">
      <c r="A1911" s="19" t="str">
        <f t="shared" si="59"/>
        <v/>
      </c>
      <c r="L1911" s="21" t="str">
        <f>IF(J1911&lt;&gt;"",VLOOKUP(J1911,HeadCount!A:I,5,0),"")</f>
        <v/>
      </c>
      <c r="P1911" s="19" t="str">
        <f t="shared" si="60"/>
        <v/>
      </c>
    </row>
    <row r="1912" spans="1:16" x14ac:dyDescent="0.3">
      <c r="A1912" s="19" t="str">
        <f t="shared" si="59"/>
        <v/>
      </c>
      <c r="L1912" s="21" t="str">
        <f>IF(J1912&lt;&gt;"",VLOOKUP(J1912,HeadCount!A:I,5,0),"")</f>
        <v/>
      </c>
      <c r="P1912" s="19" t="str">
        <f t="shared" si="60"/>
        <v/>
      </c>
    </row>
    <row r="1913" spans="1:16" x14ac:dyDescent="0.3">
      <c r="A1913" s="19" t="str">
        <f t="shared" si="59"/>
        <v/>
      </c>
      <c r="L1913" s="21" t="str">
        <f>IF(J1913&lt;&gt;"",VLOOKUP(J1913,HeadCount!A:I,5,0),"")</f>
        <v/>
      </c>
      <c r="P1913" s="19" t="str">
        <f t="shared" si="60"/>
        <v/>
      </c>
    </row>
    <row r="1914" spans="1:16" x14ac:dyDescent="0.3">
      <c r="A1914" s="19" t="str">
        <f t="shared" si="59"/>
        <v/>
      </c>
      <c r="L1914" s="21" t="str">
        <f>IF(J1914&lt;&gt;"",VLOOKUP(J1914,HeadCount!A:I,5,0),"")</f>
        <v/>
      </c>
      <c r="P1914" s="19" t="str">
        <f t="shared" si="60"/>
        <v/>
      </c>
    </row>
    <row r="1915" spans="1:16" x14ac:dyDescent="0.3">
      <c r="A1915" s="19" t="str">
        <f t="shared" si="59"/>
        <v/>
      </c>
      <c r="L1915" s="21" t="str">
        <f>IF(J1915&lt;&gt;"",VLOOKUP(J1915,HeadCount!A:I,5,0),"")</f>
        <v/>
      </c>
      <c r="P1915" s="19" t="str">
        <f t="shared" si="60"/>
        <v/>
      </c>
    </row>
    <row r="1916" spans="1:16" x14ac:dyDescent="0.3">
      <c r="A1916" s="19" t="str">
        <f t="shared" si="59"/>
        <v/>
      </c>
      <c r="L1916" s="21" t="str">
        <f>IF(J1916&lt;&gt;"",VLOOKUP(J1916,HeadCount!A:I,5,0),"")</f>
        <v/>
      </c>
      <c r="P1916" s="19" t="str">
        <f t="shared" si="60"/>
        <v/>
      </c>
    </row>
    <row r="1917" spans="1:16" x14ac:dyDescent="0.3">
      <c r="A1917" s="19" t="str">
        <f t="shared" si="59"/>
        <v/>
      </c>
      <c r="L1917" s="21" t="str">
        <f>IF(J1917&lt;&gt;"",VLOOKUP(J1917,HeadCount!A:I,5,0),"")</f>
        <v/>
      </c>
      <c r="P1917" s="19" t="str">
        <f t="shared" si="60"/>
        <v/>
      </c>
    </row>
    <row r="1918" spans="1:16" x14ac:dyDescent="0.3">
      <c r="A1918" s="19" t="str">
        <f t="shared" si="59"/>
        <v/>
      </c>
      <c r="L1918" s="21" t="str">
        <f>IF(J1918&lt;&gt;"",VLOOKUP(J1918,HeadCount!A:I,5,0),"")</f>
        <v/>
      </c>
      <c r="P1918" s="19" t="str">
        <f t="shared" si="60"/>
        <v/>
      </c>
    </row>
    <row r="1919" spans="1:16" x14ac:dyDescent="0.3">
      <c r="A1919" s="19" t="str">
        <f t="shared" si="59"/>
        <v/>
      </c>
      <c r="L1919" s="21" t="str">
        <f>IF(J1919&lt;&gt;"",VLOOKUP(J1919,HeadCount!A:I,5,0),"")</f>
        <v/>
      </c>
      <c r="P1919" s="19" t="str">
        <f t="shared" si="60"/>
        <v/>
      </c>
    </row>
    <row r="1920" spans="1:16" x14ac:dyDescent="0.3">
      <c r="A1920" s="19" t="str">
        <f t="shared" si="59"/>
        <v/>
      </c>
      <c r="L1920" s="21" t="str">
        <f>IF(J1920&lt;&gt;"",VLOOKUP(J1920,HeadCount!A:I,5,0),"")</f>
        <v/>
      </c>
      <c r="P1920" s="19" t="str">
        <f t="shared" si="60"/>
        <v/>
      </c>
    </row>
    <row r="1921" spans="1:16" x14ac:dyDescent="0.3">
      <c r="A1921" s="19" t="str">
        <f t="shared" si="59"/>
        <v/>
      </c>
      <c r="L1921" s="21" t="str">
        <f>IF(J1921&lt;&gt;"",VLOOKUP(J1921,HeadCount!A:I,5,0),"")</f>
        <v/>
      </c>
      <c r="P1921" s="19" t="str">
        <f t="shared" si="60"/>
        <v/>
      </c>
    </row>
    <row r="1922" spans="1:16" x14ac:dyDescent="0.3">
      <c r="A1922" s="19" t="str">
        <f t="shared" ref="A1922:A1985" si="61">IF(C1922&lt;&gt;"",ROW(A1921),"")</f>
        <v/>
      </c>
      <c r="L1922" s="21" t="str">
        <f>IF(J1922&lt;&gt;"",VLOOKUP(J1922,HeadCount!A:I,5,0),"")</f>
        <v/>
      </c>
      <c r="P1922" s="19" t="str">
        <f t="shared" si="60"/>
        <v/>
      </c>
    </row>
    <row r="1923" spans="1:16" x14ac:dyDescent="0.3">
      <c r="A1923" s="19" t="str">
        <f t="shared" si="61"/>
        <v/>
      </c>
      <c r="L1923" s="21" t="str">
        <f>IF(J1923&lt;&gt;"",VLOOKUP(J1923,HeadCount!A:I,5,0),"")</f>
        <v/>
      </c>
      <c r="P1923" s="19" t="str">
        <f t="shared" ref="P1923:P1986" si="62">IF(N1923="","",(O1923-N1923)+1)</f>
        <v/>
      </c>
    </row>
    <row r="1924" spans="1:16" x14ac:dyDescent="0.3">
      <c r="A1924" s="19" t="str">
        <f t="shared" si="61"/>
        <v/>
      </c>
      <c r="L1924" s="21" t="str">
        <f>IF(J1924&lt;&gt;"",VLOOKUP(J1924,HeadCount!A:I,5,0),"")</f>
        <v/>
      </c>
      <c r="P1924" s="19" t="str">
        <f t="shared" si="62"/>
        <v/>
      </c>
    </row>
    <row r="1925" spans="1:16" x14ac:dyDescent="0.3">
      <c r="A1925" s="19" t="str">
        <f t="shared" si="61"/>
        <v/>
      </c>
      <c r="L1925" s="21" t="str">
        <f>IF(J1925&lt;&gt;"",VLOOKUP(J1925,HeadCount!A:I,5,0),"")</f>
        <v/>
      </c>
      <c r="P1925" s="19" t="str">
        <f t="shared" si="62"/>
        <v/>
      </c>
    </row>
    <row r="1926" spans="1:16" x14ac:dyDescent="0.3">
      <c r="A1926" s="19" t="str">
        <f t="shared" si="61"/>
        <v/>
      </c>
      <c r="L1926" s="21" t="str">
        <f>IF(J1926&lt;&gt;"",VLOOKUP(J1926,HeadCount!A:I,5,0),"")</f>
        <v/>
      </c>
      <c r="P1926" s="19" t="str">
        <f t="shared" si="62"/>
        <v/>
      </c>
    </row>
    <row r="1927" spans="1:16" x14ac:dyDescent="0.3">
      <c r="A1927" s="19" t="str">
        <f t="shared" si="61"/>
        <v/>
      </c>
      <c r="L1927" s="21" t="str">
        <f>IF(J1927&lt;&gt;"",VLOOKUP(J1927,HeadCount!A:I,5,0),"")</f>
        <v/>
      </c>
      <c r="P1927" s="19" t="str">
        <f t="shared" si="62"/>
        <v/>
      </c>
    </row>
    <row r="1928" spans="1:16" x14ac:dyDescent="0.3">
      <c r="A1928" s="19" t="str">
        <f t="shared" si="61"/>
        <v/>
      </c>
      <c r="L1928" s="21" t="str">
        <f>IF(J1928&lt;&gt;"",VLOOKUP(J1928,HeadCount!A:I,5,0),"")</f>
        <v/>
      </c>
      <c r="P1928" s="19" t="str">
        <f t="shared" si="62"/>
        <v/>
      </c>
    </row>
    <row r="1929" spans="1:16" x14ac:dyDescent="0.3">
      <c r="A1929" s="19" t="str">
        <f t="shared" si="61"/>
        <v/>
      </c>
      <c r="L1929" s="21" t="str">
        <f>IF(J1929&lt;&gt;"",VLOOKUP(J1929,HeadCount!A:I,5,0),"")</f>
        <v/>
      </c>
      <c r="P1929" s="19" t="str">
        <f t="shared" si="62"/>
        <v/>
      </c>
    </row>
    <row r="1930" spans="1:16" x14ac:dyDescent="0.3">
      <c r="A1930" s="19" t="str">
        <f t="shared" si="61"/>
        <v/>
      </c>
      <c r="L1930" s="21" t="str">
        <f>IF(J1930&lt;&gt;"",VLOOKUP(J1930,HeadCount!A:I,5,0),"")</f>
        <v/>
      </c>
      <c r="P1930" s="19" t="str">
        <f t="shared" si="62"/>
        <v/>
      </c>
    </row>
    <row r="1931" spans="1:16" x14ac:dyDescent="0.3">
      <c r="A1931" s="19" t="str">
        <f t="shared" si="61"/>
        <v/>
      </c>
      <c r="L1931" s="21" t="str">
        <f>IF(J1931&lt;&gt;"",VLOOKUP(J1931,HeadCount!A:I,5,0),"")</f>
        <v/>
      </c>
      <c r="P1931" s="19" t="str">
        <f t="shared" si="62"/>
        <v/>
      </c>
    </row>
    <row r="1932" spans="1:16" x14ac:dyDescent="0.3">
      <c r="A1932" s="19" t="str">
        <f t="shared" si="61"/>
        <v/>
      </c>
      <c r="L1932" s="21" t="str">
        <f>IF(J1932&lt;&gt;"",VLOOKUP(J1932,HeadCount!A:I,5,0),"")</f>
        <v/>
      </c>
      <c r="P1932" s="19" t="str">
        <f t="shared" si="62"/>
        <v/>
      </c>
    </row>
    <row r="1933" spans="1:16" x14ac:dyDescent="0.3">
      <c r="A1933" s="19" t="str">
        <f t="shared" si="61"/>
        <v/>
      </c>
      <c r="L1933" s="21" t="str">
        <f>IF(J1933&lt;&gt;"",VLOOKUP(J1933,HeadCount!A:I,5,0),"")</f>
        <v/>
      </c>
      <c r="P1933" s="19" t="str">
        <f t="shared" si="62"/>
        <v/>
      </c>
    </row>
    <row r="1934" spans="1:16" x14ac:dyDescent="0.3">
      <c r="A1934" s="19" t="str">
        <f t="shared" si="61"/>
        <v/>
      </c>
      <c r="L1934" s="21" t="str">
        <f>IF(J1934&lt;&gt;"",VLOOKUP(J1934,HeadCount!A:I,5,0),"")</f>
        <v/>
      </c>
      <c r="P1934" s="19" t="str">
        <f t="shared" si="62"/>
        <v/>
      </c>
    </row>
    <row r="1935" spans="1:16" x14ac:dyDescent="0.3">
      <c r="A1935" s="19" t="str">
        <f t="shared" si="61"/>
        <v/>
      </c>
      <c r="L1935" s="21" t="str">
        <f>IF(J1935&lt;&gt;"",VLOOKUP(J1935,HeadCount!A:I,5,0),"")</f>
        <v/>
      </c>
      <c r="P1935" s="19" t="str">
        <f t="shared" si="62"/>
        <v/>
      </c>
    </row>
    <row r="1936" spans="1:16" x14ac:dyDescent="0.3">
      <c r="A1936" s="19" t="str">
        <f t="shared" si="61"/>
        <v/>
      </c>
      <c r="L1936" s="21" t="str">
        <f>IF(J1936&lt;&gt;"",VLOOKUP(J1936,HeadCount!A:I,5,0),"")</f>
        <v/>
      </c>
      <c r="P1936" s="19" t="str">
        <f t="shared" si="62"/>
        <v/>
      </c>
    </row>
    <row r="1937" spans="1:16" x14ac:dyDescent="0.3">
      <c r="A1937" s="19" t="str">
        <f t="shared" si="61"/>
        <v/>
      </c>
      <c r="L1937" s="21" t="str">
        <f>IF(J1937&lt;&gt;"",VLOOKUP(J1937,HeadCount!A:I,5,0),"")</f>
        <v/>
      </c>
      <c r="P1937" s="19" t="str">
        <f t="shared" si="62"/>
        <v/>
      </c>
    </row>
    <row r="1938" spans="1:16" x14ac:dyDescent="0.3">
      <c r="A1938" s="19" t="str">
        <f t="shared" si="61"/>
        <v/>
      </c>
      <c r="L1938" s="21" t="str">
        <f>IF(J1938&lt;&gt;"",VLOOKUP(J1938,HeadCount!A:I,5,0),"")</f>
        <v/>
      </c>
      <c r="P1938" s="19" t="str">
        <f t="shared" si="62"/>
        <v/>
      </c>
    </row>
    <row r="1939" spans="1:16" x14ac:dyDescent="0.3">
      <c r="A1939" s="19" t="str">
        <f t="shared" si="61"/>
        <v/>
      </c>
      <c r="L1939" s="21" t="str">
        <f>IF(J1939&lt;&gt;"",VLOOKUP(J1939,HeadCount!A:I,5,0),"")</f>
        <v/>
      </c>
      <c r="P1939" s="19" t="str">
        <f t="shared" si="62"/>
        <v/>
      </c>
    </row>
    <row r="1940" spans="1:16" x14ac:dyDescent="0.3">
      <c r="A1940" s="19" t="str">
        <f t="shared" si="61"/>
        <v/>
      </c>
      <c r="L1940" s="21" t="str">
        <f>IF(J1940&lt;&gt;"",VLOOKUP(J1940,HeadCount!A:I,5,0),"")</f>
        <v/>
      </c>
      <c r="P1940" s="19" t="str">
        <f t="shared" si="62"/>
        <v/>
      </c>
    </row>
    <row r="1941" spans="1:16" x14ac:dyDescent="0.3">
      <c r="A1941" s="19" t="str">
        <f t="shared" si="61"/>
        <v/>
      </c>
      <c r="L1941" s="21" t="str">
        <f>IF(J1941&lt;&gt;"",VLOOKUP(J1941,HeadCount!A:I,5,0),"")</f>
        <v/>
      </c>
      <c r="P1941" s="19" t="str">
        <f t="shared" si="62"/>
        <v/>
      </c>
    </row>
    <row r="1942" spans="1:16" x14ac:dyDescent="0.3">
      <c r="A1942" s="19" t="str">
        <f t="shared" si="61"/>
        <v/>
      </c>
      <c r="L1942" s="21" t="str">
        <f>IF(J1942&lt;&gt;"",VLOOKUP(J1942,HeadCount!A:I,5,0),"")</f>
        <v/>
      </c>
      <c r="P1942" s="19" t="str">
        <f t="shared" si="62"/>
        <v/>
      </c>
    </row>
    <row r="1943" spans="1:16" x14ac:dyDescent="0.3">
      <c r="A1943" s="19" t="str">
        <f t="shared" si="61"/>
        <v/>
      </c>
      <c r="L1943" s="21" t="str">
        <f>IF(J1943&lt;&gt;"",VLOOKUP(J1943,HeadCount!A:I,5,0),"")</f>
        <v/>
      </c>
      <c r="P1943" s="19" t="str">
        <f t="shared" si="62"/>
        <v/>
      </c>
    </row>
    <row r="1944" spans="1:16" x14ac:dyDescent="0.3">
      <c r="A1944" s="19" t="str">
        <f t="shared" si="61"/>
        <v/>
      </c>
      <c r="L1944" s="21" t="str">
        <f>IF(J1944&lt;&gt;"",VLOOKUP(J1944,HeadCount!A:I,5,0),"")</f>
        <v/>
      </c>
      <c r="P1944" s="19" t="str">
        <f t="shared" si="62"/>
        <v/>
      </c>
    </row>
    <row r="1945" spans="1:16" x14ac:dyDescent="0.3">
      <c r="A1945" s="19" t="str">
        <f t="shared" si="61"/>
        <v/>
      </c>
      <c r="L1945" s="21" t="str">
        <f>IF(J1945&lt;&gt;"",VLOOKUP(J1945,HeadCount!A:I,5,0),"")</f>
        <v/>
      </c>
      <c r="P1945" s="19" t="str">
        <f t="shared" si="62"/>
        <v/>
      </c>
    </row>
    <row r="1946" spans="1:16" x14ac:dyDescent="0.3">
      <c r="A1946" s="19" t="str">
        <f t="shared" si="61"/>
        <v/>
      </c>
      <c r="L1946" s="21" t="str">
        <f>IF(J1946&lt;&gt;"",VLOOKUP(J1946,HeadCount!A:I,5,0),"")</f>
        <v/>
      </c>
      <c r="P1946" s="19" t="str">
        <f t="shared" si="62"/>
        <v/>
      </c>
    </row>
    <row r="1947" spans="1:16" x14ac:dyDescent="0.3">
      <c r="A1947" s="19" t="str">
        <f t="shared" si="61"/>
        <v/>
      </c>
      <c r="L1947" s="21" t="str">
        <f>IF(J1947&lt;&gt;"",VLOOKUP(J1947,HeadCount!A:I,5,0),"")</f>
        <v/>
      </c>
      <c r="P1947" s="19" t="str">
        <f t="shared" si="62"/>
        <v/>
      </c>
    </row>
    <row r="1948" spans="1:16" x14ac:dyDescent="0.3">
      <c r="A1948" s="19" t="str">
        <f t="shared" si="61"/>
        <v/>
      </c>
      <c r="L1948" s="21" t="str">
        <f>IF(J1948&lt;&gt;"",VLOOKUP(J1948,HeadCount!A:I,5,0),"")</f>
        <v/>
      </c>
      <c r="P1948" s="19" t="str">
        <f t="shared" si="62"/>
        <v/>
      </c>
    </row>
    <row r="1949" spans="1:16" x14ac:dyDescent="0.3">
      <c r="A1949" s="19" t="str">
        <f t="shared" si="61"/>
        <v/>
      </c>
      <c r="L1949" s="21" t="str">
        <f>IF(J1949&lt;&gt;"",VLOOKUP(J1949,HeadCount!A:I,5,0),"")</f>
        <v/>
      </c>
      <c r="P1949" s="19" t="str">
        <f t="shared" si="62"/>
        <v/>
      </c>
    </row>
    <row r="1950" spans="1:16" x14ac:dyDescent="0.3">
      <c r="A1950" s="19" t="str">
        <f t="shared" si="61"/>
        <v/>
      </c>
      <c r="L1950" s="21" t="str">
        <f>IF(J1950&lt;&gt;"",VLOOKUP(J1950,HeadCount!A:I,5,0),"")</f>
        <v/>
      </c>
      <c r="P1950" s="19" t="str">
        <f t="shared" si="62"/>
        <v/>
      </c>
    </row>
    <row r="1951" spans="1:16" x14ac:dyDescent="0.3">
      <c r="A1951" s="19" t="str">
        <f t="shared" si="61"/>
        <v/>
      </c>
      <c r="L1951" s="21" t="str">
        <f>IF(J1951&lt;&gt;"",VLOOKUP(J1951,HeadCount!A:I,5,0),"")</f>
        <v/>
      </c>
      <c r="P1951" s="19" t="str">
        <f t="shared" si="62"/>
        <v/>
      </c>
    </row>
    <row r="1952" spans="1:16" x14ac:dyDescent="0.3">
      <c r="A1952" s="19" t="str">
        <f t="shared" si="61"/>
        <v/>
      </c>
      <c r="L1952" s="21" t="str">
        <f>IF(J1952&lt;&gt;"",VLOOKUP(J1952,HeadCount!A:I,5,0),"")</f>
        <v/>
      </c>
      <c r="P1952" s="19" t="str">
        <f t="shared" si="62"/>
        <v/>
      </c>
    </row>
    <row r="1953" spans="1:16" x14ac:dyDescent="0.3">
      <c r="A1953" s="19" t="str">
        <f t="shared" si="61"/>
        <v/>
      </c>
      <c r="L1953" s="21" t="str">
        <f>IF(J1953&lt;&gt;"",VLOOKUP(J1953,HeadCount!A:I,5,0),"")</f>
        <v/>
      </c>
      <c r="P1953" s="19" t="str">
        <f t="shared" si="62"/>
        <v/>
      </c>
    </row>
    <row r="1954" spans="1:16" x14ac:dyDescent="0.3">
      <c r="A1954" s="19" t="str">
        <f t="shared" si="61"/>
        <v/>
      </c>
      <c r="L1954" s="21" t="str">
        <f>IF(J1954&lt;&gt;"",VLOOKUP(J1954,HeadCount!A:I,5,0),"")</f>
        <v/>
      </c>
      <c r="P1954" s="19" t="str">
        <f t="shared" si="62"/>
        <v/>
      </c>
    </row>
    <row r="1955" spans="1:16" x14ac:dyDescent="0.3">
      <c r="A1955" s="19" t="str">
        <f t="shared" si="61"/>
        <v/>
      </c>
      <c r="L1955" s="21" t="str">
        <f>IF(J1955&lt;&gt;"",VLOOKUP(J1955,HeadCount!A:I,5,0),"")</f>
        <v/>
      </c>
      <c r="P1955" s="19" t="str">
        <f t="shared" si="62"/>
        <v/>
      </c>
    </row>
    <row r="1956" spans="1:16" x14ac:dyDescent="0.3">
      <c r="A1956" s="19" t="str">
        <f t="shared" si="61"/>
        <v/>
      </c>
      <c r="L1956" s="21" t="str">
        <f>IF(J1956&lt;&gt;"",VLOOKUP(J1956,HeadCount!A:I,5,0),"")</f>
        <v/>
      </c>
      <c r="P1956" s="19" t="str">
        <f t="shared" si="62"/>
        <v/>
      </c>
    </row>
    <row r="1957" spans="1:16" x14ac:dyDescent="0.3">
      <c r="A1957" s="19" t="str">
        <f t="shared" si="61"/>
        <v/>
      </c>
      <c r="L1957" s="21" t="str">
        <f>IF(J1957&lt;&gt;"",VLOOKUP(J1957,HeadCount!A:I,5,0),"")</f>
        <v/>
      </c>
      <c r="P1957" s="19" t="str">
        <f t="shared" si="62"/>
        <v/>
      </c>
    </row>
    <row r="1958" spans="1:16" x14ac:dyDescent="0.3">
      <c r="A1958" s="19" t="str">
        <f t="shared" si="61"/>
        <v/>
      </c>
      <c r="L1958" s="21" t="str">
        <f>IF(J1958&lt;&gt;"",VLOOKUP(J1958,HeadCount!A:I,5,0),"")</f>
        <v/>
      </c>
      <c r="P1958" s="19" t="str">
        <f t="shared" si="62"/>
        <v/>
      </c>
    </row>
    <row r="1959" spans="1:16" x14ac:dyDescent="0.3">
      <c r="A1959" s="19" t="str">
        <f t="shared" si="61"/>
        <v/>
      </c>
      <c r="L1959" s="21" t="str">
        <f>IF(J1959&lt;&gt;"",VLOOKUP(J1959,HeadCount!A:I,5,0),"")</f>
        <v/>
      </c>
      <c r="P1959" s="19" t="str">
        <f t="shared" si="62"/>
        <v/>
      </c>
    </row>
    <row r="1960" spans="1:16" x14ac:dyDescent="0.3">
      <c r="A1960" s="19" t="str">
        <f t="shared" si="61"/>
        <v/>
      </c>
      <c r="L1960" s="21" t="str">
        <f>IF(J1960&lt;&gt;"",VLOOKUP(J1960,HeadCount!A:I,5,0),"")</f>
        <v/>
      </c>
      <c r="P1960" s="19" t="str">
        <f t="shared" si="62"/>
        <v/>
      </c>
    </row>
    <row r="1961" spans="1:16" x14ac:dyDescent="0.3">
      <c r="A1961" s="19" t="str">
        <f t="shared" si="61"/>
        <v/>
      </c>
      <c r="L1961" s="21" t="str">
        <f>IF(J1961&lt;&gt;"",VLOOKUP(J1961,HeadCount!A:I,5,0),"")</f>
        <v/>
      </c>
      <c r="P1961" s="19" t="str">
        <f t="shared" si="62"/>
        <v/>
      </c>
    </row>
    <row r="1962" spans="1:16" x14ac:dyDescent="0.3">
      <c r="A1962" s="19" t="str">
        <f t="shared" si="61"/>
        <v/>
      </c>
      <c r="L1962" s="21" t="str">
        <f>IF(J1962&lt;&gt;"",VLOOKUP(J1962,HeadCount!A:I,5,0),"")</f>
        <v/>
      </c>
      <c r="P1962" s="19" t="str">
        <f t="shared" si="62"/>
        <v/>
      </c>
    </row>
    <row r="1963" spans="1:16" x14ac:dyDescent="0.3">
      <c r="A1963" s="19" t="str">
        <f t="shared" si="61"/>
        <v/>
      </c>
      <c r="L1963" s="21" t="str">
        <f>IF(J1963&lt;&gt;"",VLOOKUP(J1963,HeadCount!A:I,5,0),"")</f>
        <v/>
      </c>
      <c r="P1963" s="19" t="str">
        <f t="shared" si="62"/>
        <v/>
      </c>
    </row>
    <row r="1964" spans="1:16" x14ac:dyDescent="0.3">
      <c r="A1964" s="19" t="str">
        <f t="shared" si="61"/>
        <v/>
      </c>
      <c r="L1964" s="21" t="str">
        <f>IF(J1964&lt;&gt;"",VLOOKUP(J1964,HeadCount!A:I,5,0),"")</f>
        <v/>
      </c>
      <c r="P1964" s="19" t="str">
        <f t="shared" si="62"/>
        <v/>
      </c>
    </row>
    <row r="1965" spans="1:16" x14ac:dyDescent="0.3">
      <c r="A1965" s="19" t="str">
        <f t="shared" si="61"/>
        <v/>
      </c>
      <c r="L1965" s="21" t="str">
        <f>IF(J1965&lt;&gt;"",VLOOKUP(J1965,HeadCount!A:I,5,0),"")</f>
        <v/>
      </c>
      <c r="P1965" s="19" t="str">
        <f t="shared" si="62"/>
        <v/>
      </c>
    </row>
    <row r="1966" spans="1:16" x14ac:dyDescent="0.3">
      <c r="A1966" s="19" t="str">
        <f t="shared" si="61"/>
        <v/>
      </c>
      <c r="L1966" s="21" t="str">
        <f>IF(J1966&lt;&gt;"",VLOOKUP(J1966,HeadCount!A:I,5,0),"")</f>
        <v/>
      </c>
      <c r="P1966" s="19" t="str">
        <f t="shared" si="62"/>
        <v/>
      </c>
    </row>
    <row r="1967" spans="1:16" x14ac:dyDescent="0.3">
      <c r="A1967" s="19" t="str">
        <f t="shared" si="61"/>
        <v/>
      </c>
      <c r="L1967" s="21" t="str">
        <f>IF(J1967&lt;&gt;"",VLOOKUP(J1967,HeadCount!A:I,5,0),"")</f>
        <v/>
      </c>
      <c r="P1967" s="19" t="str">
        <f t="shared" si="62"/>
        <v/>
      </c>
    </row>
    <row r="1968" spans="1:16" x14ac:dyDescent="0.3">
      <c r="A1968" s="19" t="str">
        <f t="shared" si="61"/>
        <v/>
      </c>
      <c r="L1968" s="21" t="str">
        <f>IF(J1968&lt;&gt;"",VLOOKUP(J1968,HeadCount!A:I,5,0),"")</f>
        <v/>
      </c>
      <c r="P1968" s="19" t="str">
        <f t="shared" si="62"/>
        <v/>
      </c>
    </row>
    <row r="1969" spans="1:16" x14ac:dyDescent="0.3">
      <c r="A1969" s="19" t="str">
        <f t="shared" si="61"/>
        <v/>
      </c>
      <c r="L1969" s="21" t="str">
        <f>IF(J1969&lt;&gt;"",VLOOKUP(J1969,HeadCount!A:I,5,0),"")</f>
        <v/>
      </c>
      <c r="P1969" s="19" t="str">
        <f t="shared" si="62"/>
        <v/>
      </c>
    </row>
    <row r="1970" spans="1:16" x14ac:dyDescent="0.3">
      <c r="A1970" s="19" t="str">
        <f t="shared" si="61"/>
        <v/>
      </c>
      <c r="L1970" s="21" t="str">
        <f>IF(J1970&lt;&gt;"",VLOOKUP(J1970,HeadCount!A:I,5,0),"")</f>
        <v/>
      </c>
      <c r="P1970" s="19" t="str">
        <f t="shared" si="62"/>
        <v/>
      </c>
    </row>
    <row r="1971" spans="1:16" x14ac:dyDescent="0.3">
      <c r="A1971" s="19" t="str">
        <f t="shared" si="61"/>
        <v/>
      </c>
      <c r="L1971" s="21" t="str">
        <f>IF(J1971&lt;&gt;"",VLOOKUP(J1971,HeadCount!A:I,5,0),"")</f>
        <v/>
      </c>
      <c r="P1971" s="19" t="str">
        <f t="shared" si="62"/>
        <v/>
      </c>
    </row>
    <row r="1972" spans="1:16" x14ac:dyDescent="0.3">
      <c r="A1972" s="19" t="str">
        <f t="shared" si="61"/>
        <v/>
      </c>
      <c r="L1972" s="21" t="str">
        <f>IF(J1972&lt;&gt;"",VLOOKUP(J1972,HeadCount!A:I,5,0),"")</f>
        <v/>
      </c>
      <c r="P1972" s="19" t="str">
        <f t="shared" si="62"/>
        <v/>
      </c>
    </row>
    <row r="1973" spans="1:16" x14ac:dyDescent="0.3">
      <c r="A1973" s="19" t="str">
        <f t="shared" si="61"/>
        <v/>
      </c>
      <c r="L1973" s="21" t="str">
        <f>IF(J1973&lt;&gt;"",VLOOKUP(J1973,HeadCount!A:I,5,0),"")</f>
        <v/>
      </c>
      <c r="P1973" s="19" t="str">
        <f t="shared" si="62"/>
        <v/>
      </c>
    </row>
    <row r="1974" spans="1:16" x14ac:dyDescent="0.3">
      <c r="A1974" s="19" t="str">
        <f t="shared" si="61"/>
        <v/>
      </c>
      <c r="L1974" s="21" t="str">
        <f>IF(J1974&lt;&gt;"",VLOOKUP(J1974,HeadCount!A:I,5,0),"")</f>
        <v/>
      </c>
      <c r="P1974" s="19" t="str">
        <f t="shared" si="62"/>
        <v/>
      </c>
    </row>
    <row r="1975" spans="1:16" x14ac:dyDescent="0.3">
      <c r="A1975" s="19" t="str">
        <f t="shared" si="61"/>
        <v/>
      </c>
      <c r="L1975" s="21" t="str">
        <f>IF(J1975&lt;&gt;"",VLOOKUP(J1975,HeadCount!A:I,5,0),"")</f>
        <v/>
      </c>
      <c r="P1975" s="19" t="str">
        <f t="shared" si="62"/>
        <v/>
      </c>
    </row>
    <row r="1976" spans="1:16" x14ac:dyDescent="0.3">
      <c r="A1976" s="19" t="str">
        <f t="shared" si="61"/>
        <v/>
      </c>
      <c r="L1976" s="21" t="str">
        <f>IF(J1976&lt;&gt;"",VLOOKUP(J1976,HeadCount!A:I,5,0),"")</f>
        <v/>
      </c>
      <c r="P1976" s="19" t="str">
        <f t="shared" si="62"/>
        <v/>
      </c>
    </row>
    <row r="1977" spans="1:16" x14ac:dyDescent="0.3">
      <c r="A1977" s="19" t="str">
        <f t="shared" si="61"/>
        <v/>
      </c>
      <c r="L1977" s="21" t="str">
        <f>IF(J1977&lt;&gt;"",VLOOKUP(J1977,HeadCount!A:I,5,0),"")</f>
        <v/>
      </c>
      <c r="P1977" s="19" t="str">
        <f t="shared" si="62"/>
        <v/>
      </c>
    </row>
    <row r="1978" spans="1:16" x14ac:dyDescent="0.3">
      <c r="A1978" s="19" t="str">
        <f t="shared" si="61"/>
        <v/>
      </c>
      <c r="L1978" s="21" t="str">
        <f>IF(J1978&lt;&gt;"",VLOOKUP(J1978,HeadCount!A:I,5,0),"")</f>
        <v/>
      </c>
      <c r="P1978" s="19" t="str">
        <f t="shared" si="62"/>
        <v/>
      </c>
    </row>
    <row r="1979" spans="1:16" x14ac:dyDescent="0.3">
      <c r="A1979" s="19" t="str">
        <f t="shared" si="61"/>
        <v/>
      </c>
      <c r="L1979" s="21" t="str">
        <f>IF(J1979&lt;&gt;"",VLOOKUP(J1979,HeadCount!A:I,5,0),"")</f>
        <v/>
      </c>
      <c r="P1979" s="19" t="str">
        <f t="shared" si="62"/>
        <v/>
      </c>
    </row>
    <row r="1980" spans="1:16" x14ac:dyDescent="0.3">
      <c r="A1980" s="19" t="str">
        <f t="shared" si="61"/>
        <v/>
      </c>
      <c r="L1980" s="21" t="str">
        <f>IF(J1980&lt;&gt;"",VLOOKUP(J1980,HeadCount!A:I,5,0),"")</f>
        <v/>
      </c>
      <c r="P1980" s="19" t="str">
        <f t="shared" si="62"/>
        <v/>
      </c>
    </row>
    <row r="1981" spans="1:16" x14ac:dyDescent="0.3">
      <c r="A1981" s="19" t="str">
        <f t="shared" si="61"/>
        <v/>
      </c>
      <c r="L1981" s="21" t="str">
        <f>IF(J1981&lt;&gt;"",VLOOKUP(J1981,HeadCount!A:I,5,0),"")</f>
        <v/>
      </c>
      <c r="P1981" s="19" t="str">
        <f t="shared" si="62"/>
        <v/>
      </c>
    </row>
    <row r="1982" spans="1:16" x14ac:dyDescent="0.3">
      <c r="A1982" s="19" t="str">
        <f t="shared" si="61"/>
        <v/>
      </c>
      <c r="L1982" s="21" t="str">
        <f>IF(J1982&lt;&gt;"",VLOOKUP(J1982,HeadCount!A:I,5,0),"")</f>
        <v/>
      </c>
      <c r="P1982" s="19" t="str">
        <f t="shared" si="62"/>
        <v/>
      </c>
    </row>
    <row r="1983" spans="1:16" x14ac:dyDescent="0.3">
      <c r="A1983" s="19" t="str">
        <f t="shared" si="61"/>
        <v/>
      </c>
      <c r="L1983" s="21" t="str">
        <f>IF(J1983&lt;&gt;"",VLOOKUP(J1983,HeadCount!A:I,5,0),"")</f>
        <v/>
      </c>
      <c r="P1983" s="19" t="str">
        <f t="shared" si="62"/>
        <v/>
      </c>
    </row>
    <row r="1984" spans="1:16" x14ac:dyDescent="0.3">
      <c r="A1984" s="19" t="str">
        <f t="shared" si="61"/>
        <v/>
      </c>
      <c r="L1984" s="21" t="str">
        <f>IF(J1984&lt;&gt;"",VLOOKUP(J1984,HeadCount!A:I,5,0),"")</f>
        <v/>
      </c>
      <c r="P1984" s="19" t="str">
        <f t="shared" si="62"/>
        <v/>
      </c>
    </row>
    <row r="1985" spans="1:16" x14ac:dyDescent="0.3">
      <c r="A1985" s="19" t="str">
        <f t="shared" si="61"/>
        <v/>
      </c>
      <c r="L1985" s="21" t="str">
        <f>IF(J1985&lt;&gt;"",VLOOKUP(J1985,HeadCount!A:I,5,0),"")</f>
        <v/>
      </c>
      <c r="P1985" s="19" t="str">
        <f t="shared" si="62"/>
        <v/>
      </c>
    </row>
    <row r="1986" spans="1:16" x14ac:dyDescent="0.3">
      <c r="A1986" s="19" t="str">
        <f t="shared" ref="A1986:A2049" si="63">IF(C1986&lt;&gt;"",ROW(A1985),"")</f>
        <v/>
      </c>
      <c r="L1986" s="21" t="str">
        <f>IF(J1986&lt;&gt;"",VLOOKUP(J1986,HeadCount!A:I,5,0),"")</f>
        <v/>
      </c>
      <c r="P1986" s="19" t="str">
        <f t="shared" si="62"/>
        <v/>
      </c>
    </row>
    <row r="1987" spans="1:16" x14ac:dyDescent="0.3">
      <c r="A1987" s="19" t="str">
        <f t="shared" si="63"/>
        <v/>
      </c>
      <c r="L1987" s="21" t="str">
        <f>IF(J1987&lt;&gt;"",VLOOKUP(J1987,HeadCount!A:I,5,0),"")</f>
        <v/>
      </c>
      <c r="P1987" s="19" t="str">
        <f t="shared" ref="P1987:P2050" si="64">IF(N1987="","",(O1987-N1987)+1)</f>
        <v/>
      </c>
    </row>
    <row r="1988" spans="1:16" x14ac:dyDescent="0.3">
      <c r="A1988" s="19" t="str">
        <f t="shared" si="63"/>
        <v/>
      </c>
      <c r="L1988" s="21" t="str">
        <f>IF(J1988&lt;&gt;"",VLOOKUP(J1988,HeadCount!A:I,5,0),"")</f>
        <v/>
      </c>
      <c r="P1988" s="19" t="str">
        <f t="shared" si="64"/>
        <v/>
      </c>
    </row>
    <row r="1989" spans="1:16" x14ac:dyDescent="0.3">
      <c r="A1989" s="19" t="str">
        <f t="shared" si="63"/>
        <v/>
      </c>
      <c r="L1989" s="21" t="str">
        <f>IF(J1989&lt;&gt;"",VLOOKUP(J1989,HeadCount!A:I,5,0),"")</f>
        <v/>
      </c>
      <c r="P1989" s="19" t="str">
        <f t="shared" si="64"/>
        <v/>
      </c>
    </row>
    <row r="1990" spans="1:16" x14ac:dyDescent="0.3">
      <c r="A1990" s="19" t="str">
        <f t="shared" si="63"/>
        <v/>
      </c>
      <c r="L1990" s="21" t="str">
        <f>IF(J1990&lt;&gt;"",VLOOKUP(J1990,HeadCount!A:I,5,0),"")</f>
        <v/>
      </c>
      <c r="P1990" s="19" t="str">
        <f t="shared" si="64"/>
        <v/>
      </c>
    </row>
    <row r="1991" spans="1:16" x14ac:dyDescent="0.3">
      <c r="A1991" s="19" t="str">
        <f t="shared" si="63"/>
        <v/>
      </c>
      <c r="L1991" s="21" t="str">
        <f>IF(J1991&lt;&gt;"",VLOOKUP(J1991,HeadCount!A:I,5,0),"")</f>
        <v/>
      </c>
      <c r="P1991" s="19" t="str">
        <f t="shared" si="64"/>
        <v/>
      </c>
    </row>
    <row r="1992" spans="1:16" x14ac:dyDescent="0.3">
      <c r="A1992" s="19" t="str">
        <f t="shared" si="63"/>
        <v/>
      </c>
      <c r="L1992" s="21" t="str">
        <f>IF(J1992&lt;&gt;"",VLOOKUP(J1992,HeadCount!A:I,5,0),"")</f>
        <v/>
      </c>
      <c r="P1992" s="19" t="str">
        <f t="shared" si="64"/>
        <v/>
      </c>
    </row>
    <row r="1993" spans="1:16" x14ac:dyDescent="0.3">
      <c r="A1993" s="19" t="str">
        <f t="shared" si="63"/>
        <v/>
      </c>
      <c r="L1993" s="21" t="str">
        <f>IF(J1993&lt;&gt;"",VLOOKUP(J1993,HeadCount!A:I,5,0),"")</f>
        <v/>
      </c>
      <c r="P1993" s="19" t="str">
        <f t="shared" si="64"/>
        <v/>
      </c>
    </row>
    <row r="1994" spans="1:16" x14ac:dyDescent="0.3">
      <c r="A1994" s="19" t="str">
        <f t="shared" si="63"/>
        <v/>
      </c>
      <c r="L1994" s="21" t="str">
        <f>IF(J1994&lt;&gt;"",VLOOKUP(J1994,HeadCount!A:I,5,0),"")</f>
        <v/>
      </c>
      <c r="P1994" s="19" t="str">
        <f t="shared" si="64"/>
        <v/>
      </c>
    </row>
    <row r="1995" spans="1:16" x14ac:dyDescent="0.3">
      <c r="A1995" s="19" t="str">
        <f t="shared" si="63"/>
        <v/>
      </c>
      <c r="L1995" s="21" t="str">
        <f>IF(J1995&lt;&gt;"",VLOOKUP(J1995,HeadCount!A:I,5,0),"")</f>
        <v/>
      </c>
      <c r="P1995" s="19" t="str">
        <f t="shared" si="64"/>
        <v/>
      </c>
    </row>
    <row r="1996" spans="1:16" x14ac:dyDescent="0.3">
      <c r="A1996" s="19" t="str">
        <f t="shared" si="63"/>
        <v/>
      </c>
      <c r="L1996" s="21" t="str">
        <f>IF(J1996&lt;&gt;"",VLOOKUP(J1996,HeadCount!A:I,5,0),"")</f>
        <v/>
      </c>
      <c r="P1996" s="19" t="str">
        <f t="shared" si="64"/>
        <v/>
      </c>
    </row>
    <row r="1997" spans="1:16" x14ac:dyDescent="0.3">
      <c r="A1997" s="19" t="str">
        <f t="shared" si="63"/>
        <v/>
      </c>
      <c r="L1997" s="21" t="str">
        <f>IF(J1997&lt;&gt;"",VLOOKUP(J1997,HeadCount!A:I,5,0),"")</f>
        <v/>
      </c>
      <c r="P1997" s="19" t="str">
        <f t="shared" si="64"/>
        <v/>
      </c>
    </row>
    <row r="1998" spans="1:16" x14ac:dyDescent="0.3">
      <c r="A1998" s="19" t="str">
        <f t="shared" si="63"/>
        <v/>
      </c>
      <c r="L1998" s="21" t="str">
        <f>IF(J1998&lt;&gt;"",VLOOKUP(J1998,HeadCount!A:I,5,0),"")</f>
        <v/>
      </c>
      <c r="P1998" s="19" t="str">
        <f t="shared" si="64"/>
        <v/>
      </c>
    </row>
    <row r="1999" spans="1:16" x14ac:dyDescent="0.3">
      <c r="A1999" s="19" t="str">
        <f t="shared" si="63"/>
        <v/>
      </c>
      <c r="L1999" s="21" t="str">
        <f>IF(J1999&lt;&gt;"",VLOOKUP(J1999,HeadCount!A:I,5,0),"")</f>
        <v/>
      </c>
      <c r="P1999" s="19" t="str">
        <f t="shared" si="64"/>
        <v/>
      </c>
    </row>
    <row r="2000" spans="1:16" x14ac:dyDescent="0.3">
      <c r="A2000" s="19" t="str">
        <f t="shared" si="63"/>
        <v/>
      </c>
      <c r="L2000" s="21" t="str">
        <f>IF(J2000&lt;&gt;"",VLOOKUP(J2000,HeadCount!A:I,5,0),"")</f>
        <v/>
      </c>
      <c r="P2000" s="19" t="str">
        <f t="shared" si="64"/>
        <v/>
      </c>
    </row>
    <row r="2001" spans="1:16" x14ac:dyDescent="0.3">
      <c r="A2001" s="19" t="str">
        <f t="shared" si="63"/>
        <v/>
      </c>
      <c r="L2001" s="21" t="str">
        <f>IF(J2001&lt;&gt;"",VLOOKUP(J2001,HeadCount!A:I,5,0),"")</f>
        <v/>
      </c>
      <c r="P2001" s="19" t="str">
        <f t="shared" si="64"/>
        <v/>
      </c>
    </row>
    <row r="2002" spans="1:16" x14ac:dyDescent="0.3">
      <c r="A2002" s="19" t="str">
        <f t="shared" si="63"/>
        <v/>
      </c>
      <c r="L2002" s="21" t="str">
        <f>IF(J2002&lt;&gt;"",VLOOKUP(J2002,HeadCount!A:I,5,0),"")</f>
        <v/>
      </c>
      <c r="P2002" s="19" t="str">
        <f t="shared" si="64"/>
        <v/>
      </c>
    </row>
    <row r="2003" spans="1:16" x14ac:dyDescent="0.3">
      <c r="A2003" s="19" t="str">
        <f t="shared" si="63"/>
        <v/>
      </c>
      <c r="L2003" s="21" t="str">
        <f>IF(J2003&lt;&gt;"",VLOOKUP(J2003,HeadCount!A:I,5,0),"")</f>
        <v/>
      </c>
      <c r="P2003" s="19" t="str">
        <f t="shared" si="64"/>
        <v/>
      </c>
    </row>
    <row r="2004" spans="1:16" x14ac:dyDescent="0.3">
      <c r="A2004" s="19" t="str">
        <f t="shared" si="63"/>
        <v/>
      </c>
      <c r="L2004" s="21" t="str">
        <f>IF(J2004&lt;&gt;"",VLOOKUP(J2004,HeadCount!A:I,5,0),"")</f>
        <v/>
      </c>
      <c r="P2004" s="19" t="str">
        <f t="shared" si="64"/>
        <v/>
      </c>
    </row>
    <row r="2005" spans="1:16" x14ac:dyDescent="0.3">
      <c r="A2005" s="19" t="str">
        <f t="shared" si="63"/>
        <v/>
      </c>
      <c r="L2005" s="21" t="str">
        <f>IF(J2005&lt;&gt;"",VLOOKUP(J2005,HeadCount!A:I,5,0),"")</f>
        <v/>
      </c>
      <c r="P2005" s="19" t="str">
        <f t="shared" si="64"/>
        <v/>
      </c>
    </row>
    <row r="2006" spans="1:16" x14ac:dyDescent="0.3">
      <c r="A2006" s="19" t="str">
        <f t="shared" si="63"/>
        <v/>
      </c>
      <c r="L2006" s="21" t="str">
        <f>IF(J2006&lt;&gt;"",VLOOKUP(J2006,HeadCount!A:I,5,0),"")</f>
        <v/>
      </c>
      <c r="P2006" s="19" t="str">
        <f t="shared" si="64"/>
        <v/>
      </c>
    </row>
    <row r="2007" spans="1:16" x14ac:dyDescent="0.3">
      <c r="A2007" s="19" t="str">
        <f t="shared" si="63"/>
        <v/>
      </c>
      <c r="L2007" s="21" t="str">
        <f>IF(J2007&lt;&gt;"",VLOOKUP(J2007,HeadCount!A:I,5,0),"")</f>
        <v/>
      </c>
      <c r="P2007" s="19" t="str">
        <f t="shared" si="64"/>
        <v/>
      </c>
    </row>
    <row r="2008" spans="1:16" x14ac:dyDescent="0.3">
      <c r="A2008" s="19" t="str">
        <f t="shared" si="63"/>
        <v/>
      </c>
      <c r="L2008" s="21" t="str">
        <f>IF(J2008&lt;&gt;"",VLOOKUP(J2008,HeadCount!A:I,5,0),"")</f>
        <v/>
      </c>
      <c r="P2008" s="19" t="str">
        <f t="shared" si="64"/>
        <v/>
      </c>
    </row>
    <row r="2009" spans="1:16" x14ac:dyDescent="0.3">
      <c r="A2009" s="19" t="str">
        <f t="shared" si="63"/>
        <v/>
      </c>
      <c r="L2009" s="21" t="str">
        <f>IF(J2009&lt;&gt;"",VLOOKUP(J2009,HeadCount!A:I,5,0),"")</f>
        <v/>
      </c>
      <c r="P2009" s="19" t="str">
        <f t="shared" si="64"/>
        <v/>
      </c>
    </row>
    <row r="2010" spans="1:16" x14ac:dyDescent="0.3">
      <c r="A2010" s="19" t="str">
        <f t="shared" si="63"/>
        <v/>
      </c>
      <c r="L2010" s="21" t="str">
        <f>IF(J2010&lt;&gt;"",VLOOKUP(J2010,HeadCount!A:I,5,0),"")</f>
        <v/>
      </c>
      <c r="P2010" s="19" t="str">
        <f t="shared" si="64"/>
        <v/>
      </c>
    </row>
    <row r="2011" spans="1:16" x14ac:dyDescent="0.3">
      <c r="A2011" s="19" t="str">
        <f t="shared" si="63"/>
        <v/>
      </c>
      <c r="L2011" s="21" t="str">
        <f>IF(J2011&lt;&gt;"",VLOOKUP(J2011,HeadCount!A:I,5,0),"")</f>
        <v/>
      </c>
      <c r="P2011" s="19" t="str">
        <f t="shared" si="64"/>
        <v/>
      </c>
    </row>
    <row r="2012" spans="1:16" x14ac:dyDescent="0.3">
      <c r="A2012" s="19" t="str">
        <f t="shared" si="63"/>
        <v/>
      </c>
      <c r="L2012" s="21" t="str">
        <f>IF(J2012&lt;&gt;"",VLOOKUP(J2012,HeadCount!A:I,5,0),"")</f>
        <v/>
      </c>
      <c r="P2012" s="19" t="str">
        <f t="shared" si="64"/>
        <v/>
      </c>
    </row>
    <row r="2013" spans="1:16" x14ac:dyDescent="0.3">
      <c r="A2013" s="19" t="str">
        <f t="shared" si="63"/>
        <v/>
      </c>
      <c r="L2013" s="21" t="str">
        <f>IF(J2013&lt;&gt;"",VLOOKUP(J2013,HeadCount!A:I,5,0),"")</f>
        <v/>
      </c>
      <c r="P2013" s="19" t="str">
        <f t="shared" si="64"/>
        <v/>
      </c>
    </row>
    <row r="2014" spans="1:16" x14ac:dyDescent="0.3">
      <c r="A2014" s="19" t="str">
        <f t="shared" si="63"/>
        <v/>
      </c>
      <c r="L2014" s="21" t="str">
        <f>IF(J2014&lt;&gt;"",VLOOKUP(J2014,HeadCount!A:I,5,0),"")</f>
        <v/>
      </c>
      <c r="P2014" s="19" t="str">
        <f t="shared" si="64"/>
        <v/>
      </c>
    </row>
    <row r="2015" spans="1:16" x14ac:dyDescent="0.3">
      <c r="A2015" s="19" t="str">
        <f t="shared" si="63"/>
        <v/>
      </c>
      <c r="L2015" s="21" t="str">
        <f>IF(J2015&lt;&gt;"",VLOOKUP(J2015,HeadCount!A:I,5,0),"")</f>
        <v/>
      </c>
      <c r="P2015" s="19" t="str">
        <f t="shared" si="64"/>
        <v/>
      </c>
    </row>
    <row r="2016" spans="1:16" x14ac:dyDescent="0.3">
      <c r="A2016" s="19" t="str">
        <f t="shared" si="63"/>
        <v/>
      </c>
      <c r="L2016" s="21" t="str">
        <f>IF(J2016&lt;&gt;"",VLOOKUP(J2016,HeadCount!A:I,5,0),"")</f>
        <v/>
      </c>
      <c r="P2016" s="19" t="str">
        <f t="shared" si="64"/>
        <v/>
      </c>
    </row>
    <row r="2017" spans="1:16" x14ac:dyDescent="0.3">
      <c r="A2017" s="19" t="str">
        <f t="shared" si="63"/>
        <v/>
      </c>
      <c r="L2017" s="21" t="str">
        <f>IF(J2017&lt;&gt;"",VLOOKUP(J2017,HeadCount!A:I,5,0),"")</f>
        <v/>
      </c>
      <c r="P2017" s="19" t="str">
        <f t="shared" si="64"/>
        <v/>
      </c>
    </row>
    <row r="2018" spans="1:16" x14ac:dyDescent="0.3">
      <c r="A2018" s="19" t="str">
        <f t="shared" si="63"/>
        <v/>
      </c>
      <c r="L2018" s="21" t="str">
        <f>IF(J2018&lt;&gt;"",VLOOKUP(J2018,HeadCount!A:I,5,0),"")</f>
        <v/>
      </c>
      <c r="P2018" s="19" t="str">
        <f t="shared" si="64"/>
        <v/>
      </c>
    </row>
    <row r="2019" spans="1:16" x14ac:dyDescent="0.3">
      <c r="A2019" s="19" t="str">
        <f t="shared" si="63"/>
        <v/>
      </c>
      <c r="L2019" s="21" t="str">
        <f>IF(J2019&lt;&gt;"",VLOOKUP(J2019,HeadCount!A:I,5,0),"")</f>
        <v/>
      </c>
      <c r="P2019" s="19" t="str">
        <f t="shared" si="64"/>
        <v/>
      </c>
    </row>
    <row r="2020" spans="1:16" x14ac:dyDescent="0.3">
      <c r="A2020" s="19" t="str">
        <f t="shared" si="63"/>
        <v/>
      </c>
      <c r="L2020" s="21" t="str">
        <f>IF(J2020&lt;&gt;"",VLOOKUP(J2020,HeadCount!A:I,5,0),"")</f>
        <v/>
      </c>
      <c r="P2020" s="19" t="str">
        <f t="shared" si="64"/>
        <v/>
      </c>
    </row>
    <row r="2021" spans="1:16" x14ac:dyDescent="0.3">
      <c r="A2021" s="19" t="str">
        <f t="shared" si="63"/>
        <v/>
      </c>
      <c r="L2021" s="21" t="str">
        <f>IF(J2021&lt;&gt;"",VLOOKUP(J2021,HeadCount!A:I,5,0),"")</f>
        <v/>
      </c>
      <c r="P2021" s="19" t="str">
        <f t="shared" si="64"/>
        <v/>
      </c>
    </row>
    <row r="2022" spans="1:16" x14ac:dyDescent="0.3">
      <c r="A2022" s="19" t="str">
        <f t="shared" si="63"/>
        <v/>
      </c>
      <c r="L2022" s="21" t="str">
        <f>IF(J2022&lt;&gt;"",VLOOKUP(J2022,HeadCount!A:I,5,0),"")</f>
        <v/>
      </c>
      <c r="P2022" s="19" t="str">
        <f t="shared" si="64"/>
        <v/>
      </c>
    </row>
    <row r="2023" spans="1:16" x14ac:dyDescent="0.3">
      <c r="A2023" s="19" t="str">
        <f t="shared" si="63"/>
        <v/>
      </c>
      <c r="L2023" s="21" t="str">
        <f>IF(J2023&lt;&gt;"",VLOOKUP(J2023,HeadCount!A:I,5,0),"")</f>
        <v/>
      </c>
      <c r="P2023" s="19" t="str">
        <f t="shared" si="64"/>
        <v/>
      </c>
    </row>
    <row r="2024" spans="1:16" x14ac:dyDescent="0.3">
      <c r="A2024" s="19" t="str">
        <f t="shared" si="63"/>
        <v/>
      </c>
      <c r="L2024" s="21" t="str">
        <f>IF(J2024&lt;&gt;"",VLOOKUP(J2024,HeadCount!A:I,5,0),"")</f>
        <v/>
      </c>
      <c r="P2024" s="19" t="str">
        <f t="shared" si="64"/>
        <v/>
      </c>
    </row>
    <row r="2025" spans="1:16" x14ac:dyDescent="0.3">
      <c r="A2025" s="19" t="str">
        <f t="shared" si="63"/>
        <v/>
      </c>
      <c r="L2025" s="21" t="str">
        <f>IF(J2025&lt;&gt;"",VLOOKUP(J2025,HeadCount!A:I,5,0),"")</f>
        <v/>
      </c>
      <c r="P2025" s="19" t="str">
        <f t="shared" si="64"/>
        <v/>
      </c>
    </row>
    <row r="2026" spans="1:16" x14ac:dyDescent="0.3">
      <c r="A2026" s="19" t="str">
        <f t="shared" si="63"/>
        <v/>
      </c>
      <c r="L2026" s="21" t="str">
        <f>IF(J2026&lt;&gt;"",VLOOKUP(J2026,HeadCount!A:I,5,0),"")</f>
        <v/>
      </c>
      <c r="P2026" s="19" t="str">
        <f t="shared" si="64"/>
        <v/>
      </c>
    </row>
    <row r="2027" spans="1:16" x14ac:dyDescent="0.3">
      <c r="A2027" s="19" t="str">
        <f t="shared" si="63"/>
        <v/>
      </c>
      <c r="L2027" s="21" t="str">
        <f>IF(J2027&lt;&gt;"",VLOOKUP(J2027,HeadCount!A:I,5,0),"")</f>
        <v/>
      </c>
      <c r="P2027" s="19" t="str">
        <f t="shared" si="64"/>
        <v/>
      </c>
    </row>
    <row r="2028" spans="1:16" x14ac:dyDescent="0.3">
      <c r="A2028" s="19" t="str">
        <f t="shared" si="63"/>
        <v/>
      </c>
      <c r="L2028" s="21" t="str">
        <f>IF(J2028&lt;&gt;"",VLOOKUP(J2028,HeadCount!A:I,5,0),"")</f>
        <v/>
      </c>
      <c r="P2028" s="19" t="str">
        <f t="shared" si="64"/>
        <v/>
      </c>
    </row>
    <row r="2029" spans="1:16" x14ac:dyDescent="0.3">
      <c r="A2029" s="19" t="str">
        <f t="shared" si="63"/>
        <v/>
      </c>
      <c r="L2029" s="21" t="str">
        <f>IF(J2029&lt;&gt;"",VLOOKUP(J2029,HeadCount!A:I,5,0),"")</f>
        <v/>
      </c>
      <c r="P2029" s="19" t="str">
        <f t="shared" si="64"/>
        <v/>
      </c>
    </row>
    <row r="2030" spans="1:16" x14ac:dyDescent="0.3">
      <c r="A2030" s="19" t="str">
        <f t="shared" si="63"/>
        <v/>
      </c>
      <c r="L2030" s="21" t="str">
        <f>IF(J2030&lt;&gt;"",VLOOKUP(J2030,HeadCount!A:I,5,0),"")</f>
        <v/>
      </c>
      <c r="P2030" s="19" t="str">
        <f t="shared" si="64"/>
        <v/>
      </c>
    </row>
    <row r="2031" spans="1:16" x14ac:dyDescent="0.3">
      <c r="A2031" s="19" t="str">
        <f t="shared" si="63"/>
        <v/>
      </c>
      <c r="L2031" s="21" t="str">
        <f>IF(J2031&lt;&gt;"",VLOOKUP(J2031,HeadCount!A:I,5,0),"")</f>
        <v/>
      </c>
      <c r="P2031" s="19" t="str">
        <f t="shared" si="64"/>
        <v/>
      </c>
    </row>
    <row r="2032" spans="1:16" x14ac:dyDescent="0.3">
      <c r="A2032" s="19" t="str">
        <f t="shared" si="63"/>
        <v/>
      </c>
      <c r="L2032" s="21" t="str">
        <f>IF(J2032&lt;&gt;"",VLOOKUP(J2032,HeadCount!A:I,5,0),"")</f>
        <v/>
      </c>
      <c r="P2032" s="19" t="str">
        <f t="shared" si="64"/>
        <v/>
      </c>
    </row>
    <row r="2033" spans="1:16" x14ac:dyDescent="0.3">
      <c r="A2033" s="19" t="str">
        <f t="shared" si="63"/>
        <v/>
      </c>
      <c r="L2033" s="21" t="str">
        <f>IF(J2033&lt;&gt;"",VLOOKUP(J2033,HeadCount!A:I,5,0),"")</f>
        <v/>
      </c>
      <c r="P2033" s="19" t="str">
        <f t="shared" si="64"/>
        <v/>
      </c>
    </row>
    <row r="2034" spans="1:16" x14ac:dyDescent="0.3">
      <c r="A2034" s="19" t="str">
        <f t="shared" si="63"/>
        <v/>
      </c>
      <c r="L2034" s="21" t="str">
        <f>IF(J2034&lt;&gt;"",VLOOKUP(J2034,HeadCount!A:I,5,0),"")</f>
        <v/>
      </c>
      <c r="P2034" s="19" t="str">
        <f t="shared" si="64"/>
        <v/>
      </c>
    </row>
    <row r="2035" spans="1:16" x14ac:dyDescent="0.3">
      <c r="A2035" s="19" t="str">
        <f t="shared" si="63"/>
        <v/>
      </c>
      <c r="L2035" s="21" t="str">
        <f>IF(J2035&lt;&gt;"",VLOOKUP(J2035,HeadCount!A:I,5,0),"")</f>
        <v/>
      </c>
      <c r="P2035" s="19" t="str">
        <f t="shared" si="64"/>
        <v/>
      </c>
    </row>
    <row r="2036" spans="1:16" x14ac:dyDescent="0.3">
      <c r="A2036" s="19" t="str">
        <f t="shared" si="63"/>
        <v/>
      </c>
      <c r="L2036" s="21" t="str">
        <f>IF(J2036&lt;&gt;"",VLOOKUP(J2036,HeadCount!A:I,5,0),"")</f>
        <v/>
      </c>
      <c r="P2036" s="19" t="str">
        <f t="shared" si="64"/>
        <v/>
      </c>
    </row>
    <row r="2037" spans="1:16" x14ac:dyDescent="0.3">
      <c r="A2037" s="19" t="str">
        <f t="shared" si="63"/>
        <v/>
      </c>
      <c r="L2037" s="21" t="str">
        <f>IF(J2037&lt;&gt;"",VLOOKUP(J2037,HeadCount!A:I,5,0),"")</f>
        <v/>
      </c>
      <c r="P2037" s="19" t="str">
        <f t="shared" si="64"/>
        <v/>
      </c>
    </row>
    <row r="2038" spans="1:16" x14ac:dyDescent="0.3">
      <c r="A2038" s="19" t="str">
        <f t="shared" si="63"/>
        <v/>
      </c>
      <c r="L2038" s="21" t="str">
        <f>IF(J2038&lt;&gt;"",VLOOKUP(J2038,HeadCount!A:I,5,0),"")</f>
        <v/>
      </c>
      <c r="P2038" s="19" t="str">
        <f t="shared" si="64"/>
        <v/>
      </c>
    </row>
    <row r="2039" spans="1:16" x14ac:dyDescent="0.3">
      <c r="A2039" s="19" t="str">
        <f t="shared" si="63"/>
        <v/>
      </c>
      <c r="L2039" s="21" t="str">
        <f>IF(J2039&lt;&gt;"",VLOOKUP(J2039,HeadCount!A:I,5,0),"")</f>
        <v/>
      </c>
      <c r="P2039" s="19" t="str">
        <f t="shared" si="64"/>
        <v/>
      </c>
    </row>
    <row r="2040" spans="1:16" x14ac:dyDescent="0.3">
      <c r="A2040" s="19" t="str">
        <f t="shared" si="63"/>
        <v/>
      </c>
      <c r="L2040" s="21" t="str">
        <f>IF(J2040&lt;&gt;"",VLOOKUP(J2040,HeadCount!A:I,5,0),"")</f>
        <v/>
      </c>
      <c r="P2040" s="19" t="str">
        <f t="shared" si="64"/>
        <v/>
      </c>
    </row>
    <row r="2041" spans="1:16" x14ac:dyDescent="0.3">
      <c r="A2041" s="19" t="str">
        <f t="shared" si="63"/>
        <v/>
      </c>
      <c r="L2041" s="21" t="str">
        <f>IF(J2041&lt;&gt;"",VLOOKUP(J2041,HeadCount!A:I,5,0),"")</f>
        <v/>
      </c>
      <c r="P2041" s="19" t="str">
        <f t="shared" si="64"/>
        <v/>
      </c>
    </row>
    <row r="2042" spans="1:16" x14ac:dyDescent="0.3">
      <c r="A2042" s="19" t="str">
        <f t="shared" si="63"/>
        <v/>
      </c>
      <c r="L2042" s="21" t="str">
        <f>IF(J2042&lt;&gt;"",VLOOKUP(J2042,HeadCount!A:I,5,0),"")</f>
        <v/>
      </c>
      <c r="P2042" s="19" t="str">
        <f t="shared" si="64"/>
        <v/>
      </c>
    </row>
    <row r="2043" spans="1:16" x14ac:dyDescent="0.3">
      <c r="A2043" s="19" t="str">
        <f t="shared" si="63"/>
        <v/>
      </c>
      <c r="L2043" s="21" t="str">
        <f>IF(J2043&lt;&gt;"",VLOOKUP(J2043,HeadCount!A:I,5,0),"")</f>
        <v/>
      </c>
      <c r="P2043" s="19" t="str">
        <f t="shared" si="64"/>
        <v/>
      </c>
    </row>
    <row r="2044" spans="1:16" x14ac:dyDescent="0.3">
      <c r="A2044" s="19" t="str">
        <f t="shared" si="63"/>
        <v/>
      </c>
      <c r="L2044" s="21" t="str">
        <f>IF(J2044&lt;&gt;"",VLOOKUP(J2044,HeadCount!A:I,5,0),"")</f>
        <v/>
      </c>
      <c r="P2044" s="19" t="str">
        <f t="shared" si="64"/>
        <v/>
      </c>
    </row>
    <row r="2045" spans="1:16" x14ac:dyDescent="0.3">
      <c r="A2045" s="19" t="str">
        <f t="shared" si="63"/>
        <v/>
      </c>
      <c r="L2045" s="21" t="str">
        <f>IF(J2045&lt;&gt;"",VLOOKUP(J2045,HeadCount!A:I,5,0),"")</f>
        <v/>
      </c>
      <c r="P2045" s="19" t="str">
        <f t="shared" si="64"/>
        <v/>
      </c>
    </row>
    <row r="2046" spans="1:16" x14ac:dyDescent="0.3">
      <c r="A2046" s="19" t="str">
        <f t="shared" si="63"/>
        <v/>
      </c>
      <c r="L2046" s="21" t="str">
        <f>IF(J2046&lt;&gt;"",VLOOKUP(J2046,HeadCount!A:I,5,0),"")</f>
        <v/>
      </c>
      <c r="P2046" s="19" t="str">
        <f t="shared" si="64"/>
        <v/>
      </c>
    </row>
    <row r="2047" spans="1:16" x14ac:dyDescent="0.3">
      <c r="A2047" s="19" t="str">
        <f t="shared" si="63"/>
        <v/>
      </c>
      <c r="L2047" s="21" t="str">
        <f>IF(J2047&lt;&gt;"",VLOOKUP(J2047,HeadCount!A:I,5,0),"")</f>
        <v/>
      </c>
      <c r="P2047" s="19" t="str">
        <f t="shared" si="64"/>
        <v/>
      </c>
    </row>
    <row r="2048" spans="1:16" x14ac:dyDescent="0.3">
      <c r="A2048" s="19" t="str">
        <f t="shared" si="63"/>
        <v/>
      </c>
      <c r="L2048" s="21" t="str">
        <f>IF(J2048&lt;&gt;"",VLOOKUP(J2048,HeadCount!A:I,5,0),"")</f>
        <v/>
      </c>
      <c r="P2048" s="19" t="str">
        <f t="shared" si="64"/>
        <v/>
      </c>
    </row>
    <row r="2049" spans="1:16" x14ac:dyDescent="0.3">
      <c r="A2049" s="19" t="str">
        <f t="shared" si="63"/>
        <v/>
      </c>
      <c r="L2049" s="21" t="str">
        <f>IF(J2049&lt;&gt;"",VLOOKUP(J2049,HeadCount!A:I,5,0),"")</f>
        <v/>
      </c>
      <c r="P2049" s="19" t="str">
        <f t="shared" si="64"/>
        <v/>
      </c>
    </row>
    <row r="2050" spans="1:16" x14ac:dyDescent="0.3">
      <c r="A2050" s="19" t="str">
        <f t="shared" ref="A2050:A2113" si="65">IF(C2050&lt;&gt;"",ROW(A2049),"")</f>
        <v/>
      </c>
      <c r="L2050" s="21" t="str">
        <f>IF(J2050&lt;&gt;"",VLOOKUP(J2050,HeadCount!A:I,5,0),"")</f>
        <v/>
      </c>
      <c r="P2050" s="19" t="str">
        <f t="shared" si="64"/>
        <v/>
      </c>
    </row>
    <row r="2051" spans="1:16" x14ac:dyDescent="0.3">
      <c r="A2051" s="19" t="str">
        <f t="shared" si="65"/>
        <v/>
      </c>
      <c r="L2051" s="21" t="str">
        <f>IF(J2051&lt;&gt;"",VLOOKUP(J2051,HeadCount!A:I,5,0),"")</f>
        <v/>
      </c>
      <c r="P2051" s="19" t="str">
        <f t="shared" ref="P2051:P2114" si="66">IF(N2051="","",(O2051-N2051)+1)</f>
        <v/>
      </c>
    </row>
    <row r="2052" spans="1:16" x14ac:dyDescent="0.3">
      <c r="A2052" s="19" t="str">
        <f t="shared" si="65"/>
        <v/>
      </c>
      <c r="L2052" s="21" t="str">
        <f>IF(J2052&lt;&gt;"",VLOOKUP(J2052,HeadCount!A:I,5,0),"")</f>
        <v/>
      </c>
      <c r="P2052" s="19" t="str">
        <f t="shared" si="66"/>
        <v/>
      </c>
    </row>
    <row r="2053" spans="1:16" x14ac:dyDescent="0.3">
      <c r="A2053" s="19" t="str">
        <f t="shared" si="65"/>
        <v/>
      </c>
      <c r="L2053" s="21" t="str">
        <f>IF(J2053&lt;&gt;"",VLOOKUP(J2053,HeadCount!A:I,5,0),"")</f>
        <v/>
      </c>
      <c r="P2053" s="19" t="str">
        <f t="shared" si="66"/>
        <v/>
      </c>
    </row>
    <row r="2054" spans="1:16" x14ac:dyDescent="0.3">
      <c r="A2054" s="19" t="str">
        <f t="shared" si="65"/>
        <v/>
      </c>
      <c r="L2054" s="21" t="str">
        <f>IF(J2054&lt;&gt;"",VLOOKUP(J2054,HeadCount!A:I,5,0),"")</f>
        <v/>
      </c>
      <c r="P2054" s="19" t="str">
        <f t="shared" si="66"/>
        <v/>
      </c>
    </row>
    <row r="2055" spans="1:16" x14ac:dyDescent="0.3">
      <c r="A2055" s="19" t="str">
        <f t="shared" si="65"/>
        <v/>
      </c>
      <c r="L2055" s="21" t="str">
        <f>IF(J2055&lt;&gt;"",VLOOKUP(J2055,HeadCount!A:I,5,0),"")</f>
        <v/>
      </c>
      <c r="P2055" s="19" t="str">
        <f t="shared" si="66"/>
        <v/>
      </c>
    </row>
    <row r="2056" spans="1:16" x14ac:dyDescent="0.3">
      <c r="A2056" s="19" t="str">
        <f t="shared" si="65"/>
        <v/>
      </c>
      <c r="L2056" s="21" t="str">
        <f>IF(J2056&lt;&gt;"",VLOOKUP(J2056,HeadCount!A:I,5,0),"")</f>
        <v/>
      </c>
      <c r="P2056" s="19" t="str">
        <f t="shared" si="66"/>
        <v/>
      </c>
    </row>
    <row r="2057" spans="1:16" x14ac:dyDescent="0.3">
      <c r="A2057" s="19" t="str">
        <f t="shared" si="65"/>
        <v/>
      </c>
      <c r="L2057" s="21" t="str">
        <f>IF(J2057&lt;&gt;"",VLOOKUP(J2057,HeadCount!A:I,5,0),"")</f>
        <v/>
      </c>
      <c r="P2057" s="19" t="str">
        <f t="shared" si="66"/>
        <v/>
      </c>
    </row>
    <row r="2058" spans="1:16" x14ac:dyDescent="0.3">
      <c r="A2058" s="19" t="str">
        <f t="shared" si="65"/>
        <v/>
      </c>
      <c r="L2058" s="21" t="str">
        <f>IF(J2058&lt;&gt;"",VLOOKUP(J2058,HeadCount!A:I,5,0),"")</f>
        <v/>
      </c>
      <c r="P2058" s="19" t="str">
        <f t="shared" si="66"/>
        <v/>
      </c>
    </row>
    <row r="2059" spans="1:16" x14ac:dyDescent="0.3">
      <c r="A2059" s="19" t="str">
        <f t="shared" si="65"/>
        <v/>
      </c>
      <c r="L2059" s="21" t="str">
        <f>IF(J2059&lt;&gt;"",VLOOKUP(J2059,HeadCount!A:I,5,0),"")</f>
        <v/>
      </c>
      <c r="P2059" s="19" t="str">
        <f t="shared" si="66"/>
        <v/>
      </c>
    </row>
    <row r="2060" spans="1:16" x14ac:dyDescent="0.3">
      <c r="A2060" s="19" t="str">
        <f t="shared" si="65"/>
        <v/>
      </c>
      <c r="L2060" s="21" t="str">
        <f>IF(J2060&lt;&gt;"",VLOOKUP(J2060,HeadCount!A:I,5,0),"")</f>
        <v/>
      </c>
      <c r="P2060" s="19" t="str">
        <f t="shared" si="66"/>
        <v/>
      </c>
    </row>
    <row r="2061" spans="1:16" x14ac:dyDescent="0.3">
      <c r="A2061" s="19" t="str">
        <f t="shared" si="65"/>
        <v/>
      </c>
      <c r="L2061" s="21" t="str">
        <f>IF(J2061&lt;&gt;"",VLOOKUP(J2061,HeadCount!A:I,5,0),"")</f>
        <v/>
      </c>
      <c r="P2061" s="19" t="str">
        <f t="shared" si="66"/>
        <v/>
      </c>
    </row>
    <row r="2062" spans="1:16" x14ac:dyDescent="0.3">
      <c r="A2062" s="19" t="str">
        <f t="shared" si="65"/>
        <v/>
      </c>
      <c r="L2062" s="21" t="str">
        <f>IF(J2062&lt;&gt;"",VLOOKUP(J2062,HeadCount!A:I,5,0),"")</f>
        <v/>
      </c>
      <c r="P2062" s="19" t="str">
        <f t="shared" si="66"/>
        <v/>
      </c>
    </row>
    <row r="2063" spans="1:16" x14ac:dyDescent="0.3">
      <c r="A2063" s="19" t="str">
        <f t="shared" si="65"/>
        <v/>
      </c>
      <c r="L2063" s="21" t="str">
        <f>IF(J2063&lt;&gt;"",VLOOKUP(J2063,HeadCount!A:I,5,0),"")</f>
        <v/>
      </c>
      <c r="P2063" s="19" t="str">
        <f t="shared" si="66"/>
        <v/>
      </c>
    </row>
    <row r="2064" spans="1:16" x14ac:dyDescent="0.3">
      <c r="A2064" s="19" t="str">
        <f t="shared" si="65"/>
        <v/>
      </c>
      <c r="L2064" s="21" t="str">
        <f>IF(J2064&lt;&gt;"",VLOOKUP(J2064,HeadCount!A:I,5,0),"")</f>
        <v/>
      </c>
      <c r="P2064" s="19" t="str">
        <f t="shared" si="66"/>
        <v/>
      </c>
    </row>
    <row r="2065" spans="1:16" x14ac:dyDescent="0.3">
      <c r="A2065" s="19" t="str">
        <f t="shared" si="65"/>
        <v/>
      </c>
      <c r="L2065" s="21" t="str">
        <f>IF(J2065&lt;&gt;"",VLOOKUP(J2065,HeadCount!A:I,5,0),"")</f>
        <v/>
      </c>
      <c r="P2065" s="19" t="str">
        <f t="shared" si="66"/>
        <v/>
      </c>
    </row>
    <row r="2066" spans="1:16" x14ac:dyDescent="0.3">
      <c r="A2066" s="19" t="str">
        <f t="shared" si="65"/>
        <v/>
      </c>
      <c r="L2066" s="21" t="str">
        <f>IF(J2066&lt;&gt;"",VLOOKUP(J2066,HeadCount!A:I,5,0),"")</f>
        <v/>
      </c>
      <c r="P2066" s="19" t="str">
        <f t="shared" si="66"/>
        <v/>
      </c>
    </row>
    <row r="2067" spans="1:16" x14ac:dyDescent="0.3">
      <c r="A2067" s="19" t="str">
        <f t="shared" si="65"/>
        <v/>
      </c>
      <c r="L2067" s="21" t="str">
        <f>IF(J2067&lt;&gt;"",VLOOKUP(J2067,HeadCount!A:I,5,0),"")</f>
        <v/>
      </c>
      <c r="P2067" s="19" t="str">
        <f t="shared" si="66"/>
        <v/>
      </c>
    </row>
    <row r="2068" spans="1:16" x14ac:dyDescent="0.3">
      <c r="A2068" s="19" t="str">
        <f t="shared" si="65"/>
        <v/>
      </c>
      <c r="L2068" s="21" t="str">
        <f>IF(J2068&lt;&gt;"",VLOOKUP(J2068,HeadCount!A:I,5,0),"")</f>
        <v/>
      </c>
      <c r="P2068" s="19" t="str">
        <f t="shared" si="66"/>
        <v/>
      </c>
    </row>
    <row r="2069" spans="1:16" x14ac:dyDescent="0.3">
      <c r="A2069" s="19" t="str">
        <f t="shared" si="65"/>
        <v/>
      </c>
      <c r="L2069" s="21" t="str">
        <f>IF(J2069&lt;&gt;"",VLOOKUP(J2069,HeadCount!A:I,5,0),"")</f>
        <v/>
      </c>
      <c r="P2069" s="19" t="str">
        <f t="shared" si="66"/>
        <v/>
      </c>
    </row>
    <row r="2070" spans="1:16" x14ac:dyDescent="0.3">
      <c r="A2070" s="19" t="str">
        <f t="shared" si="65"/>
        <v/>
      </c>
      <c r="L2070" s="21" t="str">
        <f>IF(J2070&lt;&gt;"",VLOOKUP(J2070,HeadCount!A:I,5,0),"")</f>
        <v/>
      </c>
      <c r="P2070" s="19" t="str">
        <f t="shared" si="66"/>
        <v/>
      </c>
    </row>
    <row r="2071" spans="1:16" x14ac:dyDescent="0.3">
      <c r="A2071" s="19" t="str">
        <f t="shared" si="65"/>
        <v/>
      </c>
      <c r="L2071" s="21" t="str">
        <f>IF(J2071&lt;&gt;"",VLOOKUP(J2071,HeadCount!A:I,5,0),"")</f>
        <v/>
      </c>
      <c r="P2071" s="19" t="str">
        <f t="shared" si="66"/>
        <v/>
      </c>
    </row>
    <row r="2072" spans="1:16" x14ac:dyDescent="0.3">
      <c r="A2072" s="19" t="str">
        <f t="shared" si="65"/>
        <v/>
      </c>
      <c r="L2072" s="21" t="str">
        <f>IF(J2072&lt;&gt;"",VLOOKUP(J2072,HeadCount!A:I,5,0),"")</f>
        <v/>
      </c>
      <c r="P2072" s="19" t="str">
        <f t="shared" si="66"/>
        <v/>
      </c>
    </row>
    <row r="2073" spans="1:16" x14ac:dyDescent="0.3">
      <c r="A2073" s="19" t="str">
        <f t="shared" si="65"/>
        <v/>
      </c>
      <c r="L2073" s="21" t="str">
        <f>IF(J2073&lt;&gt;"",VLOOKUP(J2073,HeadCount!A:I,5,0),"")</f>
        <v/>
      </c>
      <c r="P2073" s="19" t="str">
        <f t="shared" si="66"/>
        <v/>
      </c>
    </row>
    <row r="2074" spans="1:16" x14ac:dyDescent="0.3">
      <c r="A2074" s="19" t="str">
        <f t="shared" si="65"/>
        <v/>
      </c>
      <c r="L2074" s="21" t="str">
        <f>IF(J2074&lt;&gt;"",VLOOKUP(J2074,HeadCount!A:I,5,0),"")</f>
        <v/>
      </c>
      <c r="P2074" s="19" t="str">
        <f t="shared" si="66"/>
        <v/>
      </c>
    </row>
    <row r="2075" spans="1:16" x14ac:dyDescent="0.3">
      <c r="A2075" s="19" t="str">
        <f t="shared" si="65"/>
        <v/>
      </c>
      <c r="L2075" s="21" t="str">
        <f>IF(J2075&lt;&gt;"",VLOOKUP(J2075,HeadCount!A:I,5,0),"")</f>
        <v/>
      </c>
      <c r="P2075" s="19" t="str">
        <f t="shared" si="66"/>
        <v/>
      </c>
    </row>
    <row r="2076" spans="1:16" x14ac:dyDescent="0.3">
      <c r="A2076" s="19" t="str">
        <f t="shared" si="65"/>
        <v/>
      </c>
      <c r="L2076" s="21" t="str">
        <f>IF(J2076&lt;&gt;"",VLOOKUP(J2076,HeadCount!A:I,5,0),"")</f>
        <v/>
      </c>
      <c r="P2076" s="19" t="str">
        <f t="shared" si="66"/>
        <v/>
      </c>
    </row>
    <row r="2077" spans="1:16" x14ac:dyDescent="0.3">
      <c r="A2077" s="19" t="str">
        <f t="shared" si="65"/>
        <v/>
      </c>
      <c r="L2077" s="21" t="str">
        <f>IF(J2077&lt;&gt;"",VLOOKUP(J2077,HeadCount!A:I,5,0),"")</f>
        <v/>
      </c>
      <c r="P2077" s="19" t="str">
        <f t="shared" si="66"/>
        <v/>
      </c>
    </row>
    <row r="2078" spans="1:16" x14ac:dyDescent="0.3">
      <c r="A2078" s="19" t="str">
        <f t="shared" si="65"/>
        <v/>
      </c>
      <c r="L2078" s="21" t="str">
        <f>IF(J2078&lt;&gt;"",VLOOKUP(J2078,HeadCount!A:I,5,0),"")</f>
        <v/>
      </c>
      <c r="P2078" s="19" t="str">
        <f t="shared" si="66"/>
        <v/>
      </c>
    </row>
    <row r="2079" spans="1:16" x14ac:dyDescent="0.3">
      <c r="A2079" s="19" t="str">
        <f t="shared" si="65"/>
        <v/>
      </c>
      <c r="L2079" s="21" t="str">
        <f>IF(J2079&lt;&gt;"",VLOOKUP(J2079,HeadCount!A:I,5,0),"")</f>
        <v/>
      </c>
      <c r="P2079" s="19" t="str">
        <f t="shared" si="66"/>
        <v/>
      </c>
    </row>
    <row r="2080" spans="1:16" x14ac:dyDescent="0.3">
      <c r="A2080" s="19" t="str">
        <f t="shared" si="65"/>
        <v/>
      </c>
      <c r="L2080" s="21" t="str">
        <f>IF(J2080&lt;&gt;"",VLOOKUP(J2080,HeadCount!A:I,5,0),"")</f>
        <v/>
      </c>
      <c r="P2080" s="19" t="str">
        <f t="shared" si="66"/>
        <v/>
      </c>
    </row>
    <row r="2081" spans="1:16" x14ac:dyDescent="0.3">
      <c r="A2081" s="19" t="str">
        <f t="shared" si="65"/>
        <v/>
      </c>
      <c r="L2081" s="21" t="str">
        <f>IF(J2081&lt;&gt;"",VLOOKUP(J2081,HeadCount!A:I,5,0),"")</f>
        <v/>
      </c>
      <c r="P2081" s="19" t="str">
        <f t="shared" si="66"/>
        <v/>
      </c>
    </row>
    <row r="2082" spans="1:16" x14ac:dyDescent="0.3">
      <c r="A2082" s="19" t="str">
        <f t="shared" si="65"/>
        <v/>
      </c>
      <c r="L2082" s="21" t="str">
        <f>IF(J2082&lt;&gt;"",VLOOKUP(J2082,HeadCount!A:I,5,0),"")</f>
        <v/>
      </c>
      <c r="P2082" s="19" t="str">
        <f t="shared" si="66"/>
        <v/>
      </c>
    </row>
    <row r="2083" spans="1:16" x14ac:dyDescent="0.3">
      <c r="A2083" s="19" t="str">
        <f t="shared" si="65"/>
        <v/>
      </c>
      <c r="L2083" s="21" t="str">
        <f>IF(J2083&lt;&gt;"",VLOOKUP(J2083,HeadCount!A:I,5,0),"")</f>
        <v/>
      </c>
      <c r="P2083" s="19" t="str">
        <f t="shared" si="66"/>
        <v/>
      </c>
    </row>
    <row r="2084" spans="1:16" x14ac:dyDescent="0.3">
      <c r="A2084" s="19" t="str">
        <f t="shared" si="65"/>
        <v/>
      </c>
      <c r="L2084" s="21" t="str">
        <f>IF(J2084&lt;&gt;"",VLOOKUP(J2084,HeadCount!A:I,5,0),"")</f>
        <v/>
      </c>
      <c r="P2084" s="19" t="str">
        <f t="shared" si="66"/>
        <v/>
      </c>
    </row>
    <row r="2085" spans="1:16" x14ac:dyDescent="0.3">
      <c r="A2085" s="19" t="str">
        <f t="shared" si="65"/>
        <v/>
      </c>
      <c r="L2085" s="21" t="str">
        <f>IF(J2085&lt;&gt;"",VLOOKUP(J2085,HeadCount!A:I,5,0),"")</f>
        <v/>
      </c>
      <c r="P2085" s="19" t="str">
        <f t="shared" si="66"/>
        <v/>
      </c>
    </row>
    <row r="2086" spans="1:16" x14ac:dyDescent="0.3">
      <c r="A2086" s="19" t="str">
        <f t="shared" si="65"/>
        <v/>
      </c>
      <c r="L2086" s="21" t="str">
        <f>IF(J2086&lt;&gt;"",VLOOKUP(J2086,HeadCount!A:I,5,0),"")</f>
        <v/>
      </c>
      <c r="P2086" s="19" t="str">
        <f t="shared" si="66"/>
        <v/>
      </c>
    </row>
    <row r="2087" spans="1:16" x14ac:dyDescent="0.3">
      <c r="A2087" s="19" t="str">
        <f t="shared" si="65"/>
        <v/>
      </c>
      <c r="L2087" s="21" t="str">
        <f>IF(J2087&lt;&gt;"",VLOOKUP(J2087,HeadCount!A:I,5,0),"")</f>
        <v/>
      </c>
      <c r="P2087" s="19" t="str">
        <f t="shared" si="66"/>
        <v/>
      </c>
    </row>
    <row r="2088" spans="1:16" x14ac:dyDescent="0.3">
      <c r="A2088" s="19" t="str">
        <f t="shared" si="65"/>
        <v/>
      </c>
      <c r="L2088" s="21" t="str">
        <f>IF(J2088&lt;&gt;"",VLOOKUP(J2088,HeadCount!A:I,5,0),"")</f>
        <v/>
      </c>
      <c r="P2088" s="19" t="str">
        <f t="shared" si="66"/>
        <v/>
      </c>
    </row>
    <row r="2089" spans="1:16" x14ac:dyDescent="0.3">
      <c r="A2089" s="19" t="str">
        <f t="shared" si="65"/>
        <v/>
      </c>
      <c r="L2089" s="21" t="str">
        <f>IF(J2089&lt;&gt;"",VLOOKUP(J2089,HeadCount!A:I,5,0),"")</f>
        <v/>
      </c>
      <c r="P2089" s="19" t="str">
        <f t="shared" si="66"/>
        <v/>
      </c>
    </row>
    <row r="2090" spans="1:16" x14ac:dyDescent="0.3">
      <c r="A2090" s="19" t="str">
        <f t="shared" si="65"/>
        <v/>
      </c>
      <c r="L2090" s="21" t="str">
        <f>IF(J2090&lt;&gt;"",VLOOKUP(J2090,HeadCount!A:I,5,0),"")</f>
        <v/>
      </c>
      <c r="P2090" s="19" t="str">
        <f t="shared" si="66"/>
        <v/>
      </c>
    </row>
    <row r="2091" spans="1:16" x14ac:dyDescent="0.3">
      <c r="A2091" s="19" t="str">
        <f t="shared" si="65"/>
        <v/>
      </c>
      <c r="L2091" s="21" t="str">
        <f>IF(J2091&lt;&gt;"",VLOOKUP(J2091,HeadCount!A:I,5,0),"")</f>
        <v/>
      </c>
      <c r="P2091" s="19" t="str">
        <f t="shared" si="66"/>
        <v/>
      </c>
    </row>
    <row r="2092" spans="1:16" x14ac:dyDescent="0.3">
      <c r="A2092" s="19" t="str">
        <f t="shared" si="65"/>
        <v/>
      </c>
      <c r="L2092" s="21" t="str">
        <f>IF(J2092&lt;&gt;"",VLOOKUP(J2092,HeadCount!A:I,5,0),"")</f>
        <v/>
      </c>
      <c r="P2092" s="19" t="str">
        <f t="shared" si="66"/>
        <v/>
      </c>
    </row>
    <row r="2093" spans="1:16" x14ac:dyDescent="0.3">
      <c r="A2093" s="19" t="str">
        <f t="shared" si="65"/>
        <v/>
      </c>
      <c r="L2093" s="21" t="str">
        <f>IF(J2093&lt;&gt;"",VLOOKUP(J2093,HeadCount!A:I,5,0),"")</f>
        <v/>
      </c>
      <c r="P2093" s="19" t="str">
        <f t="shared" si="66"/>
        <v/>
      </c>
    </row>
    <row r="2094" spans="1:16" x14ac:dyDescent="0.3">
      <c r="A2094" s="19" t="str">
        <f t="shared" si="65"/>
        <v/>
      </c>
      <c r="L2094" s="21" t="str">
        <f>IF(J2094&lt;&gt;"",VLOOKUP(J2094,HeadCount!A:I,5,0),"")</f>
        <v/>
      </c>
      <c r="P2094" s="19" t="str">
        <f t="shared" si="66"/>
        <v/>
      </c>
    </row>
    <row r="2095" spans="1:16" x14ac:dyDescent="0.3">
      <c r="A2095" s="19" t="str">
        <f t="shared" si="65"/>
        <v/>
      </c>
      <c r="L2095" s="21" t="str">
        <f>IF(J2095&lt;&gt;"",VLOOKUP(J2095,HeadCount!A:I,5,0),"")</f>
        <v/>
      </c>
      <c r="P2095" s="19" t="str">
        <f t="shared" si="66"/>
        <v/>
      </c>
    </row>
    <row r="2096" spans="1:16" x14ac:dyDescent="0.3">
      <c r="A2096" s="19" t="str">
        <f t="shared" si="65"/>
        <v/>
      </c>
      <c r="L2096" s="21" t="str">
        <f>IF(J2096&lt;&gt;"",VLOOKUP(J2096,HeadCount!A:I,5,0),"")</f>
        <v/>
      </c>
      <c r="P2096" s="19" t="str">
        <f t="shared" si="66"/>
        <v/>
      </c>
    </row>
    <row r="2097" spans="1:16" x14ac:dyDescent="0.3">
      <c r="A2097" s="19" t="str">
        <f t="shared" si="65"/>
        <v/>
      </c>
      <c r="L2097" s="21" t="str">
        <f>IF(J2097&lt;&gt;"",VLOOKUP(J2097,HeadCount!A:I,5,0),"")</f>
        <v/>
      </c>
      <c r="P2097" s="19" t="str">
        <f t="shared" si="66"/>
        <v/>
      </c>
    </row>
    <row r="2098" spans="1:16" x14ac:dyDescent="0.3">
      <c r="A2098" s="19" t="str">
        <f t="shared" si="65"/>
        <v/>
      </c>
      <c r="L2098" s="21" t="str">
        <f>IF(J2098&lt;&gt;"",VLOOKUP(J2098,HeadCount!A:I,5,0),"")</f>
        <v/>
      </c>
      <c r="P2098" s="19" t="str">
        <f t="shared" si="66"/>
        <v/>
      </c>
    </row>
    <row r="2099" spans="1:16" x14ac:dyDescent="0.3">
      <c r="A2099" s="19" t="str">
        <f t="shared" si="65"/>
        <v/>
      </c>
      <c r="L2099" s="21" t="str">
        <f>IF(J2099&lt;&gt;"",VLOOKUP(J2099,HeadCount!A:I,5,0),"")</f>
        <v/>
      </c>
      <c r="P2099" s="19" t="str">
        <f t="shared" si="66"/>
        <v/>
      </c>
    </row>
    <row r="2100" spans="1:16" x14ac:dyDescent="0.3">
      <c r="A2100" s="19" t="str">
        <f t="shared" si="65"/>
        <v/>
      </c>
      <c r="L2100" s="21" t="str">
        <f>IF(J2100&lt;&gt;"",VLOOKUP(J2100,HeadCount!A:I,5,0),"")</f>
        <v/>
      </c>
      <c r="P2100" s="19" t="str">
        <f t="shared" si="66"/>
        <v/>
      </c>
    </row>
    <row r="2101" spans="1:16" x14ac:dyDescent="0.3">
      <c r="A2101" s="19" t="str">
        <f t="shared" si="65"/>
        <v/>
      </c>
      <c r="L2101" s="21" t="str">
        <f>IF(J2101&lt;&gt;"",VLOOKUP(J2101,HeadCount!A:I,5,0),"")</f>
        <v/>
      </c>
      <c r="P2101" s="19" t="str">
        <f t="shared" si="66"/>
        <v/>
      </c>
    </row>
    <row r="2102" spans="1:16" x14ac:dyDescent="0.3">
      <c r="A2102" s="19" t="str">
        <f t="shared" si="65"/>
        <v/>
      </c>
      <c r="L2102" s="21" t="str">
        <f>IF(J2102&lt;&gt;"",VLOOKUP(J2102,HeadCount!A:I,5,0),"")</f>
        <v/>
      </c>
      <c r="P2102" s="19" t="str">
        <f t="shared" si="66"/>
        <v/>
      </c>
    </row>
    <row r="2103" spans="1:16" x14ac:dyDescent="0.3">
      <c r="A2103" s="19" t="str">
        <f t="shared" si="65"/>
        <v/>
      </c>
      <c r="L2103" s="21" t="str">
        <f>IF(J2103&lt;&gt;"",VLOOKUP(J2103,HeadCount!A:I,5,0),"")</f>
        <v/>
      </c>
      <c r="P2103" s="19" t="str">
        <f t="shared" si="66"/>
        <v/>
      </c>
    </row>
    <row r="2104" spans="1:16" x14ac:dyDescent="0.3">
      <c r="A2104" s="19" t="str">
        <f t="shared" si="65"/>
        <v/>
      </c>
      <c r="L2104" s="21" t="str">
        <f>IF(J2104&lt;&gt;"",VLOOKUP(J2104,HeadCount!A:I,5,0),"")</f>
        <v/>
      </c>
      <c r="P2104" s="19" t="str">
        <f t="shared" si="66"/>
        <v/>
      </c>
    </row>
    <row r="2105" spans="1:16" x14ac:dyDescent="0.3">
      <c r="A2105" s="19" t="str">
        <f t="shared" si="65"/>
        <v/>
      </c>
      <c r="L2105" s="21" t="str">
        <f>IF(J2105&lt;&gt;"",VLOOKUP(J2105,HeadCount!A:I,5,0),"")</f>
        <v/>
      </c>
      <c r="P2105" s="19" t="str">
        <f t="shared" si="66"/>
        <v/>
      </c>
    </row>
    <row r="2106" spans="1:16" x14ac:dyDescent="0.3">
      <c r="A2106" s="19" t="str">
        <f t="shared" si="65"/>
        <v/>
      </c>
      <c r="L2106" s="21" t="str">
        <f>IF(J2106&lt;&gt;"",VLOOKUP(J2106,HeadCount!A:I,5,0),"")</f>
        <v/>
      </c>
      <c r="P2106" s="19" t="str">
        <f t="shared" si="66"/>
        <v/>
      </c>
    </row>
    <row r="2107" spans="1:16" x14ac:dyDescent="0.3">
      <c r="A2107" s="19" t="str">
        <f t="shared" si="65"/>
        <v/>
      </c>
      <c r="L2107" s="21" t="str">
        <f>IF(J2107&lt;&gt;"",VLOOKUP(J2107,HeadCount!A:I,5,0),"")</f>
        <v/>
      </c>
      <c r="P2107" s="19" t="str">
        <f t="shared" si="66"/>
        <v/>
      </c>
    </row>
    <row r="2108" spans="1:16" x14ac:dyDescent="0.3">
      <c r="A2108" s="19" t="str">
        <f t="shared" si="65"/>
        <v/>
      </c>
      <c r="L2108" s="21" t="str">
        <f>IF(J2108&lt;&gt;"",VLOOKUP(J2108,HeadCount!A:I,5,0),"")</f>
        <v/>
      </c>
      <c r="P2108" s="19" t="str">
        <f t="shared" si="66"/>
        <v/>
      </c>
    </row>
    <row r="2109" spans="1:16" x14ac:dyDescent="0.3">
      <c r="A2109" s="19" t="str">
        <f t="shared" si="65"/>
        <v/>
      </c>
      <c r="L2109" s="21" t="str">
        <f>IF(J2109&lt;&gt;"",VLOOKUP(J2109,HeadCount!A:I,5,0),"")</f>
        <v/>
      </c>
      <c r="P2109" s="19" t="str">
        <f t="shared" si="66"/>
        <v/>
      </c>
    </row>
    <row r="2110" spans="1:16" x14ac:dyDescent="0.3">
      <c r="A2110" s="19" t="str">
        <f t="shared" si="65"/>
        <v/>
      </c>
      <c r="L2110" s="21" t="str">
        <f>IF(J2110&lt;&gt;"",VLOOKUP(J2110,HeadCount!A:I,5,0),"")</f>
        <v/>
      </c>
      <c r="P2110" s="19" t="str">
        <f t="shared" si="66"/>
        <v/>
      </c>
    </row>
    <row r="2111" spans="1:16" x14ac:dyDescent="0.3">
      <c r="A2111" s="19" t="str">
        <f t="shared" si="65"/>
        <v/>
      </c>
      <c r="L2111" s="21" t="str">
        <f>IF(J2111&lt;&gt;"",VLOOKUP(J2111,HeadCount!A:I,5,0),"")</f>
        <v/>
      </c>
      <c r="P2111" s="19" t="str">
        <f t="shared" si="66"/>
        <v/>
      </c>
    </row>
    <row r="2112" spans="1:16" x14ac:dyDescent="0.3">
      <c r="A2112" s="19" t="str">
        <f t="shared" si="65"/>
        <v/>
      </c>
      <c r="L2112" s="21" t="str">
        <f>IF(J2112&lt;&gt;"",VLOOKUP(J2112,HeadCount!A:I,5,0),"")</f>
        <v/>
      </c>
      <c r="P2112" s="19" t="str">
        <f t="shared" si="66"/>
        <v/>
      </c>
    </row>
    <row r="2113" spans="1:16" x14ac:dyDescent="0.3">
      <c r="A2113" s="19" t="str">
        <f t="shared" si="65"/>
        <v/>
      </c>
      <c r="L2113" s="21" t="str">
        <f>IF(J2113&lt;&gt;"",VLOOKUP(J2113,HeadCount!A:I,5,0),"")</f>
        <v/>
      </c>
      <c r="P2113" s="19" t="str">
        <f t="shared" si="66"/>
        <v/>
      </c>
    </row>
    <row r="2114" spans="1:16" x14ac:dyDescent="0.3">
      <c r="A2114" s="19" t="str">
        <f t="shared" ref="A2114:A2177" si="67">IF(C2114&lt;&gt;"",ROW(A2113),"")</f>
        <v/>
      </c>
      <c r="L2114" s="21" t="str">
        <f>IF(J2114&lt;&gt;"",VLOOKUP(J2114,HeadCount!A:I,5,0),"")</f>
        <v/>
      </c>
      <c r="P2114" s="19" t="str">
        <f t="shared" si="66"/>
        <v/>
      </c>
    </row>
    <row r="2115" spans="1:16" x14ac:dyDescent="0.3">
      <c r="A2115" s="19" t="str">
        <f t="shared" si="67"/>
        <v/>
      </c>
      <c r="L2115" s="21" t="str">
        <f>IF(J2115&lt;&gt;"",VLOOKUP(J2115,HeadCount!A:I,5,0),"")</f>
        <v/>
      </c>
      <c r="P2115" s="19" t="str">
        <f t="shared" ref="P2115:P2178" si="68">IF(N2115="","",(O2115-N2115)+1)</f>
        <v/>
      </c>
    </row>
    <row r="2116" spans="1:16" x14ac:dyDescent="0.3">
      <c r="A2116" s="19" t="str">
        <f t="shared" si="67"/>
        <v/>
      </c>
      <c r="L2116" s="21" t="str">
        <f>IF(J2116&lt;&gt;"",VLOOKUP(J2116,HeadCount!A:I,5,0),"")</f>
        <v/>
      </c>
      <c r="P2116" s="19" t="str">
        <f t="shared" si="68"/>
        <v/>
      </c>
    </row>
    <row r="2117" spans="1:16" x14ac:dyDescent="0.3">
      <c r="A2117" s="19" t="str">
        <f t="shared" si="67"/>
        <v/>
      </c>
      <c r="L2117" s="21" t="str">
        <f>IF(J2117&lt;&gt;"",VLOOKUP(J2117,HeadCount!A:I,5,0),"")</f>
        <v/>
      </c>
      <c r="P2117" s="19" t="str">
        <f t="shared" si="68"/>
        <v/>
      </c>
    </row>
    <row r="2118" spans="1:16" x14ac:dyDescent="0.3">
      <c r="A2118" s="19" t="str">
        <f t="shared" si="67"/>
        <v/>
      </c>
      <c r="L2118" s="21" t="str">
        <f>IF(J2118&lt;&gt;"",VLOOKUP(J2118,HeadCount!A:I,5,0),"")</f>
        <v/>
      </c>
      <c r="P2118" s="19" t="str">
        <f t="shared" si="68"/>
        <v/>
      </c>
    </row>
    <row r="2119" spans="1:16" x14ac:dyDescent="0.3">
      <c r="A2119" s="19" t="str">
        <f t="shared" si="67"/>
        <v/>
      </c>
      <c r="L2119" s="21" t="str">
        <f>IF(J2119&lt;&gt;"",VLOOKUP(J2119,HeadCount!A:I,5,0),"")</f>
        <v/>
      </c>
      <c r="P2119" s="19" t="str">
        <f t="shared" si="68"/>
        <v/>
      </c>
    </row>
    <row r="2120" spans="1:16" x14ac:dyDescent="0.3">
      <c r="A2120" s="19" t="str">
        <f t="shared" si="67"/>
        <v/>
      </c>
      <c r="L2120" s="21" t="str">
        <f>IF(J2120&lt;&gt;"",VLOOKUP(J2120,HeadCount!A:I,5,0),"")</f>
        <v/>
      </c>
      <c r="P2120" s="19" t="str">
        <f t="shared" si="68"/>
        <v/>
      </c>
    </row>
    <row r="2121" spans="1:16" x14ac:dyDescent="0.3">
      <c r="A2121" s="19" t="str">
        <f t="shared" si="67"/>
        <v/>
      </c>
      <c r="L2121" s="21" t="str">
        <f>IF(J2121&lt;&gt;"",VLOOKUP(J2121,HeadCount!A:I,5,0),"")</f>
        <v/>
      </c>
      <c r="P2121" s="19" t="str">
        <f t="shared" si="68"/>
        <v/>
      </c>
    </row>
    <row r="2122" spans="1:16" x14ac:dyDescent="0.3">
      <c r="A2122" s="19" t="str">
        <f t="shared" si="67"/>
        <v/>
      </c>
      <c r="L2122" s="21" t="str">
        <f>IF(J2122&lt;&gt;"",VLOOKUP(J2122,HeadCount!A:I,5,0),"")</f>
        <v/>
      </c>
      <c r="P2122" s="19" t="str">
        <f t="shared" si="68"/>
        <v/>
      </c>
    </row>
    <row r="2123" spans="1:16" x14ac:dyDescent="0.3">
      <c r="A2123" s="19" t="str">
        <f t="shared" si="67"/>
        <v/>
      </c>
      <c r="L2123" s="21" t="str">
        <f>IF(J2123&lt;&gt;"",VLOOKUP(J2123,HeadCount!A:I,5,0),"")</f>
        <v/>
      </c>
      <c r="P2123" s="19" t="str">
        <f t="shared" si="68"/>
        <v/>
      </c>
    </row>
    <row r="2124" spans="1:16" x14ac:dyDescent="0.3">
      <c r="A2124" s="19" t="str">
        <f t="shared" si="67"/>
        <v/>
      </c>
      <c r="L2124" s="21" t="str">
        <f>IF(J2124&lt;&gt;"",VLOOKUP(J2124,HeadCount!A:I,5,0),"")</f>
        <v/>
      </c>
      <c r="P2124" s="19" t="str">
        <f t="shared" si="68"/>
        <v/>
      </c>
    </row>
    <row r="2125" spans="1:16" x14ac:dyDescent="0.3">
      <c r="A2125" s="19" t="str">
        <f t="shared" si="67"/>
        <v/>
      </c>
      <c r="L2125" s="21" t="str">
        <f>IF(J2125&lt;&gt;"",VLOOKUP(J2125,HeadCount!A:I,5,0),"")</f>
        <v/>
      </c>
      <c r="P2125" s="19" t="str">
        <f t="shared" si="68"/>
        <v/>
      </c>
    </row>
    <row r="2126" spans="1:16" x14ac:dyDescent="0.3">
      <c r="A2126" s="19" t="str">
        <f t="shared" si="67"/>
        <v/>
      </c>
      <c r="L2126" s="21" t="str">
        <f>IF(J2126&lt;&gt;"",VLOOKUP(J2126,HeadCount!A:I,5,0),"")</f>
        <v/>
      </c>
      <c r="P2126" s="19" t="str">
        <f t="shared" si="68"/>
        <v/>
      </c>
    </row>
    <row r="2127" spans="1:16" x14ac:dyDescent="0.3">
      <c r="A2127" s="19" t="str">
        <f t="shared" si="67"/>
        <v/>
      </c>
      <c r="L2127" s="21" t="str">
        <f>IF(J2127&lt;&gt;"",VLOOKUP(J2127,HeadCount!A:I,5,0),"")</f>
        <v/>
      </c>
      <c r="P2127" s="19" t="str">
        <f t="shared" si="68"/>
        <v/>
      </c>
    </row>
    <row r="2128" spans="1:16" x14ac:dyDescent="0.3">
      <c r="A2128" s="19" t="str">
        <f t="shared" si="67"/>
        <v/>
      </c>
      <c r="L2128" s="21" t="str">
        <f>IF(J2128&lt;&gt;"",VLOOKUP(J2128,HeadCount!A:I,5,0),"")</f>
        <v/>
      </c>
      <c r="P2128" s="19" t="str">
        <f t="shared" si="68"/>
        <v/>
      </c>
    </row>
    <row r="2129" spans="1:16" x14ac:dyDescent="0.3">
      <c r="A2129" s="19" t="str">
        <f t="shared" si="67"/>
        <v/>
      </c>
      <c r="L2129" s="21" t="str">
        <f>IF(J2129&lt;&gt;"",VLOOKUP(J2129,HeadCount!A:I,5,0),"")</f>
        <v/>
      </c>
      <c r="P2129" s="19" t="str">
        <f t="shared" si="68"/>
        <v/>
      </c>
    </row>
    <row r="2130" spans="1:16" x14ac:dyDescent="0.3">
      <c r="A2130" s="19" t="str">
        <f t="shared" si="67"/>
        <v/>
      </c>
      <c r="L2130" s="21" t="str">
        <f>IF(J2130&lt;&gt;"",VLOOKUP(J2130,HeadCount!A:I,5,0),"")</f>
        <v/>
      </c>
      <c r="P2130" s="19" t="str">
        <f t="shared" si="68"/>
        <v/>
      </c>
    </row>
    <row r="2131" spans="1:16" x14ac:dyDescent="0.3">
      <c r="A2131" s="19" t="str">
        <f t="shared" si="67"/>
        <v/>
      </c>
      <c r="L2131" s="21" t="str">
        <f>IF(J2131&lt;&gt;"",VLOOKUP(J2131,HeadCount!A:I,5,0),"")</f>
        <v/>
      </c>
      <c r="P2131" s="19" t="str">
        <f t="shared" si="68"/>
        <v/>
      </c>
    </row>
    <row r="2132" spans="1:16" x14ac:dyDescent="0.3">
      <c r="A2132" s="19" t="str">
        <f t="shared" si="67"/>
        <v/>
      </c>
      <c r="L2132" s="21" t="str">
        <f>IF(J2132&lt;&gt;"",VLOOKUP(J2132,HeadCount!A:I,5,0),"")</f>
        <v/>
      </c>
      <c r="P2132" s="19" t="str">
        <f t="shared" si="68"/>
        <v/>
      </c>
    </row>
    <row r="2133" spans="1:16" x14ac:dyDescent="0.3">
      <c r="A2133" s="19" t="str">
        <f t="shared" si="67"/>
        <v/>
      </c>
      <c r="L2133" s="21" t="str">
        <f>IF(J2133&lt;&gt;"",VLOOKUP(J2133,HeadCount!A:I,5,0),"")</f>
        <v/>
      </c>
      <c r="P2133" s="19" t="str">
        <f t="shared" si="68"/>
        <v/>
      </c>
    </row>
    <row r="2134" spans="1:16" x14ac:dyDescent="0.3">
      <c r="A2134" s="19" t="str">
        <f t="shared" si="67"/>
        <v/>
      </c>
      <c r="L2134" s="21" t="str">
        <f>IF(J2134&lt;&gt;"",VLOOKUP(J2134,HeadCount!A:I,5,0),"")</f>
        <v/>
      </c>
      <c r="P2134" s="19" t="str">
        <f t="shared" si="68"/>
        <v/>
      </c>
    </row>
    <row r="2135" spans="1:16" x14ac:dyDescent="0.3">
      <c r="A2135" s="19" t="str">
        <f t="shared" si="67"/>
        <v/>
      </c>
      <c r="L2135" s="21" t="str">
        <f>IF(J2135&lt;&gt;"",VLOOKUP(J2135,HeadCount!A:I,5,0),"")</f>
        <v/>
      </c>
      <c r="P2135" s="19" t="str">
        <f t="shared" si="68"/>
        <v/>
      </c>
    </row>
    <row r="2136" spans="1:16" x14ac:dyDescent="0.3">
      <c r="A2136" s="19" t="str">
        <f t="shared" si="67"/>
        <v/>
      </c>
      <c r="L2136" s="21" t="str">
        <f>IF(J2136&lt;&gt;"",VLOOKUP(J2136,HeadCount!A:I,5,0),"")</f>
        <v/>
      </c>
      <c r="P2136" s="19" t="str">
        <f t="shared" si="68"/>
        <v/>
      </c>
    </row>
    <row r="2137" spans="1:16" x14ac:dyDescent="0.3">
      <c r="A2137" s="19" t="str">
        <f t="shared" si="67"/>
        <v/>
      </c>
      <c r="L2137" s="21" t="str">
        <f>IF(J2137&lt;&gt;"",VLOOKUP(J2137,HeadCount!A:I,5,0),"")</f>
        <v/>
      </c>
      <c r="P2137" s="19" t="str">
        <f t="shared" si="68"/>
        <v/>
      </c>
    </row>
    <row r="2138" spans="1:16" x14ac:dyDescent="0.3">
      <c r="A2138" s="19" t="str">
        <f t="shared" si="67"/>
        <v/>
      </c>
      <c r="L2138" s="21" t="str">
        <f>IF(J2138&lt;&gt;"",VLOOKUP(J2138,HeadCount!A:I,5,0),"")</f>
        <v/>
      </c>
      <c r="P2138" s="19" t="str">
        <f t="shared" si="68"/>
        <v/>
      </c>
    </row>
    <row r="2139" spans="1:16" x14ac:dyDescent="0.3">
      <c r="A2139" s="19" t="str">
        <f t="shared" si="67"/>
        <v/>
      </c>
      <c r="L2139" s="21" t="str">
        <f>IF(J2139&lt;&gt;"",VLOOKUP(J2139,HeadCount!A:I,5,0),"")</f>
        <v/>
      </c>
      <c r="P2139" s="19" t="str">
        <f t="shared" si="68"/>
        <v/>
      </c>
    </row>
    <row r="2140" spans="1:16" x14ac:dyDescent="0.3">
      <c r="A2140" s="19" t="str">
        <f t="shared" si="67"/>
        <v/>
      </c>
      <c r="L2140" s="21" t="str">
        <f>IF(J2140&lt;&gt;"",VLOOKUP(J2140,HeadCount!A:I,5,0),"")</f>
        <v/>
      </c>
      <c r="P2140" s="19" t="str">
        <f t="shared" si="68"/>
        <v/>
      </c>
    </row>
    <row r="2141" spans="1:16" x14ac:dyDescent="0.3">
      <c r="A2141" s="19" t="str">
        <f t="shared" si="67"/>
        <v/>
      </c>
      <c r="L2141" s="21" t="str">
        <f>IF(J2141&lt;&gt;"",VLOOKUP(J2141,HeadCount!A:I,5,0),"")</f>
        <v/>
      </c>
      <c r="P2141" s="19" t="str">
        <f t="shared" si="68"/>
        <v/>
      </c>
    </row>
    <row r="2142" spans="1:16" x14ac:dyDescent="0.3">
      <c r="A2142" s="19" t="str">
        <f t="shared" si="67"/>
        <v/>
      </c>
      <c r="L2142" s="21" t="str">
        <f>IF(J2142&lt;&gt;"",VLOOKUP(J2142,HeadCount!A:I,5,0),"")</f>
        <v/>
      </c>
      <c r="P2142" s="19" t="str">
        <f t="shared" si="68"/>
        <v/>
      </c>
    </row>
    <row r="2143" spans="1:16" x14ac:dyDescent="0.3">
      <c r="A2143" s="19" t="str">
        <f t="shared" si="67"/>
        <v/>
      </c>
      <c r="L2143" s="21" t="str">
        <f>IF(J2143&lt;&gt;"",VLOOKUP(J2143,HeadCount!A:I,5,0),"")</f>
        <v/>
      </c>
      <c r="P2143" s="19" t="str">
        <f t="shared" si="68"/>
        <v/>
      </c>
    </row>
    <row r="2144" spans="1:16" x14ac:dyDescent="0.3">
      <c r="A2144" s="19" t="str">
        <f t="shared" si="67"/>
        <v/>
      </c>
      <c r="L2144" s="21" t="str">
        <f>IF(J2144&lt;&gt;"",VLOOKUP(J2144,HeadCount!A:I,5,0),"")</f>
        <v/>
      </c>
      <c r="P2144" s="19" t="str">
        <f t="shared" si="68"/>
        <v/>
      </c>
    </row>
    <row r="2145" spans="1:16" x14ac:dyDescent="0.3">
      <c r="A2145" s="19" t="str">
        <f t="shared" si="67"/>
        <v/>
      </c>
      <c r="L2145" s="21" t="str">
        <f>IF(J2145&lt;&gt;"",VLOOKUP(J2145,HeadCount!A:I,5,0),"")</f>
        <v/>
      </c>
      <c r="P2145" s="19" t="str">
        <f t="shared" si="68"/>
        <v/>
      </c>
    </row>
    <row r="2146" spans="1:16" x14ac:dyDescent="0.3">
      <c r="A2146" s="19" t="str">
        <f t="shared" si="67"/>
        <v/>
      </c>
      <c r="L2146" s="21" t="str">
        <f>IF(J2146&lt;&gt;"",VLOOKUP(J2146,HeadCount!A:I,5,0),"")</f>
        <v/>
      </c>
      <c r="P2146" s="19" t="str">
        <f t="shared" si="68"/>
        <v/>
      </c>
    </row>
    <row r="2147" spans="1:16" x14ac:dyDescent="0.3">
      <c r="A2147" s="19" t="str">
        <f t="shared" si="67"/>
        <v/>
      </c>
      <c r="L2147" s="21" t="str">
        <f>IF(J2147&lt;&gt;"",VLOOKUP(J2147,HeadCount!A:I,5,0),"")</f>
        <v/>
      </c>
      <c r="P2147" s="19" t="str">
        <f t="shared" si="68"/>
        <v/>
      </c>
    </row>
    <row r="2148" spans="1:16" x14ac:dyDescent="0.3">
      <c r="A2148" s="19" t="str">
        <f t="shared" si="67"/>
        <v/>
      </c>
      <c r="L2148" s="21" t="str">
        <f>IF(J2148&lt;&gt;"",VLOOKUP(J2148,HeadCount!A:I,5,0),"")</f>
        <v/>
      </c>
      <c r="P2148" s="19" t="str">
        <f t="shared" si="68"/>
        <v/>
      </c>
    </row>
    <row r="2149" spans="1:16" x14ac:dyDescent="0.3">
      <c r="A2149" s="19" t="str">
        <f t="shared" si="67"/>
        <v/>
      </c>
      <c r="L2149" s="21" t="str">
        <f>IF(J2149&lt;&gt;"",VLOOKUP(J2149,HeadCount!A:I,5,0),"")</f>
        <v/>
      </c>
      <c r="P2149" s="19" t="str">
        <f t="shared" si="68"/>
        <v/>
      </c>
    </row>
    <row r="2150" spans="1:16" x14ac:dyDescent="0.3">
      <c r="A2150" s="19" t="str">
        <f t="shared" si="67"/>
        <v/>
      </c>
      <c r="L2150" s="21" t="str">
        <f>IF(J2150&lt;&gt;"",VLOOKUP(J2150,HeadCount!A:I,5,0),"")</f>
        <v/>
      </c>
      <c r="P2150" s="19" t="str">
        <f t="shared" si="68"/>
        <v/>
      </c>
    </row>
    <row r="2151" spans="1:16" x14ac:dyDescent="0.3">
      <c r="A2151" s="19" t="str">
        <f t="shared" si="67"/>
        <v/>
      </c>
      <c r="L2151" s="21" t="str">
        <f>IF(J2151&lt;&gt;"",VLOOKUP(J2151,HeadCount!A:I,5,0),"")</f>
        <v/>
      </c>
      <c r="P2151" s="19" t="str">
        <f t="shared" si="68"/>
        <v/>
      </c>
    </row>
    <row r="2152" spans="1:16" x14ac:dyDescent="0.3">
      <c r="A2152" s="19" t="str">
        <f t="shared" si="67"/>
        <v/>
      </c>
      <c r="L2152" s="21" t="str">
        <f>IF(J2152&lt;&gt;"",VLOOKUP(J2152,HeadCount!A:I,5,0),"")</f>
        <v/>
      </c>
      <c r="P2152" s="19" t="str">
        <f t="shared" si="68"/>
        <v/>
      </c>
    </row>
    <row r="2153" spans="1:16" x14ac:dyDescent="0.3">
      <c r="A2153" s="19" t="str">
        <f t="shared" si="67"/>
        <v/>
      </c>
      <c r="L2153" s="21" t="str">
        <f>IF(J2153&lt;&gt;"",VLOOKUP(J2153,HeadCount!A:I,5,0),"")</f>
        <v/>
      </c>
      <c r="P2153" s="19" t="str">
        <f t="shared" si="68"/>
        <v/>
      </c>
    </row>
    <row r="2154" spans="1:16" x14ac:dyDescent="0.3">
      <c r="A2154" s="19" t="str">
        <f t="shared" si="67"/>
        <v/>
      </c>
      <c r="L2154" s="21" t="str">
        <f>IF(J2154&lt;&gt;"",VLOOKUP(J2154,HeadCount!A:I,5,0),"")</f>
        <v/>
      </c>
      <c r="P2154" s="19" t="str">
        <f t="shared" si="68"/>
        <v/>
      </c>
    </row>
    <row r="2155" spans="1:16" x14ac:dyDescent="0.3">
      <c r="A2155" s="19" t="str">
        <f t="shared" si="67"/>
        <v/>
      </c>
      <c r="L2155" s="21" t="str">
        <f>IF(J2155&lt;&gt;"",VLOOKUP(J2155,HeadCount!A:I,5,0),"")</f>
        <v/>
      </c>
      <c r="P2155" s="19" t="str">
        <f t="shared" si="68"/>
        <v/>
      </c>
    </row>
    <row r="2156" spans="1:16" x14ac:dyDescent="0.3">
      <c r="A2156" s="19" t="str">
        <f t="shared" si="67"/>
        <v/>
      </c>
      <c r="L2156" s="21" t="str">
        <f>IF(J2156&lt;&gt;"",VLOOKUP(J2156,HeadCount!A:I,5,0),"")</f>
        <v/>
      </c>
      <c r="P2156" s="19" t="str">
        <f t="shared" si="68"/>
        <v/>
      </c>
    </row>
    <row r="2157" spans="1:16" x14ac:dyDescent="0.3">
      <c r="A2157" s="19" t="str">
        <f t="shared" si="67"/>
        <v/>
      </c>
      <c r="L2157" s="21" t="str">
        <f>IF(J2157&lt;&gt;"",VLOOKUP(J2157,HeadCount!A:I,5,0),"")</f>
        <v/>
      </c>
      <c r="P2157" s="19" t="str">
        <f t="shared" si="68"/>
        <v/>
      </c>
    </row>
    <row r="2158" spans="1:16" x14ac:dyDescent="0.3">
      <c r="A2158" s="19" t="str">
        <f t="shared" si="67"/>
        <v/>
      </c>
      <c r="L2158" s="21" t="str">
        <f>IF(J2158&lt;&gt;"",VLOOKUP(J2158,HeadCount!A:I,5,0),"")</f>
        <v/>
      </c>
      <c r="P2158" s="19" t="str">
        <f t="shared" si="68"/>
        <v/>
      </c>
    </row>
    <row r="2159" spans="1:16" x14ac:dyDescent="0.3">
      <c r="A2159" s="19" t="str">
        <f t="shared" si="67"/>
        <v/>
      </c>
      <c r="L2159" s="21" t="str">
        <f>IF(J2159&lt;&gt;"",VLOOKUP(J2159,HeadCount!A:I,5,0),"")</f>
        <v/>
      </c>
      <c r="P2159" s="19" t="str">
        <f t="shared" si="68"/>
        <v/>
      </c>
    </row>
    <row r="2160" spans="1:16" x14ac:dyDescent="0.3">
      <c r="A2160" s="19" t="str">
        <f t="shared" si="67"/>
        <v/>
      </c>
      <c r="L2160" s="21" t="str">
        <f>IF(J2160&lt;&gt;"",VLOOKUP(J2160,HeadCount!A:I,5,0),"")</f>
        <v/>
      </c>
      <c r="P2160" s="19" t="str">
        <f t="shared" si="68"/>
        <v/>
      </c>
    </row>
    <row r="2161" spans="1:16" x14ac:dyDescent="0.3">
      <c r="A2161" s="19" t="str">
        <f t="shared" si="67"/>
        <v/>
      </c>
      <c r="L2161" s="21" t="str">
        <f>IF(J2161&lt;&gt;"",VLOOKUP(J2161,HeadCount!A:I,5,0),"")</f>
        <v/>
      </c>
      <c r="P2161" s="19" t="str">
        <f t="shared" si="68"/>
        <v/>
      </c>
    </row>
    <row r="2162" spans="1:16" x14ac:dyDescent="0.3">
      <c r="A2162" s="19" t="str">
        <f t="shared" si="67"/>
        <v/>
      </c>
      <c r="L2162" s="21" t="str">
        <f>IF(J2162&lt;&gt;"",VLOOKUP(J2162,HeadCount!A:I,5,0),"")</f>
        <v/>
      </c>
      <c r="P2162" s="19" t="str">
        <f t="shared" si="68"/>
        <v/>
      </c>
    </row>
    <row r="2163" spans="1:16" x14ac:dyDescent="0.3">
      <c r="A2163" s="19" t="str">
        <f t="shared" si="67"/>
        <v/>
      </c>
      <c r="L2163" s="21" t="str">
        <f>IF(J2163&lt;&gt;"",VLOOKUP(J2163,HeadCount!A:I,5,0),"")</f>
        <v/>
      </c>
      <c r="P2163" s="19" t="str">
        <f t="shared" si="68"/>
        <v/>
      </c>
    </row>
    <row r="2164" spans="1:16" x14ac:dyDescent="0.3">
      <c r="A2164" s="19" t="str">
        <f t="shared" si="67"/>
        <v/>
      </c>
      <c r="L2164" s="21" t="str">
        <f>IF(J2164&lt;&gt;"",VLOOKUP(J2164,HeadCount!A:I,5,0),"")</f>
        <v/>
      </c>
      <c r="P2164" s="19" t="str">
        <f t="shared" si="68"/>
        <v/>
      </c>
    </row>
    <row r="2165" spans="1:16" x14ac:dyDescent="0.3">
      <c r="A2165" s="19" t="str">
        <f t="shared" si="67"/>
        <v/>
      </c>
      <c r="L2165" s="21" t="str">
        <f>IF(J2165&lt;&gt;"",VLOOKUP(J2165,HeadCount!A:I,5,0),"")</f>
        <v/>
      </c>
      <c r="P2165" s="19" t="str">
        <f t="shared" si="68"/>
        <v/>
      </c>
    </row>
    <row r="2166" spans="1:16" x14ac:dyDescent="0.3">
      <c r="A2166" s="19" t="str">
        <f t="shared" si="67"/>
        <v/>
      </c>
      <c r="L2166" s="21" t="str">
        <f>IF(J2166&lt;&gt;"",VLOOKUP(J2166,HeadCount!A:I,5,0),"")</f>
        <v/>
      </c>
      <c r="P2166" s="19" t="str">
        <f t="shared" si="68"/>
        <v/>
      </c>
    </row>
    <row r="2167" spans="1:16" x14ac:dyDescent="0.3">
      <c r="A2167" s="19" t="str">
        <f t="shared" si="67"/>
        <v/>
      </c>
      <c r="L2167" s="21" t="str">
        <f>IF(J2167&lt;&gt;"",VLOOKUP(J2167,HeadCount!A:I,5,0),"")</f>
        <v/>
      </c>
      <c r="P2167" s="19" t="str">
        <f t="shared" si="68"/>
        <v/>
      </c>
    </row>
    <row r="2168" spans="1:16" x14ac:dyDescent="0.3">
      <c r="A2168" s="19" t="str">
        <f t="shared" si="67"/>
        <v/>
      </c>
      <c r="L2168" s="21" t="str">
        <f>IF(J2168&lt;&gt;"",VLOOKUP(J2168,HeadCount!A:I,5,0),"")</f>
        <v/>
      </c>
      <c r="P2168" s="19" t="str">
        <f t="shared" si="68"/>
        <v/>
      </c>
    </row>
    <row r="2169" spans="1:16" x14ac:dyDescent="0.3">
      <c r="A2169" s="19" t="str">
        <f t="shared" si="67"/>
        <v/>
      </c>
      <c r="L2169" s="21" t="str">
        <f>IF(J2169&lt;&gt;"",VLOOKUP(J2169,HeadCount!A:I,5,0),"")</f>
        <v/>
      </c>
      <c r="P2169" s="19" t="str">
        <f t="shared" si="68"/>
        <v/>
      </c>
    </row>
    <row r="2170" spans="1:16" x14ac:dyDescent="0.3">
      <c r="A2170" s="19" t="str">
        <f t="shared" si="67"/>
        <v/>
      </c>
      <c r="L2170" s="21" t="str">
        <f>IF(J2170&lt;&gt;"",VLOOKUP(J2170,HeadCount!A:I,5,0),"")</f>
        <v/>
      </c>
      <c r="P2170" s="19" t="str">
        <f t="shared" si="68"/>
        <v/>
      </c>
    </row>
    <row r="2171" spans="1:16" x14ac:dyDescent="0.3">
      <c r="A2171" s="19" t="str">
        <f t="shared" si="67"/>
        <v/>
      </c>
      <c r="L2171" s="21" t="str">
        <f>IF(J2171&lt;&gt;"",VLOOKUP(J2171,HeadCount!A:I,5,0),"")</f>
        <v/>
      </c>
      <c r="P2171" s="19" t="str">
        <f t="shared" si="68"/>
        <v/>
      </c>
    </row>
    <row r="2172" spans="1:16" x14ac:dyDescent="0.3">
      <c r="A2172" s="19" t="str">
        <f t="shared" si="67"/>
        <v/>
      </c>
      <c r="L2172" s="21" t="str">
        <f>IF(J2172&lt;&gt;"",VLOOKUP(J2172,HeadCount!A:I,5,0),"")</f>
        <v/>
      </c>
      <c r="P2172" s="19" t="str">
        <f t="shared" si="68"/>
        <v/>
      </c>
    </row>
    <row r="2173" spans="1:16" x14ac:dyDescent="0.3">
      <c r="A2173" s="19" t="str">
        <f t="shared" si="67"/>
        <v/>
      </c>
      <c r="L2173" s="21" t="str">
        <f>IF(J2173&lt;&gt;"",VLOOKUP(J2173,HeadCount!A:I,5,0),"")</f>
        <v/>
      </c>
      <c r="P2173" s="19" t="str">
        <f t="shared" si="68"/>
        <v/>
      </c>
    </row>
    <row r="2174" spans="1:16" x14ac:dyDescent="0.3">
      <c r="A2174" s="19" t="str">
        <f t="shared" si="67"/>
        <v/>
      </c>
      <c r="L2174" s="21" t="str">
        <f>IF(J2174&lt;&gt;"",VLOOKUP(J2174,HeadCount!A:I,5,0),"")</f>
        <v/>
      </c>
      <c r="P2174" s="19" t="str">
        <f t="shared" si="68"/>
        <v/>
      </c>
    </row>
    <row r="2175" spans="1:16" x14ac:dyDescent="0.3">
      <c r="A2175" s="19" t="str">
        <f t="shared" si="67"/>
        <v/>
      </c>
      <c r="L2175" s="21" t="str">
        <f>IF(J2175&lt;&gt;"",VLOOKUP(J2175,HeadCount!A:I,5,0),"")</f>
        <v/>
      </c>
      <c r="P2175" s="19" t="str">
        <f t="shared" si="68"/>
        <v/>
      </c>
    </row>
    <row r="2176" spans="1:16" x14ac:dyDescent="0.3">
      <c r="A2176" s="19" t="str">
        <f t="shared" si="67"/>
        <v/>
      </c>
      <c r="L2176" s="21" t="str">
        <f>IF(J2176&lt;&gt;"",VLOOKUP(J2176,HeadCount!A:I,5,0),"")</f>
        <v/>
      </c>
      <c r="P2176" s="19" t="str">
        <f t="shared" si="68"/>
        <v/>
      </c>
    </row>
    <row r="2177" spans="1:16" x14ac:dyDescent="0.3">
      <c r="A2177" s="19" t="str">
        <f t="shared" si="67"/>
        <v/>
      </c>
      <c r="L2177" s="21" t="str">
        <f>IF(J2177&lt;&gt;"",VLOOKUP(J2177,HeadCount!A:I,5,0),"")</f>
        <v/>
      </c>
      <c r="P2177" s="19" t="str">
        <f t="shared" si="68"/>
        <v/>
      </c>
    </row>
    <row r="2178" spans="1:16" x14ac:dyDescent="0.3">
      <c r="A2178" s="19" t="str">
        <f t="shared" ref="A2178:A2241" si="69">IF(C2178&lt;&gt;"",ROW(A2177),"")</f>
        <v/>
      </c>
      <c r="L2178" s="21" t="str">
        <f>IF(J2178&lt;&gt;"",VLOOKUP(J2178,HeadCount!A:I,5,0),"")</f>
        <v/>
      </c>
      <c r="P2178" s="19" t="str">
        <f t="shared" si="68"/>
        <v/>
      </c>
    </row>
    <row r="2179" spans="1:16" x14ac:dyDescent="0.3">
      <c r="A2179" s="19" t="str">
        <f t="shared" si="69"/>
        <v/>
      </c>
      <c r="L2179" s="21" t="str">
        <f>IF(J2179&lt;&gt;"",VLOOKUP(J2179,HeadCount!A:I,5,0),"")</f>
        <v/>
      </c>
      <c r="P2179" s="19" t="str">
        <f t="shared" ref="P2179:P2242" si="70">IF(N2179="","",(O2179-N2179)+1)</f>
        <v/>
      </c>
    </row>
    <row r="2180" spans="1:16" x14ac:dyDescent="0.3">
      <c r="A2180" s="19" t="str">
        <f t="shared" si="69"/>
        <v/>
      </c>
      <c r="L2180" s="21" t="str">
        <f>IF(J2180&lt;&gt;"",VLOOKUP(J2180,HeadCount!A:I,5,0),"")</f>
        <v/>
      </c>
      <c r="P2180" s="19" t="str">
        <f t="shared" si="70"/>
        <v/>
      </c>
    </row>
    <row r="2181" spans="1:16" x14ac:dyDescent="0.3">
      <c r="A2181" s="19" t="str">
        <f t="shared" si="69"/>
        <v/>
      </c>
      <c r="L2181" s="21" t="str">
        <f>IF(J2181&lt;&gt;"",VLOOKUP(J2181,HeadCount!A:I,5,0),"")</f>
        <v/>
      </c>
      <c r="P2181" s="19" t="str">
        <f t="shared" si="70"/>
        <v/>
      </c>
    </row>
    <row r="2182" spans="1:16" x14ac:dyDescent="0.3">
      <c r="A2182" s="19" t="str">
        <f t="shared" si="69"/>
        <v/>
      </c>
      <c r="L2182" s="21" t="str">
        <f>IF(J2182&lt;&gt;"",VLOOKUP(J2182,HeadCount!A:I,5,0),"")</f>
        <v/>
      </c>
      <c r="P2182" s="19" t="str">
        <f t="shared" si="70"/>
        <v/>
      </c>
    </row>
    <row r="2183" spans="1:16" x14ac:dyDescent="0.3">
      <c r="A2183" s="19" t="str">
        <f t="shared" si="69"/>
        <v/>
      </c>
      <c r="L2183" s="21" t="str">
        <f>IF(J2183&lt;&gt;"",VLOOKUP(J2183,HeadCount!A:I,5,0),"")</f>
        <v/>
      </c>
      <c r="P2183" s="19" t="str">
        <f t="shared" si="70"/>
        <v/>
      </c>
    </row>
    <row r="2184" spans="1:16" x14ac:dyDescent="0.3">
      <c r="A2184" s="19" t="str">
        <f t="shared" si="69"/>
        <v/>
      </c>
      <c r="L2184" s="21" t="str">
        <f>IF(J2184&lt;&gt;"",VLOOKUP(J2184,HeadCount!A:I,5,0),"")</f>
        <v/>
      </c>
      <c r="P2184" s="19" t="str">
        <f t="shared" si="70"/>
        <v/>
      </c>
    </row>
    <row r="2185" spans="1:16" x14ac:dyDescent="0.3">
      <c r="A2185" s="19" t="str">
        <f t="shared" si="69"/>
        <v/>
      </c>
      <c r="L2185" s="21" t="str">
        <f>IF(J2185&lt;&gt;"",VLOOKUP(J2185,HeadCount!A:I,5,0),"")</f>
        <v/>
      </c>
      <c r="P2185" s="19" t="str">
        <f t="shared" si="70"/>
        <v/>
      </c>
    </row>
    <row r="2186" spans="1:16" x14ac:dyDescent="0.3">
      <c r="A2186" s="19" t="str">
        <f t="shared" si="69"/>
        <v/>
      </c>
      <c r="L2186" s="21" t="str">
        <f>IF(J2186&lt;&gt;"",VLOOKUP(J2186,HeadCount!A:I,5,0),"")</f>
        <v/>
      </c>
      <c r="P2186" s="19" t="str">
        <f t="shared" si="70"/>
        <v/>
      </c>
    </row>
    <row r="2187" spans="1:16" x14ac:dyDescent="0.3">
      <c r="A2187" s="19" t="str">
        <f t="shared" si="69"/>
        <v/>
      </c>
      <c r="L2187" s="21" t="str">
        <f>IF(J2187&lt;&gt;"",VLOOKUP(J2187,HeadCount!A:I,5,0),"")</f>
        <v/>
      </c>
      <c r="P2187" s="19" t="str">
        <f t="shared" si="70"/>
        <v/>
      </c>
    </row>
    <row r="2188" spans="1:16" x14ac:dyDescent="0.3">
      <c r="A2188" s="19" t="str">
        <f t="shared" si="69"/>
        <v/>
      </c>
      <c r="L2188" s="21" t="str">
        <f>IF(J2188&lt;&gt;"",VLOOKUP(J2188,HeadCount!A:I,5,0),"")</f>
        <v/>
      </c>
      <c r="P2188" s="19" t="str">
        <f t="shared" si="70"/>
        <v/>
      </c>
    </row>
    <row r="2189" spans="1:16" x14ac:dyDescent="0.3">
      <c r="A2189" s="19" t="str">
        <f t="shared" si="69"/>
        <v/>
      </c>
      <c r="L2189" s="21" t="str">
        <f>IF(J2189&lt;&gt;"",VLOOKUP(J2189,HeadCount!A:I,5,0),"")</f>
        <v/>
      </c>
      <c r="P2189" s="19" t="str">
        <f t="shared" si="70"/>
        <v/>
      </c>
    </row>
    <row r="2190" spans="1:16" x14ac:dyDescent="0.3">
      <c r="A2190" s="19" t="str">
        <f t="shared" si="69"/>
        <v/>
      </c>
      <c r="L2190" s="21" t="str">
        <f>IF(J2190&lt;&gt;"",VLOOKUP(J2190,HeadCount!A:I,5,0),"")</f>
        <v/>
      </c>
      <c r="P2190" s="19" t="str">
        <f t="shared" si="70"/>
        <v/>
      </c>
    </row>
    <row r="2191" spans="1:16" x14ac:dyDescent="0.3">
      <c r="A2191" s="19" t="str">
        <f t="shared" si="69"/>
        <v/>
      </c>
      <c r="L2191" s="21" t="str">
        <f>IF(J2191&lt;&gt;"",VLOOKUP(J2191,HeadCount!A:I,5,0),"")</f>
        <v/>
      </c>
      <c r="P2191" s="19" t="str">
        <f t="shared" si="70"/>
        <v/>
      </c>
    </row>
    <row r="2192" spans="1:16" x14ac:dyDescent="0.3">
      <c r="A2192" s="19" t="str">
        <f t="shared" si="69"/>
        <v/>
      </c>
      <c r="L2192" s="21" t="str">
        <f>IF(J2192&lt;&gt;"",VLOOKUP(J2192,HeadCount!A:I,5,0),"")</f>
        <v/>
      </c>
      <c r="P2192" s="19" t="str">
        <f t="shared" si="70"/>
        <v/>
      </c>
    </row>
    <row r="2193" spans="1:16" x14ac:dyDescent="0.3">
      <c r="A2193" s="19" t="str">
        <f t="shared" si="69"/>
        <v/>
      </c>
      <c r="L2193" s="21" t="str">
        <f>IF(J2193&lt;&gt;"",VLOOKUP(J2193,HeadCount!A:I,5,0),"")</f>
        <v/>
      </c>
      <c r="P2193" s="19" t="str">
        <f t="shared" si="70"/>
        <v/>
      </c>
    </row>
    <row r="2194" spans="1:16" x14ac:dyDescent="0.3">
      <c r="A2194" s="19" t="str">
        <f t="shared" si="69"/>
        <v/>
      </c>
      <c r="L2194" s="21" t="str">
        <f>IF(J2194&lt;&gt;"",VLOOKUP(J2194,HeadCount!A:I,5,0),"")</f>
        <v/>
      </c>
      <c r="P2194" s="19" t="str">
        <f t="shared" si="70"/>
        <v/>
      </c>
    </row>
    <row r="2195" spans="1:16" x14ac:dyDescent="0.3">
      <c r="A2195" s="19" t="str">
        <f t="shared" si="69"/>
        <v/>
      </c>
      <c r="L2195" s="21" t="str">
        <f>IF(J2195&lt;&gt;"",VLOOKUP(J2195,HeadCount!A:I,5,0),"")</f>
        <v/>
      </c>
      <c r="P2195" s="19" t="str">
        <f t="shared" si="70"/>
        <v/>
      </c>
    </row>
    <row r="2196" spans="1:16" x14ac:dyDescent="0.3">
      <c r="A2196" s="19" t="str">
        <f t="shared" si="69"/>
        <v/>
      </c>
      <c r="L2196" s="21" t="str">
        <f>IF(J2196&lt;&gt;"",VLOOKUP(J2196,HeadCount!A:I,5,0),"")</f>
        <v/>
      </c>
      <c r="P2196" s="19" t="str">
        <f t="shared" si="70"/>
        <v/>
      </c>
    </row>
    <row r="2197" spans="1:16" x14ac:dyDescent="0.3">
      <c r="A2197" s="19" t="str">
        <f t="shared" si="69"/>
        <v/>
      </c>
      <c r="L2197" s="21" t="str">
        <f>IF(J2197&lt;&gt;"",VLOOKUP(J2197,HeadCount!A:I,5,0),"")</f>
        <v/>
      </c>
      <c r="P2197" s="19" t="str">
        <f t="shared" si="70"/>
        <v/>
      </c>
    </row>
    <row r="2198" spans="1:16" x14ac:dyDescent="0.3">
      <c r="A2198" s="19" t="str">
        <f t="shared" si="69"/>
        <v/>
      </c>
      <c r="L2198" s="21" t="str">
        <f>IF(J2198&lt;&gt;"",VLOOKUP(J2198,HeadCount!A:I,5,0),"")</f>
        <v/>
      </c>
      <c r="P2198" s="19" t="str">
        <f t="shared" si="70"/>
        <v/>
      </c>
    </row>
    <row r="2199" spans="1:16" x14ac:dyDescent="0.3">
      <c r="A2199" s="19" t="str">
        <f t="shared" si="69"/>
        <v/>
      </c>
      <c r="L2199" s="21" t="str">
        <f>IF(J2199&lt;&gt;"",VLOOKUP(J2199,HeadCount!A:I,5,0),"")</f>
        <v/>
      </c>
      <c r="P2199" s="19" t="str">
        <f t="shared" si="70"/>
        <v/>
      </c>
    </row>
    <row r="2200" spans="1:16" x14ac:dyDescent="0.3">
      <c r="A2200" s="19" t="str">
        <f t="shared" si="69"/>
        <v/>
      </c>
      <c r="L2200" s="21" t="str">
        <f>IF(J2200&lt;&gt;"",VLOOKUP(J2200,HeadCount!A:I,5,0),"")</f>
        <v/>
      </c>
      <c r="P2200" s="19" t="str">
        <f t="shared" si="70"/>
        <v/>
      </c>
    </row>
    <row r="2201" spans="1:16" x14ac:dyDescent="0.3">
      <c r="A2201" s="19" t="str">
        <f t="shared" si="69"/>
        <v/>
      </c>
      <c r="L2201" s="21" t="str">
        <f>IF(J2201&lt;&gt;"",VLOOKUP(J2201,HeadCount!A:I,5,0),"")</f>
        <v/>
      </c>
      <c r="P2201" s="19" t="str">
        <f t="shared" si="70"/>
        <v/>
      </c>
    </row>
    <row r="2202" spans="1:16" x14ac:dyDescent="0.3">
      <c r="A2202" s="19" t="str">
        <f t="shared" si="69"/>
        <v/>
      </c>
      <c r="L2202" s="21" t="str">
        <f>IF(J2202&lt;&gt;"",VLOOKUP(J2202,HeadCount!A:I,5,0),"")</f>
        <v/>
      </c>
      <c r="P2202" s="19" t="str">
        <f t="shared" si="70"/>
        <v/>
      </c>
    </row>
    <row r="2203" spans="1:16" x14ac:dyDescent="0.3">
      <c r="A2203" s="19" t="str">
        <f t="shared" si="69"/>
        <v/>
      </c>
      <c r="L2203" s="21" t="str">
        <f>IF(J2203&lt;&gt;"",VLOOKUP(J2203,HeadCount!A:I,5,0),"")</f>
        <v/>
      </c>
      <c r="P2203" s="19" t="str">
        <f t="shared" si="70"/>
        <v/>
      </c>
    </row>
    <row r="2204" spans="1:16" x14ac:dyDescent="0.3">
      <c r="A2204" s="19" t="str">
        <f t="shared" si="69"/>
        <v/>
      </c>
      <c r="L2204" s="21" t="str">
        <f>IF(J2204&lt;&gt;"",VLOOKUP(J2204,HeadCount!A:I,5,0),"")</f>
        <v/>
      </c>
      <c r="P2204" s="19" t="str">
        <f t="shared" si="70"/>
        <v/>
      </c>
    </row>
    <row r="2205" spans="1:16" x14ac:dyDescent="0.3">
      <c r="A2205" s="19" t="str">
        <f t="shared" si="69"/>
        <v/>
      </c>
      <c r="L2205" s="21" t="str">
        <f>IF(J2205&lt;&gt;"",VLOOKUP(J2205,HeadCount!A:I,5,0),"")</f>
        <v/>
      </c>
      <c r="P2205" s="19" t="str">
        <f t="shared" si="70"/>
        <v/>
      </c>
    </row>
    <row r="2206" spans="1:16" x14ac:dyDescent="0.3">
      <c r="A2206" s="19" t="str">
        <f t="shared" si="69"/>
        <v/>
      </c>
      <c r="L2206" s="21" t="str">
        <f>IF(J2206&lt;&gt;"",VLOOKUP(J2206,HeadCount!A:I,5,0),"")</f>
        <v/>
      </c>
      <c r="P2206" s="19" t="str">
        <f t="shared" si="70"/>
        <v/>
      </c>
    </row>
    <row r="2207" spans="1:16" x14ac:dyDescent="0.3">
      <c r="A2207" s="19" t="str">
        <f t="shared" si="69"/>
        <v/>
      </c>
      <c r="L2207" s="21" t="str">
        <f>IF(J2207&lt;&gt;"",VLOOKUP(J2207,HeadCount!A:I,5,0),"")</f>
        <v/>
      </c>
      <c r="P2207" s="19" t="str">
        <f t="shared" si="70"/>
        <v/>
      </c>
    </row>
    <row r="2208" spans="1:16" x14ac:dyDescent="0.3">
      <c r="A2208" s="19" t="str">
        <f t="shared" si="69"/>
        <v/>
      </c>
      <c r="L2208" s="21" t="str">
        <f>IF(J2208&lt;&gt;"",VLOOKUP(J2208,HeadCount!A:I,5,0),"")</f>
        <v/>
      </c>
      <c r="P2208" s="19" t="str">
        <f t="shared" si="70"/>
        <v/>
      </c>
    </row>
    <row r="2209" spans="1:16" x14ac:dyDescent="0.3">
      <c r="A2209" s="19" t="str">
        <f t="shared" si="69"/>
        <v/>
      </c>
      <c r="L2209" s="21" t="str">
        <f>IF(J2209&lt;&gt;"",VLOOKUP(J2209,HeadCount!A:I,5,0),"")</f>
        <v/>
      </c>
      <c r="P2209" s="19" t="str">
        <f t="shared" si="70"/>
        <v/>
      </c>
    </row>
    <row r="2210" spans="1:16" x14ac:dyDescent="0.3">
      <c r="A2210" s="19" t="str">
        <f t="shared" si="69"/>
        <v/>
      </c>
      <c r="L2210" s="21" t="str">
        <f>IF(J2210&lt;&gt;"",VLOOKUP(J2210,HeadCount!A:I,5,0),"")</f>
        <v/>
      </c>
      <c r="P2210" s="19" t="str">
        <f t="shared" si="70"/>
        <v/>
      </c>
    </row>
    <row r="2211" spans="1:16" x14ac:dyDescent="0.3">
      <c r="A2211" s="19" t="str">
        <f t="shared" si="69"/>
        <v/>
      </c>
      <c r="L2211" s="21" t="str">
        <f>IF(J2211&lt;&gt;"",VLOOKUP(J2211,HeadCount!A:I,5,0),"")</f>
        <v/>
      </c>
      <c r="P2211" s="19" t="str">
        <f t="shared" si="70"/>
        <v/>
      </c>
    </row>
    <row r="2212" spans="1:16" x14ac:dyDescent="0.3">
      <c r="A2212" s="19" t="str">
        <f t="shared" si="69"/>
        <v/>
      </c>
      <c r="L2212" s="21" t="str">
        <f>IF(J2212&lt;&gt;"",VLOOKUP(J2212,HeadCount!A:I,5,0),"")</f>
        <v/>
      </c>
      <c r="P2212" s="19" t="str">
        <f t="shared" si="70"/>
        <v/>
      </c>
    </row>
    <row r="2213" spans="1:16" x14ac:dyDescent="0.3">
      <c r="A2213" s="19" t="str">
        <f t="shared" si="69"/>
        <v/>
      </c>
      <c r="L2213" s="21" t="str">
        <f>IF(J2213&lt;&gt;"",VLOOKUP(J2213,HeadCount!A:I,5,0),"")</f>
        <v/>
      </c>
      <c r="P2213" s="19" t="str">
        <f t="shared" si="70"/>
        <v/>
      </c>
    </row>
    <row r="2214" spans="1:16" x14ac:dyDescent="0.3">
      <c r="A2214" s="19" t="str">
        <f t="shared" si="69"/>
        <v/>
      </c>
      <c r="L2214" s="21" t="str">
        <f>IF(J2214&lt;&gt;"",VLOOKUP(J2214,HeadCount!A:I,5,0),"")</f>
        <v/>
      </c>
      <c r="P2214" s="19" t="str">
        <f t="shared" si="70"/>
        <v/>
      </c>
    </row>
    <row r="2215" spans="1:16" x14ac:dyDescent="0.3">
      <c r="A2215" s="19" t="str">
        <f t="shared" si="69"/>
        <v/>
      </c>
      <c r="L2215" s="21" t="str">
        <f>IF(J2215&lt;&gt;"",VLOOKUP(J2215,HeadCount!A:I,5,0),"")</f>
        <v/>
      </c>
      <c r="P2215" s="19" t="str">
        <f t="shared" si="70"/>
        <v/>
      </c>
    </row>
    <row r="2216" spans="1:16" x14ac:dyDescent="0.3">
      <c r="A2216" s="19" t="str">
        <f t="shared" si="69"/>
        <v/>
      </c>
      <c r="L2216" s="21" t="str">
        <f>IF(J2216&lt;&gt;"",VLOOKUP(J2216,HeadCount!A:I,5,0),"")</f>
        <v/>
      </c>
      <c r="P2216" s="19" t="str">
        <f t="shared" si="70"/>
        <v/>
      </c>
    </row>
    <row r="2217" spans="1:16" x14ac:dyDescent="0.3">
      <c r="A2217" s="19" t="str">
        <f t="shared" si="69"/>
        <v/>
      </c>
      <c r="L2217" s="21" t="str">
        <f>IF(J2217&lt;&gt;"",VLOOKUP(J2217,HeadCount!A:I,5,0),"")</f>
        <v/>
      </c>
      <c r="P2217" s="19" t="str">
        <f t="shared" si="70"/>
        <v/>
      </c>
    </row>
    <row r="2218" spans="1:16" x14ac:dyDescent="0.3">
      <c r="A2218" s="19" t="str">
        <f t="shared" si="69"/>
        <v/>
      </c>
      <c r="L2218" s="21" t="str">
        <f>IF(J2218&lt;&gt;"",VLOOKUP(J2218,HeadCount!A:I,5,0),"")</f>
        <v/>
      </c>
      <c r="P2218" s="19" t="str">
        <f t="shared" si="70"/>
        <v/>
      </c>
    </row>
    <row r="2219" spans="1:16" x14ac:dyDescent="0.3">
      <c r="A2219" s="19" t="str">
        <f t="shared" si="69"/>
        <v/>
      </c>
      <c r="L2219" s="21" t="str">
        <f>IF(J2219&lt;&gt;"",VLOOKUP(J2219,HeadCount!A:I,5,0),"")</f>
        <v/>
      </c>
      <c r="P2219" s="19" t="str">
        <f t="shared" si="70"/>
        <v/>
      </c>
    </row>
    <row r="2220" spans="1:16" x14ac:dyDescent="0.3">
      <c r="A2220" s="19" t="str">
        <f t="shared" si="69"/>
        <v/>
      </c>
      <c r="L2220" s="21" t="str">
        <f>IF(J2220&lt;&gt;"",VLOOKUP(J2220,HeadCount!A:I,5,0),"")</f>
        <v/>
      </c>
      <c r="P2220" s="19" t="str">
        <f t="shared" si="70"/>
        <v/>
      </c>
    </row>
    <row r="2221" spans="1:16" x14ac:dyDescent="0.3">
      <c r="A2221" s="19" t="str">
        <f t="shared" si="69"/>
        <v/>
      </c>
      <c r="L2221" s="21" t="str">
        <f>IF(J2221&lt;&gt;"",VLOOKUP(J2221,HeadCount!A:I,5,0),"")</f>
        <v/>
      </c>
      <c r="P2221" s="19" t="str">
        <f t="shared" si="70"/>
        <v/>
      </c>
    </row>
    <row r="2222" spans="1:16" x14ac:dyDescent="0.3">
      <c r="A2222" s="19" t="str">
        <f t="shared" si="69"/>
        <v/>
      </c>
      <c r="L2222" s="21" t="str">
        <f>IF(J2222&lt;&gt;"",VLOOKUP(J2222,HeadCount!A:I,5,0),"")</f>
        <v/>
      </c>
      <c r="P2222" s="19" t="str">
        <f t="shared" si="70"/>
        <v/>
      </c>
    </row>
    <row r="2223" spans="1:16" x14ac:dyDescent="0.3">
      <c r="A2223" s="19" t="str">
        <f t="shared" si="69"/>
        <v/>
      </c>
      <c r="L2223" s="21" t="str">
        <f>IF(J2223&lt;&gt;"",VLOOKUP(J2223,HeadCount!A:I,5,0),"")</f>
        <v/>
      </c>
      <c r="P2223" s="19" t="str">
        <f t="shared" si="70"/>
        <v/>
      </c>
    </row>
    <row r="2224" spans="1:16" x14ac:dyDescent="0.3">
      <c r="A2224" s="19" t="str">
        <f t="shared" si="69"/>
        <v/>
      </c>
      <c r="L2224" s="21" t="str">
        <f>IF(J2224&lt;&gt;"",VLOOKUP(J2224,HeadCount!A:I,5,0),"")</f>
        <v/>
      </c>
      <c r="P2224" s="19" t="str">
        <f t="shared" si="70"/>
        <v/>
      </c>
    </row>
    <row r="2225" spans="1:16" x14ac:dyDescent="0.3">
      <c r="A2225" s="19" t="str">
        <f t="shared" si="69"/>
        <v/>
      </c>
      <c r="L2225" s="21" t="str">
        <f>IF(J2225&lt;&gt;"",VLOOKUP(J2225,HeadCount!A:I,5,0),"")</f>
        <v/>
      </c>
      <c r="P2225" s="19" t="str">
        <f t="shared" si="70"/>
        <v/>
      </c>
    </row>
    <row r="2226" spans="1:16" x14ac:dyDescent="0.3">
      <c r="A2226" s="19" t="str">
        <f t="shared" si="69"/>
        <v/>
      </c>
      <c r="L2226" s="21" t="str">
        <f>IF(J2226&lt;&gt;"",VLOOKUP(J2226,HeadCount!A:I,5,0),"")</f>
        <v/>
      </c>
      <c r="P2226" s="19" t="str">
        <f t="shared" si="70"/>
        <v/>
      </c>
    </row>
    <row r="2227" spans="1:16" x14ac:dyDescent="0.3">
      <c r="A2227" s="19" t="str">
        <f t="shared" si="69"/>
        <v/>
      </c>
      <c r="L2227" s="21" t="str">
        <f>IF(J2227&lt;&gt;"",VLOOKUP(J2227,HeadCount!A:I,5,0),"")</f>
        <v/>
      </c>
      <c r="P2227" s="19" t="str">
        <f t="shared" si="70"/>
        <v/>
      </c>
    </row>
    <row r="2228" spans="1:16" x14ac:dyDescent="0.3">
      <c r="A2228" s="19" t="str">
        <f t="shared" si="69"/>
        <v/>
      </c>
      <c r="L2228" s="21" t="str">
        <f>IF(J2228&lt;&gt;"",VLOOKUP(J2228,HeadCount!A:I,5,0),"")</f>
        <v/>
      </c>
      <c r="P2228" s="19" t="str">
        <f t="shared" si="70"/>
        <v/>
      </c>
    </row>
    <row r="2229" spans="1:16" x14ac:dyDescent="0.3">
      <c r="A2229" s="19" t="str">
        <f t="shared" si="69"/>
        <v/>
      </c>
      <c r="L2229" s="21" t="str">
        <f>IF(J2229&lt;&gt;"",VLOOKUP(J2229,HeadCount!A:I,5,0),"")</f>
        <v/>
      </c>
      <c r="P2229" s="19" t="str">
        <f t="shared" si="70"/>
        <v/>
      </c>
    </row>
    <row r="2230" spans="1:16" x14ac:dyDescent="0.3">
      <c r="A2230" s="19" t="str">
        <f t="shared" si="69"/>
        <v/>
      </c>
      <c r="L2230" s="21" t="str">
        <f>IF(J2230&lt;&gt;"",VLOOKUP(J2230,HeadCount!A:I,5,0),"")</f>
        <v/>
      </c>
      <c r="P2230" s="19" t="str">
        <f t="shared" si="70"/>
        <v/>
      </c>
    </row>
    <row r="2231" spans="1:16" x14ac:dyDescent="0.3">
      <c r="A2231" s="19" t="str">
        <f t="shared" si="69"/>
        <v/>
      </c>
      <c r="L2231" s="21" t="str">
        <f>IF(J2231&lt;&gt;"",VLOOKUP(J2231,HeadCount!A:I,5,0),"")</f>
        <v/>
      </c>
      <c r="P2231" s="19" t="str">
        <f t="shared" si="70"/>
        <v/>
      </c>
    </row>
    <row r="2232" spans="1:16" x14ac:dyDescent="0.3">
      <c r="A2232" s="19" t="str">
        <f t="shared" si="69"/>
        <v/>
      </c>
      <c r="L2232" s="21" t="str">
        <f>IF(J2232&lt;&gt;"",VLOOKUP(J2232,HeadCount!A:I,5,0),"")</f>
        <v/>
      </c>
      <c r="P2232" s="19" t="str">
        <f t="shared" si="70"/>
        <v/>
      </c>
    </row>
    <row r="2233" spans="1:16" x14ac:dyDescent="0.3">
      <c r="A2233" s="19" t="str">
        <f t="shared" si="69"/>
        <v/>
      </c>
      <c r="L2233" s="21" t="str">
        <f>IF(J2233&lt;&gt;"",VLOOKUP(J2233,HeadCount!A:I,5,0),"")</f>
        <v/>
      </c>
      <c r="P2233" s="19" t="str">
        <f t="shared" si="70"/>
        <v/>
      </c>
    </row>
    <row r="2234" spans="1:16" x14ac:dyDescent="0.3">
      <c r="A2234" s="19" t="str">
        <f t="shared" si="69"/>
        <v/>
      </c>
      <c r="L2234" s="21" t="str">
        <f>IF(J2234&lt;&gt;"",VLOOKUP(J2234,HeadCount!A:I,5,0),"")</f>
        <v/>
      </c>
      <c r="P2234" s="19" t="str">
        <f t="shared" si="70"/>
        <v/>
      </c>
    </row>
    <row r="2235" spans="1:16" x14ac:dyDescent="0.3">
      <c r="A2235" s="19" t="str">
        <f t="shared" si="69"/>
        <v/>
      </c>
      <c r="L2235" s="21" t="str">
        <f>IF(J2235&lt;&gt;"",VLOOKUP(J2235,HeadCount!A:I,5,0),"")</f>
        <v/>
      </c>
      <c r="P2235" s="19" t="str">
        <f t="shared" si="70"/>
        <v/>
      </c>
    </row>
    <row r="2236" spans="1:16" x14ac:dyDescent="0.3">
      <c r="A2236" s="19" t="str">
        <f t="shared" si="69"/>
        <v/>
      </c>
      <c r="L2236" s="21" t="str">
        <f>IF(J2236&lt;&gt;"",VLOOKUP(J2236,HeadCount!A:I,5,0),"")</f>
        <v/>
      </c>
      <c r="P2236" s="19" t="str">
        <f t="shared" si="70"/>
        <v/>
      </c>
    </row>
    <row r="2237" spans="1:16" x14ac:dyDescent="0.3">
      <c r="A2237" s="19" t="str">
        <f t="shared" si="69"/>
        <v/>
      </c>
      <c r="L2237" s="21" t="str">
        <f>IF(J2237&lt;&gt;"",VLOOKUP(J2237,HeadCount!A:I,5,0),"")</f>
        <v/>
      </c>
      <c r="P2237" s="19" t="str">
        <f t="shared" si="70"/>
        <v/>
      </c>
    </row>
    <row r="2238" spans="1:16" x14ac:dyDescent="0.3">
      <c r="A2238" s="19" t="str">
        <f t="shared" si="69"/>
        <v/>
      </c>
      <c r="L2238" s="21" t="str">
        <f>IF(J2238&lt;&gt;"",VLOOKUP(J2238,HeadCount!A:I,5,0),"")</f>
        <v/>
      </c>
      <c r="P2238" s="19" t="str">
        <f t="shared" si="70"/>
        <v/>
      </c>
    </row>
    <row r="2239" spans="1:16" x14ac:dyDescent="0.3">
      <c r="A2239" s="19" t="str">
        <f t="shared" si="69"/>
        <v/>
      </c>
      <c r="L2239" s="21" t="str">
        <f>IF(J2239&lt;&gt;"",VLOOKUP(J2239,HeadCount!A:I,5,0),"")</f>
        <v/>
      </c>
      <c r="P2239" s="19" t="str">
        <f t="shared" si="70"/>
        <v/>
      </c>
    </row>
    <row r="2240" spans="1:16" x14ac:dyDescent="0.3">
      <c r="A2240" s="19" t="str">
        <f t="shared" si="69"/>
        <v/>
      </c>
      <c r="L2240" s="21" t="str">
        <f>IF(J2240&lt;&gt;"",VLOOKUP(J2240,HeadCount!A:I,5,0),"")</f>
        <v/>
      </c>
      <c r="P2240" s="19" t="str">
        <f t="shared" si="70"/>
        <v/>
      </c>
    </row>
    <row r="2241" spans="1:16" x14ac:dyDescent="0.3">
      <c r="A2241" s="19" t="str">
        <f t="shared" si="69"/>
        <v/>
      </c>
      <c r="L2241" s="21" t="str">
        <f>IF(J2241&lt;&gt;"",VLOOKUP(J2241,HeadCount!A:I,5,0),"")</f>
        <v/>
      </c>
      <c r="P2241" s="19" t="str">
        <f t="shared" si="70"/>
        <v/>
      </c>
    </row>
    <row r="2242" spans="1:16" x14ac:dyDescent="0.3">
      <c r="A2242" s="19" t="str">
        <f t="shared" ref="A2242:A2305" si="71">IF(C2242&lt;&gt;"",ROW(A2241),"")</f>
        <v/>
      </c>
      <c r="L2242" s="21" t="str">
        <f>IF(J2242&lt;&gt;"",VLOOKUP(J2242,HeadCount!A:I,5,0),"")</f>
        <v/>
      </c>
      <c r="P2242" s="19" t="str">
        <f t="shared" si="70"/>
        <v/>
      </c>
    </row>
    <row r="2243" spans="1:16" x14ac:dyDescent="0.3">
      <c r="A2243" s="19" t="str">
        <f t="shared" si="71"/>
        <v/>
      </c>
      <c r="L2243" s="21" t="str">
        <f>IF(J2243&lt;&gt;"",VLOOKUP(J2243,HeadCount!A:I,5,0),"")</f>
        <v/>
      </c>
      <c r="P2243" s="19" t="str">
        <f t="shared" ref="P2243:P2306" si="72">IF(N2243="","",(O2243-N2243)+1)</f>
        <v/>
      </c>
    </row>
    <row r="2244" spans="1:16" x14ac:dyDescent="0.3">
      <c r="A2244" s="19" t="str">
        <f t="shared" si="71"/>
        <v/>
      </c>
      <c r="L2244" s="21" t="str">
        <f>IF(J2244&lt;&gt;"",VLOOKUP(J2244,HeadCount!A:I,5,0),"")</f>
        <v/>
      </c>
      <c r="P2244" s="19" t="str">
        <f t="shared" si="72"/>
        <v/>
      </c>
    </row>
    <row r="2245" spans="1:16" x14ac:dyDescent="0.3">
      <c r="A2245" s="19" t="str">
        <f t="shared" si="71"/>
        <v/>
      </c>
      <c r="L2245" s="21" t="str">
        <f>IF(J2245&lt;&gt;"",VLOOKUP(J2245,HeadCount!A:I,5,0),"")</f>
        <v/>
      </c>
      <c r="P2245" s="19" t="str">
        <f t="shared" si="72"/>
        <v/>
      </c>
    </row>
    <row r="2246" spans="1:16" x14ac:dyDescent="0.3">
      <c r="A2246" s="19" t="str">
        <f t="shared" si="71"/>
        <v/>
      </c>
      <c r="L2246" s="21" t="str">
        <f>IF(J2246&lt;&gt;"",VLOOKUP(J2246,HeadCount!A:I,5,0),"")</f>
        <v/>
      </c>
      <c r="P2246" s="19" t="str">
        <f t="shared" si="72"/>
        <v/>
      </c>
    </row>
    <row r="2247" spans="1:16" x14ac:dyDescent="0.3">
      <c r="A2247" s="19" t="str">
        <f t="shared" si="71"/>
        <v/>
      </c>
      <c r="L2247" s="21" t="str">
        <f>IF(J2247&lt;&gt;"",VLOOKUP(J2247,HeadCount!A:I,5,0),"")</f>
        <v/>
      </c>
      <c r="P2247" s="19" t="str">
        <f t="shared" si="72"/>
        <v/>
      </c>
    </row>
    <row r="2248" spans="1:16" x14ac:dyDescent="0.3">
      <c r="A2248" s="19" t="str">
        <f t="shared" si="71"/>
        <v/>
      </c>
      <c r="L2248" s="21" t="str">
        <f>IF(J2248&lt;&gt;"",VLOOKUP(J2248,HeadCount!A:I,5,0),"")</f>
        <v/>
      </c>
      <c r="P2248" s="19" t="str">
        <f t="shared" si="72"/>
        <v/>
      </c>
    </row>
    <row r="2249" spans="1:16" x14ac:dyDescent="0.3">
      <c r="A2249" s="19" t="str">
        <f t="shared" si="71"/>
        <v/>
      </c>
      <c r="L2249" s="21" t="str">
        <f>IF(J2249&lt;&gt;"",VLOOKUP(J2249,HeadCount!A:I,5,0),"")</f>
        <v/>
      </c>
      <c r="P2249" s="19" t="str">
        <f t="shared" si="72"/>
        <v/>
      </c>
    </row>
    <row r="2250" spans="1:16" x14ac:dyDescent="0.3">
      <c r="A2250" s="19" t="str">
        <f t="shared" si="71"/>
        <v/>
      </c>
      <c r="L2250" s="21" t="str">
        <f>IF(J2250&lt;&gt;"",VLOOKUP(J2250,HeadCount!A:I,5,0),"")</f>
        <v/>
      </c>
      <c r="P2250" s="19" t="str">
        <f t="shared" si="72"/>
        <v/>
      </c>
    </row>
    <row r="2251" spans="1:16" x14ac:dyDescent="0.3">
      <c r="A2251" s="19" t="str">
        <f t="shared" si="71"/>
        <v/>
      </c>
      <c r="L2251" s="21" t="str">
        <f>IF(J2251&lt;&gt;"",VLOOKUP(J2251,HeadCount!A:I,5,0),"")</f>
        <v/>
      </c>
      <c r="P2251" s="19" t="str">
        <f t="shared" si="72"/>
        <v/>
      </c>
    </row>
    <row r="2252" spans="1:16" x14ac:dyDescent="0.3">
      <c r="A2252" s="19" t="str">
        <f t="shared" si="71"/>
        <v/>
      </c>
      <c r="L2252" s="21" t="str">
        <f>IF(J2252&lt;&gt;"",VLOOKUP(J2252,HeadCount!A:I,5,0),"")</f>
        <v/>
      </c>
      <c r="P2252" s="19" t="str">
        <f t="shared" si="72"/>
        <v/>
      </c>
    </row>
    <row r="2253" spans="1:16" x14ac:dyDescent="0.3">
      <c r="A2253" s="19" t="str">
        <f t="shared" si="71"/>
        <v/>
      </c>
      <c r="L2253" s="21" t="str">
        <f>IF(J2253&lt;&gt;"",VLOOKUP(J2253,HeadCount!A:I,5,0),"")</f>
        <v/>
      </c>
      <c r="P2253" s="19" t="str">
        <f t="shared" si="72"/>
        <v/>
      </c>
    </row>
    <row r="2254" spans="1:16" x14ac:dyDescent="0.3">
      <c r="A2254" s="19" t="str">
        <f t="shared" si="71"/>
        <v/>
      </c>
      <c r="L2254" s="21" t="str">
        <f>IF(J2254&lt;&gt;"",VLOOKUP(J2254,HeadCount!A:I,5,0),"")</f>
        <v/>
      </c>
      <c r="P2254" s="19" t="str">
        <f t="shared" si="72"/>
        <v/>
      </c>
    </row>
    <row r="2255" spans="1:16" x14ac:dyDescent="0.3">
      <c r="A2255" s="19" t="str">
        <f t="shared" si="71"/>
        <v/>
      </c>
      <c r="L2255" s="21" t="str">
        <f>IF(J2255&lt;&gt;"",VLOOKUP(J2255,HeadCount!A:I,5,0),"")</f>
        <v/>
      </c>
      <c r="P2255" s="19" t="str">
        <f t="shared" si="72"/>
        <v/>
      </c>
    </row>
    <row r="2256" spans="1:16" x14ac:dyDescent="0.3">
      <c r="A2256" s="19" t="str">
        <f t="shared" si="71"/>
        <v/>
      </c>
      <c r="L2256" s="21" t="str">
        <f>IF(J2256&lt;&gt;"",VLOOKUP(J2256,HeadCount!A:I,5,0),"")</f>
        <v/>
      </c>
      <c r="P2256" s="19" t="str">
        <f t="shared" si="72"/>
        <v/>
      </c>
    </row>
    <row r="2257" spans="1:16" x14ac:dyDescent="0.3">
      <c r="A2257" s="19" t="str">
        <f t="shared" si="71"/>
        <v/>
      </c>
      <c r="L2257" s="21" t="str">
        <f>IF(J2257&lt;&gt;"",VLOOKUP(J2257,HeadCount!A:I,5,0),"")</f>
        <v/>
      </c>
      <c r="P2257" s="19" t="str">
        <f t="shared" si="72"/>
        <v/>
      </c>
    </row>
    <row r="2258" spans="1:16" x14ac:dyDescent="0.3">
      <c r="A2258" s="19" t="str">
        <f t="shared" si="71"/>
        <v/>
      </c>
      <c r="L2258" s="21" t="str">
        <f>IF(J2258&lt;&gt;"",VLOOKUP(J2258,HeadCount!A:I,5,0),"")</f>
        <v/>
      </c>
      <c r="P2258" s="19" t="str">
        <f t="shared" si="72"/>
        <v/>
      </c>
    </row>
    <row r="2259" spans="1:16" x14ac:dyDescent="0.3">
      <c r="A2259" s="19" t="str">
        <f t="shared" si="71"/>
        <v/>
      </c>
      <c r="L2259" s="21" t="str">
        <f>IF(J2259&lt;&gt;"",VLOOKUP(J2259,HeadCount!A:I,5,0),"")</f>
        <v/>
      </c>
      <c r="P2259" s="19" t="str">
        <f t="shared" si="72"/>
        <v/>
      </c>
    </row>
    <row r="2260" spans="1:16" x14ac:dyDescent="0.3">
      <c r="A2260" s="19" t="str">
        <f t="shared" si="71"/>
        <v/>
      </c>
      <c r="L2260" s="21" t="str">
        <f>IF(J2260&lt;&gt;"",VLOOKUP(J2260,HeadCount!A:I,5,0),"")</f>
        <v/>
      </c>
      <c r="P2260" s="19" t="str">
        <f t="shared" si="72"/>
        <v/>
      </c>
    </row>
    <row r="2261" spans="1:16" x14ac:dyDescent="0.3">
      <c r="A2261" s="19" t="str">
        <f t="shared" si="71"/>
        <v/>
      </c>
      <c r="L2261" s="21" t="str">
        <f>IF(J2261&lt;&gt;"",VLOOKUP(J2261,HeadCount!A:I,5,0),"")</f>
        <v/>
      </c>
      <c r="P2261" s="19" t="str">
        <f t="shared" si="72"/>
        <v/>
      </c>
    </row>
    <row r="2262" spans="1:16" x14ac:dyDescent="0.3">
      <c r="A2262" s="19" t="str">
        <f t="shared" si="71"/>
        <v/>
      </c>
      <c r="L2262" s="21" t="str">
        <f>IF(J2262&lt;&gt;"",VLOOKUP(J2262,HeadCount!A:I,5,0),"")</f>
        <v/>
      </c>
      <c r="P2262" s="19" t="str">
        <f t="shared" si="72"/>
        <v/>
      </c>
    </row>
    <row r="2263" spans="1:16" x14ac:dyDescent="0.3">
      <c r="A2263" s="19" t="str">
        <f t="shared" si="71"/>
        <v/>
      </c>
      <c r="L2263" s="21" t="str">
        <f>IF(J2263&lt;&gt;"",VLOOKUP(J2263,HeadCount!A:I,5,0),"")</f>
        <v/>
      </c>
      <c r="P2263" s="19" t="str">
        <f t="shared" si="72"/>
        <v/>
      </c>
    </row>
    <row r="2264" spans="1:16" x14ac:dyDescent="0.3">
      <c r="A2264" s="19" t="str">
        <f t="shared" si="71"/>
        <v/>
      </c>
      <c r="L2264" s="21" t="str">
        <f>IF(J2264&lt;&gt;"",VLOOKUP(J2264,HeadCount!A:I,5,0),"")</f>
        <v/>
      </c>
      <c r="P2264" s="19" t="str">
        <f t="shared" si="72"/>
        <v/>
      </c>
    </row>
    <row r="2265" spans="1:16" x14ac:dyDescent="0.3">
      <c r="A2265" s="19" t="str">
        <f t="shared" si="71"/>
        <v/>
      </c>
      <c r="L2265" s="21" t="str">
        <f>IF(J2265&lt;&gt;"",VLOOKUP(J2265,HeadCount!A:I,5,0),"")</f>
        <v/>
      </c>
      <c r="P2265" s="19" t="str">
        <f t="shared" si="72"/>
        <v/>
      </c>
    </row>
    <row r="2266" spans="1:16" x14ac:dyDescent="0.3">
      <c r="A2266" s="19" t="str">
        <f t="shared" si="71"/>
        <v/>
      </c>
      <c r="L2266" s="21" t="str">
        <f>IF(J2266&lt;&gt;"",VLOOKUP(J2266,HeadCount!A:I,5,0),"")</f>
        <v/>
      </c>
      <c r="P2266" s="19" t="str">
        <f t="shared" si="72"/>
        <v/>
      </c>
    </row>
    <row r="2267" spans="1:16" x14ac:dyDescent="0.3">
      <c r="A2267" s="19" t="str">
        <f t="shared" si="71"/>
        <v/>
      </c>
      <c r="L2267" s="21" t="str">
        <f>IF(J2267&lt;&gt;"",VLOOKUP(J2267,HeadCount!A:I,5,0),"")</f>
        <v/>
      </c>
      <c r="P2267" s="19" t="str">
        <f t="shared" si="72"/>
        <v/>
      </c>
    </row>
    <row r="2268" spans="1:16" x14ac:dyDescent="0.3">
      <c r="A2268" s="19" t="str">
        <f t="shared" si="71"/>
        <v/>
      </c>
      <c r="L2268" s="21" t="str">
        <f>IF(J2268&lt;&gt;"",VLOOKUP(J2268,HeadCount!A:I,5,0),"")</f>
        <v/>
      </c>
      <c r="P2268" s="19" t="str">
        <f t="shared" si="72"/>
        <v/>
      </c>
    </row>
    <row r="2269" spans="1:16" x14ac:dyDescent="0.3">
      <c r="A2269" s="19" t="str">
        <f t="shared" si="71"/>
        <v/>
      </c>
      <c r="L2269" s="21" t="str">
        <f>IF(J2269&lt;&gt;"",VLOOKUP(J2269,HeadCount!A:I,5,0),"")</f>
        <v/>
      </c>
      <c r="P2269" s="19" t="str">
        <f t="shared" si="72"/>
        <v/>
      </c>
    </row>
    <row r="2270" spans="1:16" x14ac:dyDescent="0.3">
      <c r="A2270" s="19" t="str">
        <f t="shared" si="71"/>
        <v/>
      </c>
      <c r="L2270" s="21" t="str">
        <f>IF(J2270&lt;&gt;"",VLOOKUP(J2270,HeadCount!A:I,5,0),"")</f>
        <v/>
      </c>
      <c r="P2270" s="19" t="str">
        <f t="shared" si="72"/>
        <v/>
      </c>
    </row>
    <row r="2271" spans="1:16" x14ac:dyDescent="0.3">
      <c r="A2271" s="19" t="str">
        <f t="shared" si="71"/>
        <v/>
      </c>
      <c r="L2271" s="21" t="str">
        <f>IF(J2271&lt;&gt;"",VLOOKUP(J2271,HeadCount!A:I,5,0),"")</f>
        <v/>
      </c>
      <c r="P2271" s="19" t="str">
        <f t="shared" si="72"/>
        <v/>
      </c>
    </row>
    <row r="2272" spans="1:16" x14ac:dyDescent="0.3">
      <c r="A2272" s="19" t="str">
        <f t="shared" si="71"/>
        <v/>
      </c>
      <c r="L2272" s="21" t="str">
        <f>IF(J2272&lt;&gt;"",VLOOKUP(J2272,HeadCount!A:I,5,0),"")</f>
        <v/>
      </c>
      <c r="P2272" s="19" t="str">
        <f t="shared" si="72"/>
        <v/>
      </c>
    </row>
    <row r="2273" spans="1:16" x14ac:dyDescent="0.3">
      <c r="A2273" s="19" t="str">
        <f t="shared" si="71"/>
        <v/>
      </c>
      <c r="L2273" s="21" t="str">
        <f>IF(J2273&lt;&gt;"",VLOOKUP(J2273,HeadCount!A:I,5,0),"")</f>
        <v/>
      </c>
      <c r="P2273" s="19" t="str">
        <f t="shared" si="72"/>
        <v/>
      </c>
    </row>
    <row r="2274" spans="1:16" x14ac:dyDescent="0.3">
      <c r="A2274" s="19" t="str">
        <f t="shared" si="71"/>
        <v/>
      </c>
      <c r="L2274" s="21" t="str">
        <f>IF(J2274&lt;&gt;"",VLOOKUP(J2274,HeadCount!A:I,5,0),"")</f>
        <v/>
      </c>
      <c r="P2274" s="19" t="str">
        <f t="shared" si="72"/>
        <v/>
      </c>
    </row>
    <row r="2275" spans="1:16" x14ac:dyDescent="0.3">
      <c r="A2275" s="19" t="str">
        <f t="shared" si="71"/>
        <v/>
      </c>
      <c r="L2275" s="21" t="str">
        <f>IF(J2275&lt;&gt;"",VLOOKUP(J2275,HeadCount!A:I,5,0),"")</f>
        <v/>
      </c>
      <c r="P2275" s="19" t="str">
        <f t="shared" si="72"/>
        <v/>
      </c>
    </row>
    <row r="2276" spans="1:16" x14ac:dyDescent="0.3">
      <c r="A2276" s="19" t="str">
        <f t="shared" si="71"/>
        <v/>
      </c>
      <c r="L2276" s="21" t="str">
        <f>IF(J2276&lt;&gt;"",VLOOKUP(J2276,HeadCount!A:I,5,0),"")</f>
        <v/>
      </c>
      <c r="P2276" s="19" t="str">
        <f t="shared" si="72"/>
        <v/>
      </c>
    </row>
    <row r="2277" spans="1:16" x14ac:dyDescent="0.3">
      <c r="A2277" s="19" t="str">
        <f t="shared" si="71"/>
        <v/>
      </c>
      <c r="L2277" s="21" t="str">
        <f>IF(J2277&lt;&gt;"",VLOOKUP(J2277,HeadCount!A:I,5,0),"")</f>
        <v/>
      </c>
      <c r="P2277" s="19" t="str">
        <f t="shared" si="72"/>
        <v/>
      </c>
    </row>
    <row r="2278" spans="1:16" x14ac:dyDescent="0.3">
      <c r="A2278" s="19" t="str">
        <f t="shared" si="71"/>
        <v/>
      </c>
      <c r="L2278" s="21" t="str">
        <f>IF(J2278&lt;&gt;"",VLOOKUP(J2278,HeadCount!A:I,5,0),"")</f>
        <v/>
      </c>
      <c r="P2278" s="19" t="str">
        <f t="shared" si="72"/>
        <v/>
      </c>
    </row>
    <row r="2279" spans="1:16" x14ac:dyDescent="0.3">
      <c r="A2279" s="19" t="str">
        <f t="shared" si="71"/>
        <v/>
      </c>
      <c r="L2279" s="21" t="str">
        <f>IF(J2279&lt;&gt;"",VLOOKUP(J2279,HeadCount!A:I,5,0),"")</f>
        <v/>
      </c>
      <c r="P2279" s="19" t="str">
        <f t="shared" si="72"/>
        <v/>
      </c>
    </row>
    <row r="2280" spans="1:16" x14ac:dyDescent="0.3">
      <c r="A2280" s="19" t="str">
        <f t="shared" si="71"/>
        <v/>
      </c>
      <c r="L2280" s="21" t="str">
        <f>IF(J2280&lt;&gt;"",VLOOKUP(J2280,HeadCount!A:I,5,0),"")</f>
        <v/>
      </c>
      <c r="P2280" s="19" t="str">
        <f t="shared" si="72"/>
        <v/>
      </c>
    </row>
    <row r="2281" spans="1:16" x14ac:dyDescent="0.3">
      <c r="A2281" s="19" t="str">
        <f t="shared" si="71"/>
        <v/>
      </c>
      <c r="L2281" s="21" t="str">
        <f>IF(J2281&lt;&gt;"",VLOOKUP(J2281,HeadCount!A:I,5,0),"")</f>
        <v/>
      </c>
      <c r="P2281" s="19" t="str">
        <f t="shared" si="72"/>
        <v/>
      </c>
    </row>
    <row r="2282" spans="1:16" x14ac:dyDescent="0.3">
      <c r="A2282" s="19" t="str">
        <f t="shared" si="71"/>
        <v/>
      </c>
      <c r="L2282" s="21" t="str">
        <f>IF(J2282&lt;&gt;"",VLOOKUP(J2282,HeadCount!A:I,5,0),"")</f>
        <v/>
      </c>
      <c r="P2282" s="19" t="str">
        <f t="shared" si="72"/>
        <v/>
      </c>
    </row>
    <row r="2283" spans="1:16" x14ac:dyDescent="0.3">
      <c r="A2283" s="19" t="str">
        <f t="shared" si="71"/>
        <v/>
      </c>
      <c r="L2283" s="21" t="str">
        <f>IF(J2283&lt;&gt;"",VLOOKUP(J2283,HeadCount!A:I,5,0),"")</f>
        <v/>
      </c>
      <c r="P2283" s="19" t="str">
        <f t="shared" si="72"/>
        <v/>
      </c>
    </row>
    <row r="2284" spans="1:16" x14ac:dyDescent="0.3">
      <c r="A2284" s="19" t="str">
        <f t="shared" si="71"/>
        <v/>
      </c>
      <c r="L2284" s="21" t="str">
        <f>IF(J2284&lt;&gt;"",VLOOKUP(J2284,HeadCount!A:I,5,0),"")</f>
        <v/>
      </c>
      <c r="P2284" s="19" t="str">
        <f t="shared" si="72"/>
        <v/>
      </c>
    </row>
    <row r="2285" spans="1:16" x14ac:dyDescent="0.3">
      <c r="A2285" s="19" t="str">
        <f t="shared" si="71"/>
        <v/>
      </c>
      <c r="L2285" s="21" t="str">
        <f>IF(J2285&lt;&gt;"",VLOOKUP(J2285,HeadCount!A:I,5,0),"")</f>
        <v/>
      </c>
      <c r="P2285" s="19" t="str">
        <f t="shared" si="72"/>
        <v/>
      </c>
    </row>
    <row r="2286" spans="1:16" x14ac:dyDescent="0.3">
      <c r="A2286" s="19" t="str">
        <f t="shared" si="71"/>
        <v/>
      </c>
      <c r="L2286" s="21" t="str">
        <f>IF(J2286&lt;&gt;"",VLOOKUP(J2286,HeadCount!A:I,5,0),"")</f>
        <v/>
      </c>
      <c r="P2286" s="19" t="str">
        <f t="shared" si="72"/>
        <v/>
      </c>
    </row>
    <row r="2287" spans="1:16" x14ac:dyDescent="0.3">
      <c r="A2287" s="19" t="str">
        <f t="shared" si="71"/>
        <v/>
      </c>
      <c r="L2287" s="21" t="str">
        <f>IF(J2287&lt;&gt;"",VLOOKUP(J2287,HeadCount!A:I,5,0),"")</f>
        <v/>
      </c>
      <c r="P2287" s="19" t="str">
        <f t="shared" si="72"/>
        <v/>
      </c>
    </row>
    <row r="2288" spans="1:16" x14ac:dyDescent="0.3">
      <c r="A2288" s="19" t="str">
        <f t="shared" si="71"/>
        <v/>
      </c>
      <c r="L2288" s="21" t="str">
        <f>IF(J2288&lt;&gt;"",VLOOKUP(J2288,HeadCount!A:I,5,0),"")</f>
        <v/>
      </c>
      <c r="P2288" s="19" t="str">
        <f t="shared" si="72"/>
        <v/>
      </c>
    </row>
    <row r="2289" spans="1:16" x14ac:dyDescent="0.3">
      <c r="A2289" s="19" t="str">
        <f t="shared" si="71"/>
        <v/>
      </c>
      <c r="L2289" s="21" t="str">
        <f>IF(J2289&lt;&gt;"",VLOOKUP(J2289,HeadCount!A:I,5,0),"")</f>
        <v/>
      </c>
      <c r="P2289" s="19" t="str">
        <f t="shared" si="72"/>
        <v/>
      </c>
    </row>
    <row r="2290" spans="1:16" x14ac:dyDescent="0.3">
      <c r="A2290" s="19" t="str">
        <f t="shared" si="71"/>
        <v/>
      </c>
      <c r="L2290" s="21" t="str">
        <f>IF(J2290&lt;&gt;"",VLOOKUP(J2290,HeadCount!A:I,5,0),"")</f>
        <v/>
      </c>
      <c r="P2290" s="19" t="str">
        <f t="shared" si="72"/>
        <v/>
      </c>
    </row>
    <row r="2291" spans="1:16" x14ac:dyDescent="0.3">
      <c r="A2291" s="19" t="str">
        <f t="shared" si="71"/>
        <v/>
      </c>
      <c r="L2291" s="21" t="str">
        <f>IF(J2291&lt;&gt;"",VLOOKUP(J2291,HeadCount!A:I,5,0),"")</f>
        <v/>
      </c>
      <c r="P2291" s="19" t="str">
        <f t="shared" si="72"/>
        <v/>
      </c>
    </row>
    <row r="2292" spans="1:16" x14ac:dyDescent="0.3">
      <c r="A2292" s="19" t="str">
        <f t="shared" si="71"/>
        <v/>
      </c>
      <c r="L2292" s="21" t="str">
        <f>IF(J2292&lt;&gt;"",VLOOKUP(J2292,HeadCount!A:I,5,0),"")</f>
        <v/>
      </c>
      <c r="P2292" s="19" t="str">
        <f t="shared" si="72"/>
        <v/>
      </c>
    </row>
    <row r="2293" spans="1:16" x14ac:dyDescent="0.3">
      <c r="A2293" s="19" t="str">
        <f t="shared" si="71"/>
        <v/>
      </c>
      <c r="L2293" s="21" t="str">
        <f>IF(J2293&lt;&gt;"",VLOOKUP(J2293,HeadCount!A:I,5,0),"")</f>
        <v/>
      </c>
      <c r="P2293" s="19" t="str">
        <f t="shared" si="72"/>
        <v/>
      </c>
    </row>
    <row r="2294" spans="1:16" x14ac:dyDescent="0.3">
      <c r="A2294" s="19" t="str">
        <f t="shared" si="71"/>
        <v/>
      </c>
      <c r="L2294" s="21" t="str">
        <f>IF(J2294&lt;&gt;"",VLOOKUP(J2294,HeadCount!A:I,5,0),"")</f>
        <v/>
      </c>
      <c r="P2294" s="19" t="str">
        <f t="shared" si="72"/>
        <v/>
      </c>
    </row>
    <row r="2295" spans="1:16" x14ac:dyDescent="0.3">
      <c r="A2295" s="19" t="str">
        <f t="shared" si="71"/>
        <v/>
      </c>
      <c r="L2295" s="21" t="str">
        <f>IF(J2295&lt;&gt;"",VLOOKUP(J2295,HeadCount!A:I,5,0),"")</f>
        <v/>
      </c>
      <c r="P2295" s="19" t="str">
        <f t="shared" si="72"/>
        <v/>
      </c>
    </row>
    <row r="2296" spans="1:16" x14ac:dyDescent="0.3">
      <c r="A2296" s="19" t="str">
        <f t="shared" si="71"/>
        <v/>
      </c>
      <c r="L2296" s="21" t="str">
        <f>IF(J2296&lt;&gt;"",VLOOKUP(J2296,HeadCount!A:I,5,0),"")</f>
        <v/>
      </c>
      <c r="P2296" s="19" t="str">
        <f t="shared" si="72"/>
        <v/>
      </c>
    </row>
    <row r="2297" spans="1:16" x14ac:dyDescent="0.3">
      <c r="A2297" s="19" t="str">
        <f t="shared" si="71"/>
        <v/>
      </c>
      <c r="L2297" s="21" t="str">
        <f>IF(J2297&lt;&gt;"",VLOOKUP(J2297,HeadCount!A:I,5,0),"")</f>
        <v/>
      </c>
      <c r="P2297" s="19" t="str">
        <f t="shared" si="72"/>
        <v/>
      </c>
    </row>
    <row r="2298" spans="1:16" x14ac:dyDescent="0.3">
      <c r="A2298" s="19" t="str">
        <f t="shared" si="71"/>
        <v/>
      </c>
      <c r="L2298" s="21" t="str">
        <f>IF(J2298&lt;&gt;"",VLOOKUP(J2298,HeadCount!A:I,5,0),"")</f>
        <v/>
      </c>
      <c r="P2298" s="19" t="str">
        <f t="shared" si="72"/>
        <v/>
      </c>
    </row>
    <row r="2299" spans="1:16" x14ac:dyDescent="0.3">
      <c r="A2299" s="19" t="str">
        <f t="shared" si="71"/>
        <v/>
      </c>
      <c r="L2299" s="21" t="str">
        <f>IF(J2299&lt;&gt;"",VLOOKUP(J2299,HeadCount!A:I,5,0),"")</f>
        <v/>
      </c>
      <c r="P2299" s="19" t="str">
        <f t="shared" si="72"/>
        <v/>
      </c>
    </row>
    <row r="2300" spans="1:16" x14ac:dyDescent="0.3">
      <c r="A2300" s="19" t="str">
        <f t="shared" si="71"/>
        <v/>
      </c>
      <c r="L2300" s="21" t="str">
        <f>IF(J2300&lt;&gt;"",VLOOKUP(J2300,HeadCount!A:I,5,0),"")</f>
        <v/>
      </c>
      <c r="P2300" s="19" t="str">
        <f t="shared" si="72"/>
        <v/>
      </c>
    </row>
    <row r="2301" spans="1:16" x14ac:dyDescent="0.3">
      <c r="A2301" s="19" t="str">
        <f t="shared" si="71"/>
        <v/>
      </c>
      <c r="L2301" s="21" t="str">
        <f>IF(J2301&lt;&gt;"",VLOOKUP(J2301,HeadCount!A:I,5,0),"")</f>
        <v/>
      </c>
      <c r="P2301" s="19" t="str">
        <f t="shared" si="72"/>
        <v/>
      </c>
    </row>
    <row r="2302" spans="1:16" x14ac:dyDescent="0.3">
      <c r="A2302" s="19" t="str">
        <f t="shared" si="71"/>
        <v/>
      </c>
      <c r="L2302" s="21" t="str">
        <f>IF(J2302&lt;&gt;"",VLOOKUP(J2302,HeadCount!A:I,5,0),"")</f>
        <v/>
      </c>
      <c r="P2302" s="19" t="str">
        <f t="shared" si="72"/>
        <v/>
      </c>
    </row>
    <row r="2303" spans="1:16" x14ac:dyDescent="0.3">
      <c r="A2303" s="19" t="str">
        <f t="shared" si="71"/>
        <v/>
      </c>
      <c r="L2303" s="21" t="str">
        <f>IF(J2303&lt;&gt;"",VLOOKUP(J2303,HeadCount!A:I,5,0),"")</f>
        <v/>
      </c>
      <c r="P2303" s="19" t="str">
        <f t="shared" si="72"/>
        <v/>
      </c>
    </row>
    <row r="2304" spans="1:16" x14ac:dyDescent="0.3">
      <c r="A2304" s="19" t="str">
        <f t="shared" si="71"/>
        <v/>
      </c>
      <c r="L2304" s="21" t="str">
        <f>IF(J2304&lt;&gt;"",VLOOKUP(J2304,HeadCount!A:I,5,0),"")</f>
        <v/>
      </c>
      <c r="P2304" s="19" t="str">
        <f t="shared" si="72"/>
        <v/>
      </c>
    </row>
    <row r="2305" spans="1:16" x14ac:dyDescent="0.3">
      <c r="A2305" s="19" t="str">
        <f t="shared" si="71"/>
        <v/>
      </c>
      <c r="L2305" s="21" t="str">
        <f>IF(J2305&lt;&gt;"",VLOOKUP(J2305,HeadCount!A:I,5,0),"")</f>
        <v/>
      </c>
      <c r="P2305" s="19" t="str">
        <f t="shared" si="72"/>
        <v/>
      </c>
    </row>
    <row r="2306" spans="1:16" x14ac:dyDescent="0.3">
      <c r="A2306" s="19" t="str">
        <f t="shared" ref="A2306:A2369" si="73">IF(C2306&lt;&gt;"",ROW(A2305),"")</f>
        <v/>
      </c>
      <c r="L2306" s="21" t="str">
        <f>IF(J2306&lt;&gt;"",VLOOKUP(J2306,HeadCount!A:I,5,0),"")</f>
        <v/>
      </c>
      <c r="P2306" s="19" t="str">
        <f t="shared" si="72"/>
        <v/>
      </c>
    </row>
    <row r="2307" spans="1:16" x14ac:dyDescent="0.3">
      <c r="A2307" s="19" t="str">
        <f t="shared" si="73"/>
        <v/>
      </c>
      <c r="L2307" s="21" t="str">
        <f>IF(J2307&lt;&gt;"",VLOOKUP(J2307,HeadCount!A:I,5,0),"")</f>
        <v/>
      </c>
      <c r="P2307" s="19" t="str">
        <f t="shared" ref="P2307:P2370" si="74">IF(N2307="","",(O2307-N2307)+1)</f>
        <v/>
      </c>
    </row>
    <row r="2308" spans="1:16" x14ac:dyDescent="0.3">
      <c r="A2308" s="19" t="str">
        <f t="shared" si="73"/>
        <v/>
      </c>
      <c r="L2308" s="21" t="str">
        <f>IF(J2308&lt;&gt;"",VLOOKUP(J2308,HeadCount!A:I,5,0),"")</f>
        <v/>
      </c>
      <c r="P2308" s="19" t="str">
        <f t="shared" si="74"/>
        <v/>
      </c>
    </row>
    <row r="2309" spans="1:16" x14ac:dyDescent="0.3">
      <c r="A2309" s="19" t="str">
        <f t="shared" si="73"/>
        <v/>
      </c>
      <c r="L2309" s="21" t="str">
        <f>IF(J2309&lt;&gt;"",VLOOKUP(J2309,HeadCount!A:I,5,0),"")</f>
        <v/>
      </c>
      <c r="P2309" s="19" t="str">
        <f t="shared" si="74"/>
        <v/>
      </c>
    </row>
    <row r="2310" spans="1:16" x14ac:dyDescent="0.3">
      <c r="A2310" s="19" t="str">
        <f t="shared" si="73"/>
        <v/>
      </c>
      <c r="L2310" s="21" t="str">
        <f>IF(J2310&lt;&gt;"",VLOOKUP(J2310,HeadCount!A:I,5,0),"")</f>
        <v/>
      </c>
      <c r="P2310" s="19" t="str">
        <f t="shared" si="74"/>
        <v/>
      </c>
    </row>
    <row r="2311" spans="1:16" x14ac:dyDescent="0.3">
      <c r="A2311" s="19" t="str">
        <f t="shared" si="73"/>
        <v/>
      </c>
      <c r="L2311" s="21" t="str">
        <f>IF(J2311&lt;&gt;"",VLOOKUP(J2311,HeadCount!A:I,5,0),"")</f>
        <v/>
      </c>
      <c r="P2311" s="19" t="str">
        <f t="shared" si="74"/>
        <v/>
      </c>
    </row>
    <row r="2312" spans="1:16" x14ac:dyDescent="0.3">
      <c r="A2312" s="19" t="str">
        <f t="shared" si="73"/>
        <v/>
      </c>
      <c r="L2312" s="21" t="str">
        <f>IF(J2312&lt;&gt;"",VLOOKUP(J2312,HeadCount!A:I,5,0),"")</f>
        <v/>
      </c>
      <c r="P2312" s="19" t="str">
        <f t="shared" si="74"/>
        <v/>
      </c>
    </row>
    <row r="2313" spans="1:16" x14ac:dyDescent="0.3">
      <c r="A2313" s="19" t="str">
        <f t="shared" si="73"/>
        <v/>
      </c>
      <c r="L2313" s="21" t="str">
        <f>IF(J2313&lt;&gt;"",VLOOKUP(J2313,HeadCount!A:I,5,0),"")</f>
        <v/>
      </c>
      <c r="P2313" s="19" t="str">
        <f t="shared" si="74"/>
        <v/>
      </c>
    </row>
    <row r="2314" spans="1:16" x14ac:dyDescent="0.3">
      <c r="A2314" s="19" t="str">
        <f t="shared" si="73"/>
        <v/>
      </c>
      <c r="L2314" s="21" t="str">
        <f>IF(J2314&lt;&gt;"",VLOOKUP(J2314,HeadCount!A:I,5,0),"")</f>
        <v/>
      </c>
      <c r="P2314" s="19" t="str">
        <f t="shared" si="74"/>
        <v/>
      </c>
    </row>
    <row r="2315" spans="1:16" x14ac:dyDescent="0.3">
      <c r="A2315" s="19" t="str">
        <f t="shared" si="73"/>
        <v/>
      </c>
      <c r="L2315" s="21" t="str">
        <f>IF(J2315&lt;&gt;"",VLOOKUP(J2315,HeadCount!A:I,5,0),"")</f>
        <v/>
      </c>
      <c r="P2315" s="19" t="str">
        <f t="shared" si="74"/>
        <v/>
      </c>
    </row>
    <row r="2316" spans="1:16" x14ac:dyDescent="0.3">
      <c r="A2316" s="19" t="str">
        <f t="shared" si="73"/>
        <v/>
      </c>
      <c r="L2316" s="21" t="str">
        <f>IF(J2316&lt;&gt;"",VLOOKUP(J2316,HeadCount!A:I,5,0),"")</f>
        <v/>
      </c>
      <c r="P2316" s="19" t="str">
        <f t="shared" si="74"/>
        <v/>
      </c>
    </row>
    <row r="2317" spans="1:16" x14ac:dyDescent="0.3">
      <c r="A2317" s="19" t="str">
        <f t="shared" si="73"/>
        <v/>
      </c>
      <c r="L2317" s="21" t="str">
        <f>IF(J2317&lt;&gt;"",VLOOKUP(J2317,HeadCount!A:I,5,0),"")</f>
        <v/>
      </c>
      <c r="P2317" s="19" t="str">
        <f t="shared" si="74"/>
        <v/>
      </c>
    </row>
    <row r="2318" spans="1:16" x14ac:dyDescent="0.3">
      <c r="A2318" s="19" t="str">
        <f t="shared" si="73"/>
        <v/>
      </c>
      <c r="L2318" s="21" t="str">
        <f>IF(J2318&lt;&gt;"",VLOOKUP(J2318,HeadCount!A:I,5,0),"")</f>
        <v/>
      </c>
      <c r="P2318" s="19" t="str">
        <f t="shared" si="74"/>
        <v/>
      </c>
    </row>
    <row r="2319" spans="1:16" x14ac:dyDescent="0.3">
      <c r="A2319" s="19" t="str">
        <f t="shared" si="73"/>
        <v/>
      </c>
      <c r="L2319" s="21" t="str">
        <f>IF(J2319&lt;&gt;"",VLOOKUP(J2319,HeadCount!A:I,5,0),"")</f>
        <v/>
      </c>
      <c r="P2319" s="19" t="str">
        <f t="shared" si="74"/>
        <v/>
      </c>
    </row>
    <row r="2320" spans="1:16" x14ac:dyDescent="0.3">
      <c r="A2320" s="19" t="str">
        <f t="shared" si="73"/>
        <v/>
      </c>
      <c r="L2320" s="21" t="str">
        <f>IF(J2320&lt;&gt;"",VLOOKUP(J2320,HeadCount!A:I,5,0),"")</f>
        <v/>
      </c>
      <c r="P2320" s="19" t="str">
        <f t="shared" si="74"/>
        <v/>
      </c>
    </row>
    <row r="2321" spans="1:16" x14ac:dyDescent="0.3">
      <c r="A2321" s="19" t="str">
        <f t="shared" si="73"/>
        <v/>
      </c>
      <c r="L2321" s="21" t="str">
        <f>IF(J2321&lt;&gt;"",VLOOKUP(J2321,HeadCount!A:I,5,0),"")</f>
        <v/>
      </c>
      <c r="P2321" s="19" t="str">
        <f t="shared" si="74"/>
        <v/>
      </c>
    </row>
    <row r="2322" spans="1:16" x14ac:dyDescent="0.3">
      <c r="A2322" s="19" t="str">
        <f t="shared" si="73"/>
        <v/>
      </c>
      <c r="L2322" s="21" t="str">
        <f>IF(J2322&lt;&gt;"",VLOOKUP(J2322,HeadCount!A:I,5,0),"")</f>
        <v/>
      </c>
      <c r="P2322" s="19" t="str">
        <f t="shared" si="74"/>
        <v/>
      </c>
    </row>
    <row r="2323" spans="1:16" x14ac:dyDescent="0.3">
      <c r="A2323" s="19" t="str">
        <f t="shared" si="73"/>
        <v/>
      </c>
      <c r="L2323" s="21" t="str">
        <f>IF(J2323&lt;&gt;"",VLOOKUP(J2323,HeadCount!A:I,5,0),"")</f>
        <v/>
      </c>
      <c r="P2323" s="19" t="str">
        <f t="shared" si="74"/>
        <v/>
      </c>
    </row>
    <row r="2324" spans="1:16" x14ac:dyDescent="0.3">
      <c r="A2324" s="19" t="str">
        <f t="shared" si="73"/>
        <v/>
      </c>
      <c r="L2324" s="21" t="str">
        <f>IF(J2324&lt;&gt;"",VLOOKUP(J2324,HeadCount!A:I,5,0),"")</f>
        <v/>
      </c>
      <c r="P2324" s="19" t="str">
        <f t="shared" si="74"/>
        <v/>
      </c>
    </row>
    <row r="2325" spans="1:16" x14ac:dyDescent="0.3">
      <c r="A2325" s="19" t="str">
        <f t="shared" si="73"/>
        <v/>
      </c>
      <c r="L2325" s="21" t="str">
        <f>IF(J2325&lt;&gt;"",VLOOKUP(J2325,HeadCount!A:I,5,0),"")</f>
        <v/>
      </c>
      <c r="P2325" s="19" t="str">
        <f t="shared" si="74"/>
        <v/>
      </c>
    </row>
    <row r="2326" spans="1:16" x14ac:dyDescent="0.3">
      <c r="A2326" s="19" t="str">
        <f t="shared" si="73"/>
        <v/>
      </c>
      <c r="L2326" s="21" t="str">
        <f>IF(J2326&lt;&gt;"",VLOOKUP(J2326,HeadCount!A:I,5,0),"")</f>
        <v/>
      </c>
      <c r="P2326" s="19" t="str">
        <f t="shared" si="74"/>
        <v/>
      </c>
    </row>
    <row r="2327" spans="1:16" x14ac:dyDescent="0.3">
      <c r="A2327" s="19" t="str">
        <f t="shared" si="73"/>
        <v/>
      </c>
      <c r="L2327" s="21" t="str">
        <f>IF(J2327&lt;&gt;"",VLOOKUP(J2327,HeadCount!A:I,5,0),"")</f>
        <v/>
      </c>
      <c r="P2327" s="19" t="str">
        <f t="shared" si="74"/>
        <v/>
      </c>
    </row>
    <row r="2328" spans="1:16" x14ac:dyDescent="0.3">
      <c r="A2328" s="19" t="str">
        <f t="shared" si="73"/>
        <v/>
      </c>
      <c r="L2328" s="21" t="str">
        <f>IF(J2328&lt;&gt;"",VLOOKUP(J2328,HeadCount!A:I,5,0),"")</f>
        <v/>
      </c>
      <c r="P2328" s="19" t="str">
        <f t="shared" si="74"/>
        <v/>
      </c>
    </row>
    <row r="2329" spans="1:16" x14ac:dyDescent="0.3">
      <c r="A2329" s="19" t="str">
        <f t="shared" si="73"/>
        <v/>
      </c>
      <c r="L2329" s="21" t="str">
        <f>IF(J2329&lt;&gt;"",VLOOKUP(J2329,HeadCount!A:I,5,0),"")</f>
        <v/>
      </c>
      <c r="P2329" s="19" t="str">
        <f t="shared" si="74"/>
        <v/>
      </c>
    </row>
    <row r="2330" spans="1:16" x14ac:dyDescent="0.3">
      <c r="A2330" s="19" t="str">
        <f t="shared" si="73"/>
        <v/>
      </c>
      <c r="L2330" s="21" t="str">
        <f>IF(J2330&lt;&gt;"",VLOOKUP(J2330,HeadCount!A:I,5,0),"")</f>
        <v/>
      </c>
      <c r="P2330" s="19" t="str">
        <f t="shared" si="74"/>
        <v/>
      </c>
    </row>
    <row r="2331" spans="1:16" x14ac:dyDescent="0.3">
      <c r="A2331" s="19" t="str">
        <f t="shared" si="73"/>
        <v/>
      </c>
      <c r="L2331" s="21" t="str">
        <f>IF(J2331&lt;&gt;"",VLOOKUP(J2331,HeadCount!A:I,5,0),"")</f>
        <v/>
      </c>
      <c r="P2331" s="19" t="str">
        <f t="shared" si="74"/>
        <v/>
      </c>
    </row>
    <row r="2332" spans="1:16" x14ac:dyDescent="0.3">
      <c r="A2332" s="19" t="str">
        <f t="shared" si="73"/>
        <v/>
      </c>
      <c r="L2332" s="21" t="str">
        <f>IF(J2332&lt;&gt;"",VLOOKUP(J2332,HeadCount!A:I,5,0),"")</f>
        <v/>
      </c>
      <c r="P2332" s="19" t="str">
        <f t="shared" si="74"/>
        <v/>
      </c>
    </row>
    <row r="2333" spans="1:16" x14ac:dyDescent="0.3">
      <c r="A2333" s="19" t="str">
        <f t="shared" si="73"/>
        <v/>
      </c>
      <c r="L2333" s="21" t="str">
        <f>IF(J2333&lt;&gt;"",VLOOKUP(J2333,HeadCount!A:I,5,0),"")</f>
        <v/>
      </c>
      <c r="P2333" s="19" t="str">
        <f t="shared" si="74"/>
        <v/>
      </c>
    </row>
    <row r="2334" spans="1:16" x14ac:dyDescent="0.3">
      <c r="A2334" s="19" t="str">
        <f t="shared" si="73"/>
        <v/>
      </c>
      <c r="L2334" s="21" t="str">
        <f>IF(J2334&lt;&gt;"",VLOOKUP(J2334,HeadCount!A:I,5,0),"")</f>
        <v/>
      </c>
      <c r="P2334" s="19" t="str">
        <f t="shared" si="74"/>
        <v/>
      </c>
    </row>
    <row r="2335" spans="1:16" x14ac:dyDescent="0.3">
      <c r="A2335" s="19" t="str">
        <f t="shared" si="73"/>
        <v/>
      </c>
      <c r="L2335" s="21" t="str">
        <f>IF(J2335&lt;&gt;"",VLOOKUP(J2335,HeadCount!A:I,5,0),"")</f>
        <v/>
      </c>
      <c r="P2335" s="19" t="str">
        <f t="shared" si="74"/>
        <v/>
      </c>
    </row>
    <row r="2336" spans="1:16" x14ac:dyDescent="0.3">
      <c r="A2336" s="19" t="str">
        <f t="shared" si="73"/>
        <v/>
      </c>
      <c r="L2336" s="21" t="str">
        <f>IF(J2336&lt;&gt;"",VLOOKUP(J2336,HeadCount!A:I,5,0),"")</f>
        <v/>
      </c>
      <c r="P2336" s="19" t="str">
        <f t="shared" si="74"/>
        <v/>
      </c>
    </row>
    <row r="2337" spans="1:16" x14ac:dyDescent="0.3">
      <c r="A2337" s="19" t="str">
        <f t="shared" si="73"/>
        <v/>
      </c>
      <c r="L2337" s="21" t="str">
        <f>IF(J2337&lt;&gt;"",VLOOKUP(J2337,HeadCount!A:I,5,0),"")</f>
        <v/>
      </c>
      <c r="P2337" s="19" t="str">
        <f t="shared" si="74"/>
        <v/>
      </c>
    </row>
    <row r="2338" spans="1:16" x14ac:dyDescent="0.3">
      <c r="A2338" s="19" t="str">
        <f t="shared" si="73"/>
        <v/>
      </c>
      <c r="L2338" s="21" t="str">
        <f>IF(J2338&lt;&gt;"",VLOOKUP(J2338,HeadCount!A:I,5,0),"")</f>
        <v/>
      </c>
      <c r="P2338" s="19" t="str">
        <f t="shared" si="74"/>
        <v/>
      </c>
    </row>
    <row r="2339" spans="1:16" x14ac:dyDescent="0.3">
      <c r="A2339" s="19" t="str">
        <f t="shared" si="73"/>
        <v/>
      </c>
      <c r="L2339" s="21" t="str">
        <f>IF(J2339&lt;&gt;"",VLOOKUP(J2339,HeadCount!A:I,5,0),"")</f>
        <v/>
      </c>
      <c r="P2339" s="19" t="str">
        <f t="shared" si="74"/>
        <v/>
      </c>
    </row>
    <row r="2340" spans="1:16" x14ac:dyDescent="0.3">
      <c r="A2340" s="19" t="str">
        <f t="shared" si="73"/>
        <v/>
      </c>
      <c r="L2340" s="21" t="str">
        <f>IF(J2340&lt;&gt;"",VLOOKUP(J2340,HeadCount!A:I,5,0),"")</f>
        <v/>
      </c>
      <c r="P2340" s="19" t="str">
        <f t="shared" si="74"/>
        <v/>
      </c>
    </row>
    <row r="2341" spans="1:16" x14ac:dyDescent="0.3">
      <c r="A2341" s="19" t="str">
        <f t="shared" si="73"/>
        <v/>
      </c>
      <c r="L2341" s="21" t="str">
        <f>IF(J2341&lt;&gt;"",VLOOKUP(J2341,HeadCount!A:I,5,0),"")</f>
        <v/>
      </c>
      <c r="P2341" s="19" t="str">
        <f t="shared" si="74"/>
        <v/>
      </c>
    </row>
    <row r="2342" spans="1:16" x14ac:dyDescent="0.3">
      <c r="A2342" s="19" t="str">
        <f t="shared" si="73"/>
        <v/>
      </c>
      <c r="L2342" s="21" t="str">
        <f>IF(J2342&lt;&gt;"",VLOOKUP(J2342,HeadCount!A:I,5,0),"")</f>
        <v/>
      </c>
      <c r="P2342" s="19" t="str">
        <f t="shared" si="74"/>
        <v/>
      </c>
    </row>
    <row r="2343" spans="1:16" x14ac:dyDescent="0.3">
      <c r="A2343" s="19" t="str">
        <f t="shared" si="73"/>
        <v/>
      </c>
      <c r="L2343" s="21" t="str">
        <f>IF(J2343&lt;&gt;"",VLOOKUP(J2343,HeadCount!A:I,5,0),"")</f>
        <v/>
      </c>
      <c r="P2343" s="19" t="str">
        <f t="shared" si="74"/>
        <v/>
      </c>
    </row>
    <row r="2344" spans="1:16" x14ac:dyDescent="0.3">
      <c r="A2344" s="19" t="str">
        <f t="shared" si="73"/>
        <v/>
      </c>
      <c r="L2344" s="21" t="str">
        <f>IF(J2344&lt;&gt;"",VLOOKUP(J2344,HeadCount!A:I,5,0),"")</f>
        <v/>
      </c>
      <c r="P2344" s="19" t="str">
        <f t="shared" si="74"/>
        <v/>
      </c>
    </row>
    <row r="2345" spans="1:16" x14ac:dyDescent="0.3">
      <c r="A2345" s="19" t="str">
        <f t="shared" si="73"/>
        <v/>
      </c>
      <c r="L2345" s="21" t="str">
        <f>IF(J2345&lt;&gt;"",VLOOKUP(J2345,HeadCount!A:I,5,0),"")</f>
        <v/>
      </c>
      <c r="P2345" s="19" t="str">
        <f t="shared" si="74"/>
        <v/>
      </c>
    </row>
    <row r="2346" spans="1:16" x14ac:dyDescent="0.3">
      <c r="A2346" s="19" t="str">
        <f t="shared" si="73"/>
        <v/>
      </c>
      <c r="L2346" s="21" t="str">
        <f>IF(J2346&lt;&gt;"",VLOOKUP(J2346,HeadCount!A:I,5,0),"")</f>
        <v/>
      </c>
      <c r="P2346" s="19" t="str">
        <f t="shared" si="74"/>
        <v/>
      </c>
    </row>
    <row r="2347" spans="1:16" x14ac:dyDescent="0.3">
      <c r="A2347" s="19" t="str">
        <f t="shared" si="73"/>
        <v/>
      </c>
      <c r="L2347" s="21" t="str">
        <f>IF(J2347&lt;&gt;"",VLOOKUP(J2347,HeadCount!A:I,5,0),"")</f>
        <v/>
      </c>
      <c r="P2347" s="19" t="str">
        <f t="shared" si="74"/>
        <v/>
      </c>
    </row>
    <row r="2348" spans="1:16" x14ac:dyDescent="0.3">
      <c r="A2348" s="19" t="str">
        <f t="shared" si="73"/>
        <v/>
      </c>
      <c r="L2348" s="21" t="str">
        <f>IF(J2348&lt;&gt;"",VLOOKUP(J2348,HeadCount!A:I,5,0),"")</f>
        <v/>
      </c>
      <c r="P2348" s="19" t="str">
        <f t="shared" si="74"/>
        <v/>
      </c>
    </row>
    <row r="2349" spans="1:16" x14ac:dyDescent="0.3">
      <c r="A2349" s="19" t="str">
        <f t="shared" si="73"/>
        <v/>
      </c>
      <c r="L2349" s="21" t="str">
        <f>IF(J2349&lt;&gt;"",VLOOKUP(J2349,HeadCount!A:I,5,0),"")</f>
        <v/>
      </c>
      <c r="P2349" s="19" t="str">
        <f t="shared" si="74"/>
        <v/>
      </c>
    </row>
    <row r="2350" spans="1:16" x14ac:dyDescent="0.3">
      <c r="A2350" s="19" t="str">
        <f t="shared" si="73"/>
        <v/>
      </c>
      <c r="L2350" s="21" t="str">
        <f>IF(J2350&lt;&gt;"",VLOOKUP(J2350,HeadCount!A:I,5,0),"")</f>
        <v/>
      </c>
      <c r="P2350" s="19" t="str">
        <f t="shared" si="74"/>
        <v/>
      </c>
    </row>
    <row r="2351" spans="1:16" x14ac:dyDescent="0.3">
      <c r="A2351" s="19" t="str">
        <f t="shared" si="73"/>
        <v/>
      </c>
      <c r="L2351" s="21" t="str">
        <f>IF(J2351&lt;&gt;"",VLOOKUP(J2351,HeadCount!A:I,5,0),"")</f>
        <v/>
      </c>
      <c r="P2351" s="19" t="str">
        <f t="shared" si="74"/>
        <v/>
      </c>
    </row>
    <row r="2352" spans="1:16" x14ac:dyDescent="0.3">
      <c r="A2352" s="19" t="str">
        <f t="shared" si="73"/>
        <v/>
      </c>
      <c r="L2352" s="21" t="str">
        <f>IF(J2352&lt;&gt;"",VLOOKUP(J2352,HeadCount!A:I,5,0),"")</f>
        <v/>
      </c>
      <c r="P2352" s="19" t="str">
        <f t="shared" si="74"/>
        <v/>
      </c>
    </row>
    <row r="2353" spans="1:16" x14ac:dyDescent="0.3">
      <c r="A2353" s="19" t="str">
        <f t="shared" si="73"/>
        <v/>
      </c>
      <c r="L2353" s="21" t="str">
        <f>IF(J2353&lt;&gt;"",VLOOKUP(J2353,HeadCount!A:I,5,0),"")</f>
        <v/>
      </c>
      <c r="P2353" s="19" t="str">
        <f t="shared" si="74"/>
        <v/>
      </c>
    </row>
    <row r="2354" spans="1:16" x14ac:dyDescent="0.3">
      <c r="A2354" s="19" t="str">
        <f t="shared" si="73"/>
        <v/>
      </c>
      <c r="L2354" s="21" t="str">
        <f>IF(J2354&lt;&gt;"",VLOOKUP(J2354,HeadCount!A:I,5,0),"")</f>
        <v/>
      </c>
      <c r="P2354" s="19" t="str">
        <f t="shared" si="74"/>
        <v/>
      </c>
    </row>
    <row r="2355" spans="1:16" x14ac:dyDescent="0.3">
      <c r="A2355" s="19" t="str">
        <f t="shared" si="73"/>
        <v/>
      </c>
      <c r="L2355" s="21" t="str">
        <f>IF(J2355&lt;&gt;"",VLOOKUP(J2355,HeadCount!A:I,5,0),"")</f>
        <v/>
      </c>
      <c r="P2355" s="19" t="str">
        <f t="shared" si="74"/>
        <v/>
      </c>
    </row>
    <row r="2356" spans="1:16" x14ac:dyDescent="0.3">
      <c r="A2356" s="19" t="str">
        <f t="shared" si="73"/>
        <v/>
      </c>
      <c r="L2356" s="21" t="str">
        <f>IF(J2356&lt;&gt;"",VLOOKUP(J2356,HeadCount!A:I,5,0),"")</f>
        <v/>
      </c>
      <c r="P2356" s="19" t="str">
        <f t="shared" si="74"/>
        <v/>
      </c>
    </row>
    <row r="2357" spans="1:16" x14ac:dyDescent="0.3">
      <c r="A2357" s="19" t="str">
        <f t="shared" si="73"/>
        <v/>
      </c>
      <c r="L2357" s="21" t="str">
        <f>IF(J2357&lt;&gt;"",VLOOKUP(J2357,HeadCount!A:I,5,0),"")</f>
        <v/>
      </c>
      <c r="P2357" s="19" t="str">
        <f t="shared" si="74"/>
        <v/>
      </c>
    </row>
    <row r="2358" spans="1:16" x14ac:dyDescent="0.3">
      <c r="A2358" s="19" t="str">
        <f t="shared" si="73"/>
        <v/>
      </c>
      <c r="L2358" s="21" t="str">
        <f>IF(J2358&lt;&gt;"",VLOOKUP(J2358,HeadCount!A:I,5,0),"")</f>
        <v/>
      </c>
      <c r="P2358" s="19" t="str">
        <f t="shared" si="74"/>
        <v/>
      </c>
    </row>
    <row r="2359" spans="1:16" x14ac:dyDescent="0.3">
      <c r="A2359" s="19" t="str">
        <f t="shared" si="73"/>
        <v/>
      </c>
      <c r="L2359" s="21" t="str">
        <f>IF(J2359&lt;&gt;"",VLOOKUP(J2359,HeadCount!A:I,5,0),"")</f>
        <v/>
      </c>
      <c r="P2359" s="19" t="str">
        <f t="shared" si="74"/>
        <v/>
      </c>
    </row>
    <row r="2360" spans="1:16" x14ac:dyDescent="0.3">
      <c r="A2360" s="19" t="str">
        <f t="shared" si="73"/>
        <v/>
      </c>
      <c r="L2360" s="21" t="str">
        <f>IF(J2360&lt;&gt;"",VLOOKUP(J2360,HeadCount!A:I,5,0),"")</f>
        <v/>
      </c>
      <c r="P2360" s="19" t="str">
        <f t="shared" si="74"/>
        <v/>
      </c>
    </row>
    <row r="2361" spans="1:16" x14ac:dyDescent="0.3">
      <c r="A2361" s="19" t="str">
        <f t="shared" si="73"/>
        <v/>
      </c>
      <c r="L2361" s="21" t="str">
        <f>IF(J2361&lt;&gt;"",VLOOKUP(J2361,HeadCount!A:I,5,0),"")</f>
        <v/>
      </c>
      <c r="P2361" s="19" t="str">
        <f t="shared" si="74"/>
        <v/>
      </c>
    </row>
    <row r="2362" spans="1:16" x14ac:dyDescent="0.3">
      <c r="A2362" s="19" t="str">
        <f t="shared" si="73"/>
        <v/>
      </c>
      <c r="L2362" s="21" t="str">
        <f>IF(J2362&lt;&gt;"",VLOOKUP(J2362,HeadCount!A:I,5,0),"")</f>
        <v/>
      </c>
      <c r="P2362" s="19" t="str">
        <f t="shared" si="74"/>
        <v/>
      </c>
    </row>
    <row r="2363" spans="1:16" x14ac:dyDescent="0.3">
      <c r="A2363" s="19" t="str">
        <f t="shared" si="73"/>
        <v/>
      </c>
      <c r="L2363" s="21" t="str">
        <f>IF(J2363&lt;&gt;"",VLOOKUP(J2363,HeadCount!A:I,5,0),"")</f>
        <v/>
      </c>
      <c r="P2363" s="19" t="str">
        <f t="shared" si="74"/>
        <v/>
      </c>
    </row>
    <row r="2364" spans="1:16" x14ac:dyDescent="0.3">
      <c r="A2364" s="19" t="str">
        <f t="shared" si="73"/>
        <v/>
      </c>
      <c r="L2364" s="21" t="str">
        <f>IF(J2364&lt;&gt;"",VLOOKUP(J2364,HeadCount!A:I,5,0),"")</f>
        <v/>
      </c>
      <c r="P2364" s="19" t="str">
        <f t="shared" si="74"/>
        <v/>
      </c>
    </row>
    <row r="2365" spans="1:16" x14ac:dyDescent="0.3">
      <c r="A2365" s="19" t="str">
        <f t="shared" si="73"/>
        <v/>
      </c>
      <c r="L2365" s="21" t="str">
        <f>IF(J2365&lt;&gt;"",VLOOKUP(J2365,HeadCount!A:I,5,0),"")</f>
        <v/>
      </c>
      <c r="P2365" s="19" t="str">
        <f t="shared" si="74"/>
        <v/>
      </c>
    </row>
    <row r="2366" spans="1:16" x14ac:dyDescent="0.3">
      <c r="A2366" s="19" t="str">
        <f t="shared" si="73"/>
        <v/>
      </c>
      <c r="L2366" s="21" t="str">
        <f>IF(J2366&lt;&gt;"",VLOOKUP(J2366,HeadCount!A:I,5,0),"")</f>
        <v/>
      </c>
      <c r="P2366" s="19" t="str">
        <f t="shared" si="74"/>
        <v/>
      </c>
    </row>
    <row r="2367" spans="1:16" x14ac:dyDescent="0.3">
      <c r="A2367" s="19" t="str">
        <f t="shared" si="73"/>
        <v/>
      </c>
      <c r="L2367" s="21" t="str">
        <f>IF(J2367&lt;&gt;"",VLOOKUP(J2367,HeadCount!A:I,5,0),"")</f>
        <v/>
      </c>
      <c r="P2367" s="19" t="str">
        <f t="shared" si="74"/>
        <v/>
      </c>
    </row>
    <row r="2368" spans="1:16" x14ac:dyDescent="0.3">
      <c r="A2368" s="19" t="str">
        <f t="shared" si="73"/>
        <v/>
      </c>
      <c r="L2368" s="21" t="str">
        <f>IF(J2368&lt;&gt;"",VLOOKUP(J2368,HeadCount!A:I,5,0),"")</f>
        <v/>
      </c>
      <c r="P2368" s="19" t="str">
        <f t="shared" si="74"/>
        <v/>
      </c>
    </row>
    <row r="2369" spans="1:16" x14ac:dyDescent="0.3">
      <c r="A2369" s="19" t="str">
        <f t="shared" si="73"/>
        <v/>
      </c>
      <c r="L2369" s="21" t="str">
        <f>IF(J2369&lt;&gt;"",VLOOKUP(J2369,HeadCount!A:I,5,0),"")</f>
        <v/>
      </c>
      <c r="P2369" s="19" t="str">
        <f t="shared" si="74"/>
        <v/>
      </c>
    </row>
    <row r="2370" spans="1:16" x14ac:dyDescent="0.3">
      <c r="A2370" s="19" t="str">
        <f t="shared" ref="A2370:A2433" si="75">IF(C2370&lt;&gt;"",ROW(A2369),"")</f>
        <v/>
      </c>
      <c r="L2370" s="21" t="str">
        <f>IF(J2370&lt;&gt;"",VLOOKUP(J2370,HeadCount!A:I,5,0),"")</f>
        <v/>
      </c>
      <c r="P2370" s="19" t="str">
        <f t="shared" si="74"/>
        <v/>
      </c>
    </row>
    <row r="2371" spans="1:16" x14ac:dyDescent="0.3">
      <c r="A2371" s="19" t="str">
        <f t="shared" si="75"/>
        <v/>
      </c>
      <c r="L2371" s="21" t="str">
        <f>IF(J2371&lt;&gt;"",VLOOKUP(J2371,HeadCount!A:I,5,0),"")</f>
        <v/>
      </c>
      <c r="P2371" s="19" t="str">
        <f t="shared" ref="P2371:P2434" si="76">IF(N2371="","",(O2371-N2371)+1)</f>
        <v/>
      </c>
    </row>
    <row r="2372" spans="1:16" x14ac:dyDescent="0.3">
      <c r="A2372" s="19" t="str">
        <f t="shared" si="75"/>
        <v/>
      </c>
      <c r="L2372" s="21" t="str">
        <f>IF(J2372&lt;&gt;"",VLOOKUP(J2372,HeadCount!A:I,5,0),"")</f>
        <v/>
      </c>
      <c r="P2372" s="19" t="str">
        <f t="shared" si="76"/>
        <v/>
      </c>
    </row>
    <row r="2373" spans="1:16" x14ac:dyDescent="0.3">
      <c r="A2373" s="19" t="str">
        <f t="shared" si="75"/>
        <v/>
      </c>
      <c r="L2373" s="21" t="str">
        <f>IF(J2373&lt;&gt;"",VLOOKUP(J2373,HeadCount!A:I,5,0),"")</f>
        <v/>
      </c>
      <c r="P2373" s="19" t="str">
        <f t="shared" si="76"/>
        <v/>
      </c>
    </row>
    <row r="2374" spans="1:16" x14ac:dyDescent="0.3">
      <c r="A2374" s="19" t="str">
        <f t="shared" si="75"/>
        <v/>
      </c>
      <c r="L2374" s="21" t="str">
        <f>IF(J2374&lt;&gt;"",VLOOKUP(J2374,HeadCount!A:I,5,0),"")</f>
        <v/>
      </c>
      <c r="P2374" s="19" t="str">
        <f t="shared" si="76"/>
        <v/>
      </c>
    </row>
    <row r="2375" spans="1:16" x14ac:dyDescent="0.3">
      <c r="A2375" s="19" t="str">
        <f t="shared" si="75"/>
        <v/>
      </c>
      <c r="L2375" s="21" t="str">
        <f>IF(J2375&lt;&gt;"",VLOOKUP(J2375,HeadCount!A:I,5,0),"")</f>
        <v/>
      </c>
      <c r="P2375" s="19" t="str">
        <f t="shared" si="76"/>
        <v/>
      </c>
    </row>
    <row r="2376" spans="1:16" x14ac:dyDescent="0.3">
      <c r="A2376" s="19" t="str">
        <f t="shared" si="75"/>
        <v/>
      </c>
      <c r="L2376" s="21" t="str">
        <f>IF(J2376&lt;&gt;"",VLOOKUP(J2376,HeadCount!A:I,5,0),"")</f>
        <v/>
      </c>
      <c r="P2376" s="19" t="str">
        <f t="shared" si="76"/>
        <v/>
      </c>
    </row>
    <row r="2377" spans="1:16" x14ac:dyDescent="0.3">
      <c r="A2377" s="19" t="str">
        <f t="shared" si="75"/>
        <v/>
      </c>
      <c r="L2377" s="21" t="str">
        <f>IF(J2377&lt;&gt;"",VLOOKUP(J2377,HeadCount!A:I,5,0),"")</f>
        <v/>
      </c>
      <c r="P2377" s="19" t="str">
        <f t="shared" si="76"/>
        <v/>
      </c>
    </row>
    <row r="2378" spans="1:16" x14ac:dyDescent="0.3">
      <c r="A2378" s="19" t="str">
        <f t="shared" si="75"/>
        <v/>
      </c>
      <c r="L2378" s="21" t="str">
        <f>IF(J2378&lt;&gt;"",VLOOKUP(J2378,HeadCount!A:I,5,0),"")</f>
        <v/>
      </c>
      <c r="P2378" s="19" t="str">
        <f t="shared" si="76"/>
        <v/>
      </c>
    </row>
    <row r="2379" spans="1:16" x14ac:dyDescent="0.3">
      <c r="A2379" s="19" t="str">
        <f t="shared" si="75"/>
        <v/>
      </c>
      <c r="L2379" s="21" t="str">
        <f>IF(J2379&lt;&gt;"",VLOOKUP(J2379,HeadCount!A:I,5,0),"")</f>
        <v/>
      </c>
      <c r="P2379" s="19" t="str">
        <f t="shared" si="76"/>
        <v/>
      </c>
    </row>
    <row r="2380" spans="1:16" x14ac:dyDescent="0.3">
      <c r="A2380" s="19" t="str">
        <f t="shared" si="75"/>
        <v/>
      </c>
      <c r="L2380" s="21" t="str">
        <f>IF(J2380&lt;&gt;"",VLOOKUP(J2380,HeadCount!A:I,5,0),"")</f>
        <v/>
      </c>
      <c r="P2380" s="19" t="str">
        <f t="shared" si="76"/>
        <v/>
      </c>
    </row>
    <row r="2381" spans="1:16" x14ac:dyDescent="0.3">
      <c r="A2381" s="19" t="str">
        <f t="shared" si="75"/>
        <v/>
      </c>
      <c r="L2381" s="21" t="str">
        <f>IF(J2381&lt;&gt;"",VLOOKUP(J2381,HeadCount!A:I,5,0),"")</f>
        <v/>
      </c>
      <c r="P2381" s="19" t="str">
        <f t="shared" si="76"/>
        <v/>
      </c>
    </row>
    <row r="2382" spans="1:16" x14ac:dyDescent="0.3">
      <c r="A2382" s="19" t="str">
        <f t="shared" si="75"/>
        <v/>
      </c>
      <c r="L2382" s="21" t="str">
        <f>IF(J2382&lt;&gt;"",VLOOKUP(J2382,HeadCount!A:I,5,0),"")</f>
        <v/>
      </c>
      <c r="P2382" s="19" t="str">
        <f t="shared" si="76"/>
        <v/>
      </c>
    </row>
    <row r="2383" spans="1:16" x14ac:dyDescent="0.3">
      <c r="A2383" s="19" t="str">
        <f t="shared" si="75"/>
        <v/>
      </c>
      <c r="L2383" s="21" t="str">
        <f>IF(J2383&lt;&gt;"",VLOOKUP(J2383,HeadCount!A:I,5,0),"")</f>
        <v/>
      </c>
      <c r="P2383" s="19" t="str">
        <f t="shared" si="76"/>
        <v/>
      </c>
    </row>
    <row r="2384" spans="1:16" x14ac:dyDescent="0.3">
      <c r="A2384" s="19" t="str">
        <f t="shared" si="75"/>
        <v/>
      </c>
      <c r="L2384" s="21" t="str">
        <f>IF(J2384&lt;&gt;"",VLOOKUP(J2384,HeadCount!A:I,5,0),"")</f>
        <v/>
      </c>
      <c r="P2384" s="19" t="str">
        <f t="shared" si="76"/>
        <v/>
      </c>
    </row>
    <row r="2385" spans="1:16" x14ac:dyDescent="0.3">
      <c r="A2385" s="19" t="str">
        <f t="shared" si="75"/>
        <v/>
      </c>
      <c r="L2385" s="21" t="str">
        <f>IF(J2385&lt;&gt;"",VLOOKUP(J2385,HeadCount!A:I,5,0),"")</f>
        <v/>
      </c>
      <c r="P2385" s="19" t="str">
        <f t="shared" si="76"/>
        <v/>
      </c>
    </row>
    <row r="2386" spans="1:16" x14ac:dyDescent="0.3">
      <c r="A2386" s="19" t="str">
        <f t="shared" si="75"/>
        <v/>
      </c>
      <c r="L2386" s="21" t="str">
        <f>IF(J2386&lt;&gt;"",VLOOKUP(J2386,HeadCount!A:I,5,0),"")</f>
        <v/>
      </c>
      <c r="P2386" s="19" t="str">
        <f t="shared" si="76"/>
        <v/>
      </c>
    </row>
    <row r="2387" spans="1:16" x14ac:dyDescent="0.3">
      <c r="A2387" s="19" t="str">
        <f t="shared" si="75"/>
        <v/>
      </c>
      <c r="L2387" s="21" t="str">
        <f>IF(J2387&lt;&gt;"",VLOOKUP(J2387,HeadCount!A:I,5,0),"")</f>
        <v/>
      </c>
      <c r="P2387" s="19" t="str">
        <f t="shared" si="76"/>
        <v/>
      </c>
    </row>
    <row r="2388" spans="1:16" x14ac:dyDescent="0.3">
      <c r="A2388" s="19" t="str">
        <f t="shared" si="75"/>
        <v/>
      </c>
      <c r="L2388" s="21" t="str">
        <f>IF(J2388&lt;&gt;"",VLOOKUP(J2388,HeadCount!A:I,5,0),"")</f>
        <v/>
      </c>
      <c r="P2388" s="19" t="str">
        <f t="shared" si="76"/>
        <v/>
      </c>
    </row>
    <row r="2389" spans="1:16" x14ac:dyDescent="0.3">
      <c r="A2389" s="19" t="str">
        <f t="shared" si="75"/>
        <v/>
      </c>
      <c r="L2389" s="21" t="str">
        <f>IF(J2389&lt;&gt;"",VLOOKUP(J2389,HeadCount!A:I,5,0),"")</f>
        <v/>
      </c>
      <c r="P2389" s="19" t="str">
        <f t="shared" si="76"/>
        <v/>
      </c>
    </row>
    <row r="2390" spans="1:16" x14ac:dyDescent="0.3">
      <c r="A2390" s="19" t="str">
        <f t="shared" si="75"/>
        <v/>
      </c>
      <c r="L2390" s="21" t="str">
        <f>IF(J2390&lt;&gt;"",VLOOKUP(J2390,HeadCount!A:I,5,0),"")</f>
        <v/>
      </c>
      <c r="P2390" s="19" t="str">
        <f t="shared" si="76"/>
        <v/>
      </c>
    </row>
    <row r="2391" spans="1:16" x14ac:dyDescent="0.3">
      <c r="A2391" s="19" t="str">
        <f t="shared" si="75"/>
        <v/>
      </c>
      <c r="L2391" s="21" t="str">
        <f>IF(J2391&lt;&gt;"",VLOOKUP(J2391,HeadCount!A:I,5,0),"")</f>
        <v/>
      </c>
      <c r="P2391" s="19" t="str">
        <f t="shared" si="76"/>
        <v/>
      </c>
    </row>
    <row r="2392" spans="1:16" x14ac:dyDescent="0.3">
      <c r="A2392" s="19" t="str">
        <f t="shared" si="75"/>
        <v/>
      </c>
      <c r="L2392" s="21" t="str">
        <f>IF(J2392&lt;&gt;"",VLOOKUP(J2392,HeadCount!A:I,5,0),"")</f>
        <v/>
      </c>
      <c r="P2392" s="19" t="str">
        <f t="shared" si="76"/>
        <v/>
      </c>
    </row>
    <row r="2393" spans="1:16" x14ac:dyDescent="0.3">
      <c r="A2393" s="19" t="str">
        <f t="shared" si="75"/>
        <v/>
      </c>
      <c r="L2393" s="21" t="str">
        <f>IF(J2393&lt;&gt;"",VLOOKUP(J2393,HeadCount!A:I,5,0),"")</f>
        <v/>
      </c>
      <c r="P2393" s="19" t="str">
        <f t="shared" si="76"/>
        <v/>
      </c>
    </row>
    <row r="2394" spans="1:16" x14ac:dyDescent="0.3">
      <c r="A2394" s="19" t="str">
        <f t="shared" si="75"/>
        <v/>
      </c>
      <c r="L2394" s="21" t="str">
        <f>IF(J2394&lt;&gt;"",VLOOKUP(J2394,HeadCount!A:I,5,0),"")</f>
        <v/>
      </c>
      <c r="P2394" s="19" t="str">
        <f t="shared" si="76"/>
        <v/>
      </c>
    </row>
    <row r="2395" spans="1:16" x14ac:dyDescent="0.3">
      <c r="A2395" s="19" t="str">
        <f t="shared" si="75"/>
        <v/>
      </c>
      <c r="L2395" s="21" t="str">
        <f>IF(J2395&lt;&gt;"",VLOOKUP(J2395,HeadCount!A:I,5,0),"")</f>
        <v/>
      </c>
      <c r="P2395" s="19" t="str">
        <f t="shared" si="76"/>
        <v/>
      </c>
    </row>
    <row r="2396" spans="1:16" x14ac:dyDescent="0.3">
      <c r="A2396" s="19" t="str">
        <f t="shared" si="75"/>
        <v/>
      </c>
      <c r="L2396" s="21" t="str">
        <f>IF(J2396&lt;&gt;"",VLOOKUP(J2396,HeadCount!A:I,5,0),"")</f>
        <v/>
      </c>
      <c r="P2396" s="19" t="str">
        <f t="shared" si="76"/>
        <v/>
      </c>
    </row>
    <row r="2397" spans="1:16" x14ac:dyDescent="0.3">
      <c r="A2397" s="19" t="str">
        <f t="shared" si="75"/>
        <v/>
      </c>
      <c r="L2397" s="21" t="str">
        <f>IF(J2397&lt;&gt;"",VLOOKUP(J2397,HeadCount!A:I,5,0),"")</f>
        <v/>
      </c>
      <c r="P2397" s="19" t="str">
        <f t="shared" si="76"/>
        <v/>
      </c>
    </row>
    <row r="2398" spans="1:16" x14ac:dyDescent="0.3">
      <c r="A2398" s="19" t="str">
        <f t="shared" si="75"/>
        <v/>
      </c>
      <c r="L2398" s="21" t="str">
        <f>IF(J2398&lt;&gt;"",VLOOKUP(J2398,HeadCount!A:I,5,0),"")</f>
        <v/>
      </c>
      <c r="P2398" s="19" t="str">
        <f t="shared" si="76"/>
        <v/>
      </c>
    </row>
    <row r="2399" spans="1:16" x14ac:dyDescent="0.3">
      <c r="A2399" s="19" t="str">
        <f t="shared" si="75"/>
        <v/>
      </c>
      <c r="L2399" s="21" t="str">
        <f>IF(J2399&lt;&gt;"",VLOOKUP(J2399,HeadCount!A:I,5,0),"")</f>
        <v/>
      </c>
      <c r="P2399" s="19" t="str">
        <f t="shared" si="76"/>
        <v/>
      </c>
    </row>
    <row r="2400" spans="1:16" x14ac:dyDescent="0.3">
      <c r="A2400" s="19" t="str">
        <f t="shared" si="75"/>
        <v/>
      </c>
      <c r="L2400" s="21" t="str">
        <f>IF(J2400&lt;&gt;"",VLOOKUP(J2400,HeadCount!A:I,5,0),"")</f>
        <v/>
      </c>
      <c r="P2400" s="19" t="str">
        <f t="shared" si="76"/>
        <v/>
      </c>
    </row>
    <row r="2401" spans="1:16" x14ac:dyDescent="0.3">
      <c r="A2401" s="19" t="str">
        <f t="shared" si="75"/>
        <v/>
      </c>
      <c r="L2401" s="21" t="str">
        <f>IF(J2401&lt;&gt;"",VLOOKUP(J2401,HeadCount!A:I,5,0),"")</f>
        <v/>
      </c>
      <c r="P2401" s="19" t="str">
        <f t="shared" si="76"/>
        <v/>
      </c>
    </row>
    <row r="2402" spans="1:16" x14ac:dyDescent="0.3">
      <c r="A2402" s="19" t="str">
        <f t="shared" si="75"/>
        <v/>
      </c>
      <c r="L2402" s="21" t="str">
        <f>IF(J2402&lt;&gt;"",VLOOKUP(J2402,HeadCount!A:I,5,0),"")</f>
        <v/>
      </c>
      <c r="P2402" s="19" t="str">
        <f t="shared" si="76"/>
        <v/>
      </c>
    </row>
    <row r="2403" spans="1:16" x14ac:dyDescent="0.3">
      <c r="A2403" s="19" t="str">
        <f t="shared" si="75"/>
        <v/>
      </c>
      <c r="L2403" s="21" t="str">
        <f>IF(J2403&lt;&gt;"",VLOOKUP(J2403,HeadCount!A:I,5,0),"")</f>
        <v/>
      </c>
      <c r="P2403" s="19" t="str">
        <f t="shared" si="76"/>
        <v/>
      </c>
    </row>
    <row r="2404" spans="1:16" x14ac:dyDescent="0.3">
      <c r="A2404" s="19" t="str">
        <f t="shared" si="75"/>
        <v/>
      </c>
      <c r="L2404" s="21" t="str">
        <f>IF(J2404&lt;&gt;"",VLOOKUP(J2404,HeadCount!A:I,5,0),"")</f>
        <v/>
      </c>
      <c r="P2404" s="19" t="str">
        <f t="shared" si="76"/>
        <v/>
      </c>
    </row>
    <row r="2405" spans="1:16" x14ac:dyDescent="0.3">
      <c r="A2405" s="19" t="str">
        <f t="shared" si="75"/>
        <v/>
      </c>
      <c r="L2405" s="21" t="str">
        <f>IF(J2405&lt;&gt;"",VLOOKUP(J2405,HeadCount!A:I,5,0),"")</f>
        <v/>
      </c>
      <c r="P2405" s="19" t="str">
        <f t="shared" si="76"/>
        <v/>
      </c>
    </row>
    <row r="2406" spans="1:16" x14ac:dyDescent="0.3">
      <c r="A2406" s="19" t="str">
        <f t="shared" si="75"/>
        <v/>
      </c>
      <c r="L2406" s="21" t="str">
        <f>IF(J2406&lt;&gt;"",VLOOKUP(J2406,HeadCount!A:I,5,0),"")</f>
        <v/>
      </c>
      <c r="P2406" s="19" t="str">
        <f t="shared" si="76"/>
        <v/>
      </c>
    </row>
    <row r="2407" spans="1:16" x14ac:dyDescent="0.3">
      <c r="A2407" s="19" t="str">
        <f t="shared" si="75"/>
        <v/>
      </c>
      <c r="L2407" s="21" t="str">
        <f>IF(J2407&lt;&gt;"",VLOOKUP(J2407,HeadCount!A:I,5,0),"")</f>
        <v/>
      </c>
      <c r="P2407" s="19" t="str">
        <f t="shared" si="76"/>
        <v/>
      </c>
    </row>
    <row r="2408" spans="1:16" x14ac:dyDescent="0.3">
      <c r="A2408" s="19" t="str">
        <f t="shared" si="75"/>
        <v/>
      </c>
      <c r="L2408" s="21" t="str">
        <f>IF(J2408&lt;&gt;"",VLOOKUP(J2408,HeadCount!A:I,5,0),"")</f>
        <v/>
      </c>
      <c r="P2408" s="19" t="str">
        <f t="shared" si="76"/>
        <v/>
      </c>
    </row>
    <row r="2409" spans="1:16" x14ac:dyDescent="0.3">
      <c r="A2409" s="19" t="str">
        <f t="shared" si="75"/>
        <v/>
      </c>
      <c r="L2409" s="21" t="str">
        <f>IF(J2409&lt;&gt;"",VLOOKUP(J2409,HeadCount!A:I,5,0),"")</f>
        <v/>
      </c>
      <c r="P2409" s="19" t="str">
        <f t="shared" si="76"/>
        <v/>
      </c>
    </row>
    <row r="2410" spans="1:16" x14ac:dyDescent="0.3">
      <c r="A2410" s="19" t="str">
        <f t="shared" si="75"/>
        <v/>
      </c>
      <c r="L2410" s="21" t="str">
        <f>IF(J2410&lt;&gt;"",VLOOKUP(J2410,HeadCount!A:I,5,0),"")</f>
        <v/>
      </c>
      <c r="P2410" s="19" t="str">
        <f t="shared" si="76"/>
        <v/>
      </c>
    </row>
    <row r="2411" spans="1:16" x14ac:dyDescent="0.3">
      <c r="A2411" s="19" t="str">
        <f t="shared" si="75"/>
        <v/>
      </c>
      <c r="L2411" s="21" t="str">
        <f>IF(J2411&lt;&gt;"",VLOOKUP(J2411,HeadCount!A:I,5,0),"")</f>
        <v/>
      </c>
      <c r="P2411" s="19" t="str">
        <f t="shared" si="76"/>
        <v/>
      </c>
    </row>
    <row r="2412" spans="1:16" x14ac:dyDescent="0.3">
      <c r="A2412" s="19" t="str">
        <f t="shared" si="75"/>
        <v/>
      </c>
      <c r="L2412" s="21" t="str">
        <f>IF(J2412&lt;&gt;"",VLOOKUP(J2412,HeadCount!A:I,5,0),"")</f>
        <v/>
      </c>
      <c r="P2412" s="19" t="str">
        <f t="shared" si="76"/>
        <v/>
      </c>
    </row>
    <row r="2413" spans="1:16" x14ac:dyDescent="0.3">
      <c r="A2413" s="19" t="str">
        <f t="shared" si="75"/>
        <v/>
      </c>
      <c r="L2413" s="21" t="str">
        <f>IF(J2413&lt;&gt;"",VLOOKUP(J2413,HeadCount!A:I,5,0),"")</f>
        <v/>
      </c>
      <c r="P2413" s="19" t="str">
        <f t="shared" si="76"/>
        <v/>
      </c>
    </row>
    <row r="2414" spans="1:16" x14ac:dyDescent="0.3">
      <c r="A2414" s="19" t="str">
        <f t="shared" si="75"/>
        <v/>
      </c>
      <c r="L2414" s="21" t="str">
        <f>IF(J2414&lt;&gt;"",VLOOKUP(J2414,HeadCount!A:I,5,0),"")</f>
        <v/>
      </c>
      <c r="P2414" s="19" t="str">
        <f t="shared" si="76"/>
        <v/>
      </c>
    </row>
    <row r="2415" spans="1:16" x14ac:dyDescent="0.3">
      <c r="A2415" s="19" t="str">
        <f t="shared" si="75"/>
        <v/>
      </c>
      <c r="L2415" s="21" t="str">
        <f>IF(J2415&lt;&gt;"",VLOOKUP(J2415,HeadCount!A:I,5,0),"")</f>
        <v/>
      </c>
      <c r="P2415" s="19" t="str">
        <f t="shared" si="76"/>
        <v/>
      </c>
    </row>
    <row r="2416" spans="1:16" x14ac:dyDescent="0.3">
      <c r="A2416" s="19" t="str">
        <f t="shared" si="75"/>
        <v/>
      </c>
      <c r="L2416" s="21" t="str">
        <f>IF(J2416&lt;&gt;"",VLOOKUP(J2416,HeadCount!A:I,5,0),"")</f>
        <v/>
      </c>
      <c r="P2416" s="19" t="str">
        <f t="shared" si="76"/>
        <v/>
      </c>
    </row>
    <row r="2417" spans="1:16" x14ac:dyDescent="0.3">
      <c r="A2417" s="19" t="str">
        <f t="shared" si="75"/>
        <v/>
      </c>
      <c r="L2417" s="21" t="str">
        <f>IF(J2417&lt;&gt;"",VLOOKUP(J2417,HeadCount!A:I,5,0),"")</f>
        <v/>
      </c>
      <c r="P2417" s="19" t="str">
        <f t="shared" si="76"/>
        <v/>
      </c>
    </row>
    <row r="2418" spans="1:16" x14ac:dyDescent="0.3">
      <c r="A2418" s="19" t="str">
        <f t="shared" si="75"/>
        <v/>
      </c>
      <c r="L2418" s="21" t="str">
        <f>IF(J2418&lt;&gt;"",VLOOKUP(J2418,HeadCount!A:I,5,0),"")</f>
        <v/>
      </c>
      <c r="P2418" s="19" t="str">
        <f t="shared" si="76"/>
        <v/>
      </c>
    </row>
    <row r="2419" spans="1:16" x14ac:dyDescent="0.3">
      <c r="A2419" s="19" t="str">
        <f t="shared" si="75"/>
        <v/>
      </c>
      <c r="L2419" s="21" t="str">
        <f>IF(J2419&lt;&gt;"",VLOOKUP(J2419,HeadCount!A:I,5,0),"")</f>
        <v/>
      </c>
      <c r="P2419" s="19" t="str">
        <f t="shared" si="76"/>
        <v/>
      </c>
    </row>
    <row r="2420" spans="1:16" x14ac:dyDescent="0.3">
      <c r="A2420" s="19" t="str">
        <f t="shared" si="75"/>
        <v/>
      </c>
      <c r="L2420" s="21" t="str">
        <f>IF(J2420&lt;&gt;"",VLOOKUP(J2420,HeadCount!A:I,5,0),"")</f>
        <v/>
      </c>
      <c r="P2420" s="19" t="str">
        <f t="shared" si="76"/>
        <v/>
      </c>
    </row>
    <row r="2421" spans="1:16" x14ac:dyDescent="0.3">
      <c r="A2421" s="19" t="str">
        <f t="shared" si="75"/>
        <v/>
      </c>
      <c r="L2421" s="21" t="str">
        <f>IF(J2421&lt;&gt;"",VLOOKUP(J2421,HeadCount!A:I,5,0),"")</f>
        <v/>
      </c>
      <c r="P2421" s="19" t="str">
        <f t="shared" si="76"/>
        <v/>
      </c>
    </row>
    <row r="2422" spans="1:16" x14ac:dyDescent="0.3">
      <c r="A2422" s="19" t="str">
        <f t="shared" si="75"/>
        <v/>
      </c>
      <c r="L2422" s="21" t="str">
        <f>IF(J2422&lt;&gt;"",VLOOKUP(J2422,HeadCount!A:I,5,0),"")</f>
        <v/>
      </c>
      <c r="P2422" s="19" t="str">
        <f t="shared" si="76"/>
        <v/>
      </c>
    </row>
    <row r="2423" spans="1:16" x14ac:dyDescent="0.3">
      <c r="A2423" s="19" t="str">
        <f t="shared" si="75"/>
        <v/>
      </c>
      <c r="L2423" s="21" t="str">
        <f>IF(J2423&lt;&gt;"",VLOOKUP(J2423,HeadCount!A:I,5,0),"")</f>
        <v/>
      </c>
      <c r="P2423" s="19" t="str">
        <f t="shared" si="76"/>
        <v/>
      </c>
    </row>
    <row r="2424" spans="1:16" x14ac:dyDescent="0.3">
      <c r="A2424" s="19" t="str">
        <f t="shared" si="75"/>
        <v/>
      </c>
      <c r="L2424" s="21" t="str">
        <f>IF(J2424&lt;&gt;"",VLOOKUP(J2424,HeadCount!A:I,5,0),"")</f>
        <v/>
      </c>
      <c r="P2424" s="19" t="str">
        <f t="shared" si="76"/>
        <v/>
      </c>
    </row>
    <row r="2425" spans="1:16" x14ac:dyDescent="0.3">
      <c r="A2425" s="19" t="str">
        <f t="shared" si="75"/>
        <v/>
      </c>
      <c r="L2425" s="21" t="str">
        <f>IF(J2425&lt;&gt;"",VLOOKUP(J2425,HeadCount!A:I,5,0),"")</f>
        <v/>
      </c>
      <c r="P2425" s="19" t="str">
        <f t="shared" si="76"/>
        <v/>
      </c>
    </row>
    <row r="2426" spans="1:16" x14ac:dyDescent="0.3">
      <c r="A2426" s="19" t="str">
        <f t="shared" si="75"/>
        <v/>
      </c>
      <c r="L2426" s="21" t="str">
        <f>IF(J2426&lt;&gt;"",VLOOKUP(J2426,HeadCount!A:I,5,0),"")</f>
        <v/>
      </c>
      <c r="P2426" s="19" t="str">
        <f t="shared" si="76"/>
        <v/>
      </c>
    </row>
    <row r="2427" spans="1:16" x14ac:dyDescent="0.3">
      <c r="A2427" s="19" t="str">
        <f t="shared" si="75"/>
        <v/>
      </c>
      <c r="L2427" s="21" t="str">
        <f>IF(J2427&lt;&gt;"",VLOOKUP(J2427,HeadCount!A:I,5,0),"")</f>
        <v/>
      </c>
      <c r="P2427" s="19" t="str">
        <f t="shared" si="76"/>
        <v/>
      </c>
    </row>
    <row r="2428" spans="1:16" x14ac:dyDescent="0.3">
      <c r="A2428" s="19" t="str">
        <f t="shared" si="75"/>
        <v/>
      </c>
      <c r="L2428" s="21" t="str">
        <f>IF(J2428&lt;&gt;"",VLOOKUP(J2428,HeadCount!A:I,5,0),"")</f>
        <v/>
      </c>
      <c r="P2428" s="19" t="str">
        <f t="shared" si="76"/>
        <v/>
      </c>
    </row>
    <row r="2429" spans="1:16" x14ac:dyDescent="0.3">
      <c r="A2429" s="19" t="str">
        <f t="shared" si="75"/>
        <v/>
      </c>
      <c r="L2429" s="21" t="str">
        <f>IF(J2429&lt;&gt;"",VLOOKUP(J2429,HeadCount!A:I,5,0),"")</f>
        <v/>
      </c>
      <c r="P2429" s="19" t="str">
        <f t="shared" si="76"/>
        <v/>
      </c>
    </row>
    <row r="2430" spans="1:16" x14ac:dyDescent="0.3">
      <c r="A2430" s="19" t="str">
        <f t="shared" si="75"/>
        <v/>
      </c>
      <c r="L2430" s="21" t="str">
        <f>IF(J2430&lt;&gt;"",VLOOKUP(J2430,HeadCount!A:I,5,0),"")</f>
        <v/>
      </c>
      <c r="P2430" s="19" t="str">
        <f t="shared" si="76"/>
        <v/>
      </c>
    </row>
    <row r="2431" spans="1:16" x14ac:dyDescent="0.3">
      <c r="A2431" s="19" t="str">
        <f t="shared" si="75"/>
        <v/>
      </c>
      <c r="L2431" s="21" t="str">
        <f>IF(J2431&lt;&gt;"",VLOOKUP(J2431,HeadCount!A:I,5,0),"")</f>
        <v/>
      </c>
      <c r="P2431" s="19" t="str">
        <f t="shared" si="76"/>
        <v/>
      </c>
    </row>
    <row r="2432" spans="1:16" x14ac:dyDescent="0.3">
      <c r="A2432" s="19" t="str">
        <f t="shared" si="75"/>
        <v/>
      </c>
      <c r="L2432" s="21" t="str">
        <f>IF(J2432&lt;&gt;"",VLOOKUP(J2432,HeadCount!A:I,5,0),"")</f>
        <v/>
      </c>
      <c r="P2432" s="19" t="str">
        <f t="shared" si="76"/>
        <v/>
      </c>
    </row>
    <row r="2433" spans="1:16" x14ac:dyDescent="0.3">
      <c r="A2433" s="19" t="str">
        <f t="shared" si="75"/>
        <v/>
      </c>
      <c r="L2433" s="21" t="str">
        <f>IF(J2433&lt;&gt;"",VLOOKUP(J2433,HeadCount!A:I,5,0),"")</f>
        <v/>
      </c>
      <c r="P2433" s="19" t="str">
        <f t="shared" si="76"/>
        <v/>
      </c>
    </row>
    <row r="2434" spans="1:16" x14ac:dyDescent="0.3">
      <c r="A2434" s="19" t="str">
        <f t="shared" ref="A2434:A2497" si="77">IF(C2434&lt;&gt;"",ROW(A2433),"")</f>
        <v/>
      </c>
      <c r="L2434" s="21" t="str">
        <f>IF(J2434&lt;&gt;"",VLOOKUP(J2434,HeadCount!A:I,5,0),"")</f>
        <v/>
      </c>
      <c r="P2434" s="19" t="str">
        <f t="shared" si="76"/>
        <v/>
      </c>
    </row>
    <row r="2435" spans="1:16" x14ac:dyDescent="0.3">
      <c r="A2435" s="19" t="str">
        <f t="shared" si="77"/>
        <v/>
      </c>
      <c r="L2435" s="21" t="str">
        <f>IF(J2435&lt;&gt;"",VLOOKUP(J2435,HeadCount!A:I,5,0),"")</f>
        <v/>
      </c>
      <c r="P2435" s="19" t="str">
        <f t="shared" ref="P2435:P2498" si="78">IF(N2435="","",(O2435-N2435)+1)</f>
        <v/>
      </c>
    </row>
    <row r="2436" spans="1:16" x14ac:dyDescent="0.3">
      <c r="A2436" s="19" t="str">
        <f t="shared" si="77"/>
        <v/>
      </c>
      <c r="L2436" s="21" t="str">
        <f>IF(J2436&lt;&gt;"",VLOOKUP(J2436,HeadCount!A:I,5,0),"")</f>
        <v/>
      </c>
      <c r="P2436" s="19" t="str">
        <f t="shared" si="78"/>
        <v/>
      </c>
    </row>
    <row r="2437" spans="1:16" x14ac:dyDescent="0.3">
      <c r="A2437" s="19" t="str">
        <f t="shared" si="77"/>
        <v/>
      </c>
      <c r="L2437" s="21" t="str">
        <f>IF(J2437&lt;&gt;"",VLOOKUP(J2437,HeadCount!A:I,5,0),"")</f>
        <v/>
      </c>
      <c r="P2437" s="19" t="str">
        <f t="shared" si="78"/>
        <v/>
      </c>
    </row>
    <row r="2438" spans="1:16" x14ac:dyDescent="0.3">
      <c r="A2438" s="19" t="str">
        <f t="shared" si="77"/>
        <v/>
      </c>
      <c r="L2438" s="21" t="str">
        <f>IF(J2438&lt;&gt;"",VLOOKUP(J2438,HeadCount!A:I,5,0),"")</f>
        <v/>
      </c>
      <c r="P2438" s="19" t="str">
        <f t="shared" si="78"/>
        <v/>
      </c>
    </row>
    <row r="2439" spans="1:16" x14ac:dyDescent="0.3">
      <c r="A2439" s="19" t="str">
        <f t="shared" si="77"/>
        <v/>
      </c>
      <c r="L2439" s="21" t="str">
        <f>IF(J2439&lt;&gt;"",VLOOKUP(J2439,HeadCount!A:I,5,0),"")</f>
        <v/>
      </c>
      <c r="P2439" s="19" t="str">
        <f t="shared" si="78"/>
        <v/>
      </c>
    </row>
    <row r="2440" spans="1:16" x14ac:dyDescent="0.3">
      <c r="A2440" s="19" t="str">
        <f t="shared" si="77"/>
        <v/>
      </c>
      <c r="L2440" s="21" t="str">
        <f>IF(J2440&lt;&gt;"",VLOOKUP(J2440,HeadCount!A:I,5,0),"")</f>
        <v/>
      </c>
      <c r="P2440" s="19" t="str">
        <f t="shared" si="78"/>
        <v/>
      </c>
    </row>
    <row r="2441" spans="1:16" x14ac:dyDescent="0.3">
      <c r="A2441" s="19" t="str">
        <f t="shared" si="77"/>
        <v/>
      </c>
      <c r="L2441" s="21" t="str">
        <f>IF(J2441&lt;&gt;"",VLOOKUP(J2441,HeadCount!A:I,5,0),"")</f>
        <v/>
      </c>
      <c r="P2441" s="19" t="str">
        <f t="shared" si="78"/>
        <v/>
      </c>
    </row>
    <row r="2442" spans="1:16" x14ac:dyDescent="0.3">
      <c r="A2442" s="19" t="str">
        <f t="shared" si="77"/>
        <v/>
      </c>
      <c r="L2442" s="21" t="str">
        <f>IF(J2442&lt;&gt;"",VLOOKUP(J2442,HeadCount!A:I,5,0),"")</f>
        <v/>
      </c>
      <c r="P2442" s="19" t="str">
        <f t="shared" si="78"/>
        <v/>
      </c>
    </row>
    <row r="2443" spans="1:16" x14ac:dyDescent="0.3">
      <c r="A2443" s="19" t="str">
        <f t="shared" si="77"/>
        <v/>
      </c>
      <c r="L2443" s="21" t="str">
        <f>IF(J2443&lt;&gt;"",VLOOKUP(J2443,HeadCount!A:I,5,0),"")</f>
        <v/>
      </c>
      <c r="P2443" s="19" t="str">
        <f t="shared" si="78"/>
        <v/>
      </c>
    </row>
    <row r="2444" spans="1:16" x14ac:dyDescent="0.3">
      <c r="A2444" s="19" t="str">
        <f t="shared" si="77"/>
        <v/>
      </c>
      <c r="L2444" s="21" t="str">
        <f>IF(J2444&lt;&gt;"",VLOOKUP(J2444,HeadCount!A:I,5,0),"")</f>
        <v/>
      </c>
      <c r="P2444" s="19" t="str">
        <f t="shared" si="78"/>
        <v/>
      </c>
    </row>
    <row r="2445" spans="1:16" x14ac:dyDescent="0.3">
      <c r="A2445" s="19" t="str">
        <f t="shared" si="77"/>
        <v/>
      </c>
      <c r="L2445" s="21" t="str">
        <f>IF(J2445&lt;&gt;"",VLOOKUP(J2445,HeadCount!A:I,5,0),"")</f>
        <v/>
      </c>
      <c r="P2445" s="19" t="str">
        <f t="shared" si="78"/>
        <v/>
      </c>
    </row>
    <row r="2446" spans="1:16" x14ac:dyDescent="0.3">
      <c r="A2446" s="19" t="str">
        <f t="shared" si="77"/>
        <v/>
      </c>
      <c r="L2446" s="21" t="str">
        <f>IF(J2446&lt;&gt;"",VLOOKUP(J2446,HeadCount!A:I,5,0),"")</f>
        <v/>
      </c>
      <c r="P2446" s="19" t="str">
        <f t="shared" si="78"/>
        <v/>
      </c>
    </row>
    <row r="2447" spans="1:16" x14ac:dyDescent="0.3">
      <c r="A2447" s="19" t="str">
        <f t="shared" si="77"/>
        <v/>
      </c>
      <c r="L2447" s="21" t="str">
        <f>IF(J2447&lt;&gt;"",VLOOKUP(J2447,HeadCount!A:I,5,0),"")</f>
        <v/>
      </c>
      <c r="P2447" s="19" t="str">
        <f t="shared" si="78"/>
        <v/>
      </c>
    </row>
    <row r="2448" spans="1:16" x14ac:dyDescent="0.3">
      <c r="A2448" s="19" t="str">
        <f t="shared" si="77"/>
        <v/>
      </c>
      <c r="L2448" s="21" t="str">
        <f>IF(J2448&lt;&gt;"",VLOOKUP(J2448,HeadCount!A:I,5,0),"")</f>
        <v/>
      </c>
      <c r="P2448" s="19" t="str">
        <f t="shared" si="78"/>
        <v/>
      </c>
    </row>
    <row r="2449" spans="1:16" x14ac:dyDescent="0.3">
      <c r="A2449" s="19" t="str">
        <f t="shared" si="77"/>
        <v/>
      </c>
      <c r="L2449" s="21" t="str">
        <f>IF(J2449&lt;&gt;"",VLOOKUP(J2449,HeadCount!A:I,5,0),"")</f>
        <v/>
      </c>
      <c r="P2449" s="19" t="str">
        <f t="shared" si="78"/>
        <v/>
      </c>
    </row>
    <row r="2450" spans="1:16" x14ac:dyDescent="0.3">
      <c r="A2450" s="19" t="str">
        <f t="shared" si="77"/>
        <v/>
      </c>
      <c r="L2450" s="21" t="str">
        <f>IF(J2450&lt;&gt;"",VLOOKUP(J2450,HeadCount!A:I,5,0),"")</f>
        <v/>
      </c>
      <c r="P2450" s="19" t="str">
        <f t="shared" si="78"/>
        <v/>
      </c>
    </row>
    <row r="2451" spans="1:16" x14ac:dyDescent="0.3">
      <c r="A2451" s="19" t="str">
        <f t="shared" si="77"/>
        <v/>
      </c>
      <c r="L2451" s="21" t="str">
        <f>IF(J2451&lt;&gt;"",VLOOKUP(J2451,HeadCount!A:I,5,0),"")</f>
        <v/>
      </c>
      <c r="P2451" s="19" t="str">
        <f t="shared" si="78"/>
        <v/>
      </c>
    </row>
    <row r="2452" spans="1:16" x14ac:dyDescent="0.3">
      <c r="A2452" s="19" t="str">
        <f t="shared" si="77"/>
        <v/>
      </c>
      <c r="L2452" s="21" t="str">
        <f>IF(J2452&lt;&gt;"",VLOOKUP(J2452,HeadCount!A:I,5,0),"")</f>
        <v/>
      </c>
      <c r="P2452" s="19" t="str">
        <f t="shared" si="78"/>
        <v/>
      </c>
    </row>
    <row r="2453" spans="1:16" x14ac:dyDescent="0.3">
      <c r="A2453" s="19" t="str">
        <f t="shared" si="77"/>
        <v/>
      </c>
      <c r="L2453" s="21" t="str">
        <f>IF(J2453&lt;&gt;"",VLOOKUP(J2453,HeadCount!A:I,5,0),"")</f>
        <v/>
      </c>
      <c r="P2453" s="19" t="str">
        <f t="shared" si="78"/>
        <v/>
      </c>
    </row>
    <row r="2454" spans="1:16" x14ac:dyDescent="0.3">
      <c r="A2454" s="19" t="str">
        <f t="shared" si="77"/>
        <v/>
      </c>
      <c r="L2454" s="21" t="str">
        <f>IF(J2454&lt;&gt;"",VLOOKUP(J2454,HeadCount!A:I,5,0),"")</f>
        <v/>
      </c>
      <c r="P2454" s="19" t="str">
        <f t="shared" si="78"/>
        <v/>
      </c>
    </row>
    <row r="2455" spans="1:16" x14ac:dyDescent="0.3">
      <c r="A2455" s="19" t="str">
        <f t="shared" si="77"/>
        <v/>
      </c>
      <c r="L2455" s="21" t="str">
        <f>IF(J2455&lt;&gt;"",VLOOKUP(J2455,HeadCount!A:I,5,0),"")</f>
        <v/>
      </c>
      <c r="P2455" s="19" t="str">
        <f t="shared" si="78"/>
        <v/>
      </c>
    </row>
    <row r="2456" spans="1:16" x14ac:dyDescent="0.3">
      <c r="A2456" s="19" t="str">
        <f t="shared" si="77"/>
        <v/>
      </c>
      <c r="L2456" s="21" t="str">
        <f>IF(J2456&lt;&gt;"",VLOOKUP(J2456,HeadCount!A:I,5,0),"")</f>
        <v/>
      </c>
      <c r="P2456" s="19" t="str">
        <f t="shared" si="78"/>
        <v/>
      </c>
    </row>
    <row r="2457" spans="1:16" x14ac:dyDescent="0.3">
      <c r="A2457" s="19" t="str">
        <f t="shared" si="77"/>
        <v/>
      </c>
      <c r="L2457" s="21" t="str">
        <f>IF(J2457&lt;&gt;"",VLOOKUP(J2457,HeadCount!A:I,5,0),"")</f>
        <v/>
      </c>
      <c r="P2457" s="19" t="str">
        <f t="shared" si="78"/>
        <v/>
      </c>
    </row>
    <row r="2458" spans="1:16" x14ac:dyDescent="0.3">
      <c r="A2458" s="19" t="str">
        <f t="shared" si="77"/>
        <v/>
      </c>
      <c r="L2458" s="21" t="str">
        <f>IF(J2458&lt;&gt;"",VLOOKUP(J2458,HeadCount!A:I,5,0),"")</f>
        <v/>
      </c>
      <c r="P2458" s="19" t="str">
        <f t="shared" si="78"/>
        <v/>
      </c>
    </row>
    <row r="2459" spans="1:16" x14ac:dyDescent="0.3">
      <c r="A2459" s="19" t="str">
        <f t="shared" si="77"/>
        <v/>
      </c>
      <c r="L2459" s="21" t="str">
        <f>IF(J2459&lt;&gt;"",VLOOKUP(J2459,HeadCount!A:I,5,0),"")</f>
        <v/>
      </c>
      <c r="P2459" s="19" t="str">
        <f t="shared" si="78"/>
        <v/>
      </c>
    </row>
    <row r="2460" spans="1:16" x14ac:dyDescent="0.3">
      <c r="A2460" s="19" t="str">
        <f t="shared" si="77"/>
        <v/>
      </c>
      <c r="L2460" s="21" t="str">
        <f>IF(J2460&lt;&gt;"",VLOOKUP(J2460,HeadCount!A:I,5,0),"")</f>
        <v/>
      </c>
      <c r="P2460" s="19" t="str">
        <f t="shared" si="78"/>
        <v/>
      </c>
    </row>
    <row r="2461" spans="1:16" x14ac:dyDescent="0.3">
      <c r="A2461" s="19" t="str">
        <f t="shared" si="77"/>
        <v/>
      </c>
      <c r="L2461" s="21" t="str">
        <f>IF(J2461&lt;&gt;"",VLOOKUP(J2461,HeadCount!A:I,5,0),"")</f>
        <v/>
      </c>
      <c r="P2461" s="19" t="str">
        <f t="shared" si="78"/>
        <v/>
      </c>
    </row>
    <row r="2462" spans="1:16" x14ac:dyDescent="0.3">
      <c r="A2462" s="19" t="str">
        <f t="shared" si="77"/>
        <v/>
      </c>
      <c r="L2462" s="21" t="str">
        <f>IF(J2462&lt;&gt;"",VLOOKUP(J2462,HeadCount!A:I,5,0),"")</f>
        <v/>
      </c>
      <c r="P2462" s="19" t="str">
        <f t="shared" si="78"/>
        <v/>
      </c>
    </row>
    <row r="2463" spans="1:16" x14ac:dyDescent="0.3">
      <c r="A2463" s="19" t="str">
        <f t="shared" si="77"/>
        <v/>
      </c>
      <c r="L2463" s="21" t="str">
        <f>IF(J2463&lt;&gt;"",VLOOKUP(J2463,HeadCount!A:I,5,0),"")</f>
        <v/>
      </c>
      <c r="P2463" s="19" t="str">
        <f t="shared" si="78"/>
        <v/>
      </c>
    </row>
    <row r="2464" spans="1:16" x14ac:dyDescent="0.3">
      <c r="A2464" s="19" t="str">
        <f t="shared" si="77"/>
        <v/>
      </c>
      <c r="L2464" s="21" t="str">
        <f>IF(J2464&lt;&gt;"",VLOOKUP(J2464,HeadCount!A:I,5,0),"")</f>
        <v/>
      </c>
      <c r="P2464" s="19" t="str">
        <f t="shared" si="78"/>
        <v/>
      </c>
    </row>
    <row r="2465" spans="1:16" x14ac:dyDescent="0.3">
      <c r="A2465" s="19" t="str">
        <f t="shared" si="77"/>
        <v/>
      </c>
      <c r="L2465" s="21" t="str">
        <f>IF(J2465&lt;&gt;"",VLOOKUP(J2465,HeadCount!A:I,5,0),"")</f>
        <v/>
      </c>
      <c r="P2465" s="19" t="str">
        <f t="shared" si="78"/>
        <v/>
      </c>
    </row>
    <row r="2466" spans="1:16" x14ac:dyDescent="0.3">
      <c r="A2466" s="19" t="str">
        <f t="shared" si="77"/>
        <v/>
      </c>
      <c r="L2466" s="21" t="str">
        <f>IF(J2466&lt;&gt;"",VLOOKUP(J2466,HeadCount!A:I,5,0),"")</f>
        <v/>
      </c>
      <c r="P2466" s="19" t="str">
        <f t="shared" si="78"/>
        <v/>
      </c>
    </row>
    <row r="2467" spans="1:16" x14ac:dyDescent="0.3">
      <c r="A2467" s="19" t="str">
        <f t="shared" si="77"/>
        <v/>
      </c>
      <c r="L2467" s="21" t="str">
        <f>IF(J2467&lt;&gt;"",VLOOKUP(J2467,HeadCount!A:I,5,0),"")</f>
        <v/>
      </c>
      <c r="P2467" s="19" t="str">
        <f t="shared" si="78"/>
        <v/>
      </c>
    </row>
    <row r="2468" spans="1:16" x14ac:dyDescent="0.3">
      <c r="A2468" s="19" t="str">
        <f t="shared" si="77"/>
        <v/>
      </c>
      <c r="L2468" s="21" t="str">
        <f>IF(J2468&lt;&gt;"",VLOOKUP(J2468,HeadCount!A:I,5,0),"")</f>
        <v/>
      </c>
      <c r="P2468" s="19" t="str">
        <f t="shared" si="78"/>
        <v/>
      </c>
    </row>
    <row r="2469" spans="1:16" x14ac:dyDescent="0.3">
      <c r="A2469" s="19" t="str">
        <f t="shared" si="77"/>
        <v/>
      </c>
      <c r="L2469" s="21" t="str">
        <f>IF(J2469&lt;&gt;"",VLOOKUP(J2469,HeadCount!A:I,5,0),"")</f>
        <v/>
      </c>
      <c r="P2469" s="19" t="str">
        <f t="shared" si="78"/>
        <v/>
      </c>
    </row>
    <row r="2470" spans="1:16" x14ac:dyDescent="0.3">
      <c r="A2470" s="19" t="str">
        <f t="shared" si="77"/>
        <v/>
      </c>
      <c r="L2470" s="21" t="str">
        <f>IF(J2470&lt;&gt;"",VLOOKUP(J2470,HeadCount!A:I,5,0),"")</f>
        <v/>
      </c>
      <c r="P2470" s="19" t="str">
        <f t="shared" si="78"/>
        <v/>
      </c>
    </row>
    <row r="2471" spans="1:16" x14ac:dyDescent="0.3">
      <c r="A2471" s="19" t="str">
        <f t="shared" si="77"/>
        <v/>
      </c>
      <c r="L2471" s="21" t="str">
        <f>IF(J2471&lt;&gt;"",VLOOKUP(J2471,HeadCount!A:I,5,0),"")</f>
        <v/>
      </c>
      <c r="P2471" s="19" t="str">
        <f t="shared" si="78"/>
        <v/>
      </c>
    </row>
    <row r="2472" spans="1:16" x14ac:dyDescent="0.3">
      <c r="A2472" s="19" t="str">
        <f t="shared" si="77"/>
        <v/>
      </c>
      <c r="L2472" s="21" t="str">
        <f>IF(J2472&lt;&gt;"",VLOOKUP(J2472,HeadCount!A:I,5,0),"")</f>
        <v/>
      </c>
      <c r="P2472" s="19" t="str">
        <f t="shared" si="78"/>
        <v/>
      </c>
    </row>
    <row r="2473" spans="1:16" x14ac:dyDescent="0.3">
      <c r="A2473" s="19" t="str">
        <f t="shared" si="77"/>
        <v/>
      </c>
      <c r="L2473" s="21" t="str">
        <f>IF(J2473&lt;&gt;"",VLOOKUP(J2473,HeadCount!A:I,5,0),"")</f>
        <v/>
      </c>
      <c r="P2473" s="19" t="str">
        <f t="shared" si="78"/>
        <v/>
      </c>
    </row>
    <row r="2474" spans="1:16" x14ac:dyDescent="0.3">
      <c r="A2474" s="19" t="str">
        <f t="shared" si="77"/>
        <v/>
      </c>
      <c r="L2474" s="21" t="str">
        <f>IF(J2474&lt;&gt;"",VLOOKUP(J2474,HeadCount!A:I,5,0),"")</f>
        <v/>
      </c>
      <c r="P2474" s="19" t="str">
        <f t="shared" si="78"/>
        <v/>
      </c>
    </row>
    <row r="2475" spans="1:16" x14ac:dyDescent="0.3">
      <c r="A2475" s="19" t="str">
        <f t="shared" si="77"/>
        <v/>
      </c>
      <c r="L2475" s="21" t="str">
        <f>IF(J2475&lt;&gt;"",VLOOKUP(J2475,HeadCount!A:I,5,0),"")</f>
        <v/>
      </c>
      <c r="P2475" s="19" t="str">
        <f t="shared" si="78"/>
        <v/>
      </c>
    </row>
    <row r="2476" spans="1:16" x14ac:dyDescent="0.3">
      <c r="A2476" s="19" t="str">
        <f t="shared" si="77"/>
        <v/>
      </c>
      <c r="L2476" s="21" t="str">
        <f>IF(J2476&lt;&gt;"",VLOOKUP(J2476,HeadCount!A:I,5,0),"")</f>
        <v/>
      </c>
      <c r="P2476" s="19" t="str">
        <f t="shared" si="78"/>
        <v/>
      </c>
    </row>
    <row r="2477" spans="1:16" x14ac:dyDescent="0.3">
      <c r="A2477" s="19" t="str">
        <f t="shared" si="77"/>
        <v/>
      </c>
      <c r="L2477" s="21" t="str">
        <f>IF(J2477&lt;&gt;"",VLOOKUP(J2477,HeadCount!A:I,5,0),"")</f>
        <v/>
      </c>
      <c r="P2477" s="19" t="str">
        <f t="shared" si="78"/>
        <v/>
      </c>
    </row>
    <row r="2478" spans="1:16" x14ac:dyDescent="0.3">
      <c r="A2478" s="19" t="str">
        <f t="shared" si="77"/>
        <v/>
      </c>
      <c r="L2478" s="21" t="str">
        <f>IF(J2478&lt;&gt;"",VLOOKUP(J2478,HeadCount!A:I,5,0),"")</f>
        <v/>
      </c>
      <c r="P2478" s="19" t="str">
        <f t="shared" si="78"/>
        <v/>
      </c>
    </row>
    <row r="2479" spans="1:16" x14ac:dyDescent="0.3">
      <c r="A2479" s="19" t="str">
        <f t="shared" si="77"/>
        <v/>
      </c>
      <c r="L2479" s="21" t="str">
        <f>IF(J2479&lt;&gt;"",VLOOKUP(J2479,HeadCount!A:I,5,0),"")</f>
        <v/>
      </c>
      <c r="P2479" s="19" t="str">
        <f t="shared" si="78"/>
        <v/>
      </c>
    </row>
    <row r="2480" spans="1:16" x14ac:dyDescent="0.3">
      <c r="A2480" s="19" t="str">
        <f t="shared" si="77"/>
        <v/>
      </c>
      <c r="L2480" s="21" t="str">
        <f>IF(J2480&lt;&gt;"",VLOOKUP(J2480,HeadCount!A:I,5,0),"")</f>
        <v/>
      </c>
      <c r="P2480" s="19" t="str">
        <f t="shared" si="78"/>
        <v/>
      </c>
    </row>
    <row r="2481" spans="1:16" x14ac:dyDescent="0.3">
      <c r="A2481" s="19" t="str">
        <f t="shared" si="77"/>
        <v/>
      </c>
      <c r="L2481" s="21" t="str">
        <f>IF(J2481&lt;&gt;"",VLOOKUP(J2481,HeadCount!A:I,5,0),"")</f>
        <v/>
      </c>
      <c r="P2481" s="19" t="str">
        <f t="shared" si="78"/>
        <v/>
      </c>
    </row>
    <row r="2482" spans="1:16" x14ac:dyDescent="0.3">
      <c r="A2482" s="19" t="str">
        <f t="shared" si="77"/>
        <v/>
      </c>
      <c r="L2482" s="21" t="str">
        <f>IF(J2482&lt;&gt;"",VLOOKUP(J2482,HeadCount!A:I,5,0),"")</f>
        <v/>
      </c>
      <c r="P2482" s="19" t="str">
        <f t="shared" si="78"/>
        <v/>
      </c>
    </row>
    <row r="2483" spans="1:16" x14ac:dyDescent="0.3">
      <c r="A2483" s="19" t="str">
        <f t="shared" si="77"/>
        <v/>
      </c>
      <c r="L2483" s="21" t="str">
        <f>IF(J2483&lt;&gt;"",VLOOKUP(J2483,HeadCount!A:I,5,0),"")</f>
        <v/>
      </c>
      <c r="P2483" s="19" t="str">
        <f t="shared" si="78"/>
        <v/>
      </c>
    </row>
    <row r="2484" spans="1:16" x14ac:dyDescent="0.3">
      <c r="A2484" s="19" t="str">
        <f t="shared" si="77"/>
        <v/>
      </c>
      <c r="L2484" s="21" t="str">
        <f>IF(J2484&lt;&gt;"",VLOOKUP(J2484,HeadCount!A:I,5,0),"")</f>
        <v/>
      </c>
      <c r="P2484" s="19" t="str">
        <f t="shared" si="78"/>
        <v/>
      </c>
    </row>
    <row r="2485" spans="1:16" x14ac:dyDescent="0.3">
      <c r="A2485" s="19" t="str">
        <f t="shared" si="77"/>
        <v/>
      </c>
      <c r="L2485" s="21" t="str">
        <f>IF(J2485&lt;&gt;"",VLOOKUP(J2485,HeadCount!A:I,5,0),"")</f>
        <v/>
      </c>
      <c r="P2485" s="19" t="str">
        <f t="shared" si="78"/>
        <v/>
      </c>
    </row>
    <row r="2486" spans="1:16" x14ac:dyDescent="0.3">
      <c r="A2486" s="19" t="str">
        <f t="shared" si="77"/>
        <v/>
      </c>
      <c r="L2486" s="21" t="str">
        <f>IF(J2486&lt;&gt;"",VLOOKUP(J2486,HeadCount!A:I,5,0),"")</f>
        <v/>
      </c>
      <c r="P2486" s="19" t="str">
        <f t="shared" si="78"/>
        <v/>
      </c>
    </row>
    <row r="2487" spans="1:16" x14ac:dyDescent="0.3">
      <c r="A2487" s="19" t="str">
        <f t="shared" si="77"/>
        <v/>
      </c>
      <c r="L2487" s="21" t="str">
        <f>IF(J2487&lt;&gt;"",VLOOKUP(J2487,HeadCount!A:I,5,0),"")</f>
        <v/>
      </c>
      <c r="P2487" s="19" t="str">
        <f t="shared" si="78"/>
        <v/>
      </c>
    </row>
    <row r="2488" spans="1:16" x14ac:dyDescent="0.3">
      <c r="A2488" s="19" t="str">
        <f t="shared" si="77"/>
        <v/>
      </c>
      <c r="L2488" s="21" t="str">
        <f>IF(J2488&lt;&gt;"",VLOOKUP(J2488,HeadCount!A:I,5,0),"")</f>
        <v/>
      </c>
      <c r="P2488" s="19" t="str">
        <f t="shared" si="78"/>
        <v/>
      </c>
    </row>
    <row r="2489" spans="1:16" x14ac:dyDescent="0.3">
      <c r="A2489" s="19" t="str">
        <f t="shared" si="77"/>
        <v/>
      </c>
      <c r="L2489" s="21" t="str">
        <f>IF(J2489&lt;&gt;"",VLOOKUP(J2489,HeadCount!A:I,5,0),"")</f>
        <v/>
      </c>
      <c r="P2489" s="19" t="str">
        <f t="shared" si="78"/>
        <v/>
      </c>
    </row>
    <row r="2490" spans="1:16" x14ac:dyDescent="0.3">
      <c r="A2490" s="19" t="str">
        <f t="shared" si="77"/>
        <v/>
      </c>
      <c r="L2490" s="21" t="str">
        <f>IF(J2490&lt;&gt;"",VLOOKUP(J2490,HeadCount!A:I,5,0),"")</f>
        <v/>
      </c>
      <c r="P2490" s="19" t="str">
        <f t="shared" si="78"/>
        <v/>
      </c>
    </row>
    <row r="2491" spans="1:16" x14ac:dyDescent="0.3">
      <c r="A2491" s="19" t="str">
        <f t="shared" si="77"/>
        <v/>
      </c>
      <c r="L2491" s="21" t="str">
        <f>IF(J2491&lt;&gt;"",VLOOKUP(J2491,HeadCount!A:I,5,0),"")</f>
        <v/>
      </c>
      <c r="P2491" s="19" t="str">
        <f t="shared" si="78"/>
        <v/>
      </c>
    </row>
    <row r="2492" spans="1:16" x14ac:dyDescent="0.3">
      <c r="A2492" s="19" t="str">
        <f t="shared" si="77"/>
        <v/>
      </c>
      <c r="L2492" s="21" t="str">
        <f>IF(J2492&lt;&gt;"",VLOOKUP(J2492,HeadCount!A:I,5,0),"")</f>
        <v/>
      </c>
      <c r="P2492" s="19" t="str">
        <f t="shared" si="78"/>
        <v/>
      </c>
    </row>
    <row r="2493" spans="1:16" x14ac:dyDescent="0.3">
      <c r="A2493" s="19" t="str">
        <f t="shared" si="77"/>
        <v/>
      </c>
      <c r="L2493" s="21" t="str">
        <f>IF(J2493&lt;&gt;"",VLOOKUP(J2493,HeadCount!A:I,5,0),"")</f>
        <v/>
      </c>
      <c r="P2493" s="19" t="str">
        <f t="shared" si="78"/>
        <v/>
      </c>
    </row>
    <row r="2494" spans="1:16" x14ac:dyDescent="0.3">
      <c r="A2494" s="19" t="str">
        <f t="shared" si="77"/>
        <v/>
      </c>
      <c r="L2494" s="21" t="str">
        <f>IF(J2494&lt;&gt;"",VLOOKUP(J2494,HeadCount!A:I,5,0),"")</f>
        <v/>
      </c>
      <c r="P2494" s="19" t="str">
        <f t="shared" si="78"/>
        <v/>
      </c>
    </row>
    <row r="2495" spans="1:16" x14ac:dyDescent="0.3">
      <c r="A2495" s="19" t="str">
        <f t="shared" si="77"/>
        <v/>
      </c>
      <c r="L2495" s="21" t="str">
        <f>IF(J2495&lt;&gt;"",VLOOKUP(J2495,HeadCount!A:I,5,0),"")</f>
        <v/>
      </c>
      <c r="P2495" s="19" t="str">
        <f t="shared" si="78"/>
        <v/>
      </c>
    </row>
    <row r="2496" spans="1:16" x14ac:dyDescent="0.3">
      <c r="A2496" s="19" t="str">
        <f t="shared" si="77"/>
        <v/>
      </c>
      <c r="L2496" s="21" t="str">
        <f>IF(J2496&lt;&gt;"",VLOOKUP(J2496,HeadCount!A:I,5,0),"")</f>
        <v/>
      </c>
      <c r="P2496" s="19" t="str">
        <f t="shared" si="78"/>
        <v/>
      </c>
    </row>
    <row r="2497" spans="1:16" x14ac:dyDescent="0.3">
      <c r="A2497" s="19" t="str">
        <f t="shared" si="77"/>
        <v/>
      </c>
      <c r="L2497" s="21" t="str">
        <f>IF(J2497&lt;&gt;"",VLOOKUP(J2497,HeadCount!A:I,5,0),"")</f>
        <v/>
      </c>
      <c r="P2497" s="19" t="str">
        <f t="shared" si="78"/>
        <v/>
      </c>
    </row>
    <row r="2498" spans="1:16" x14ac:dyDescent="0.3">
      <c r="A2498" s="19" t="str">
        <f t="shared" ref="A2498:A2561" si="79">IF(C2498&lt;&gt;"",ROW(A2497),"")</f>
        <v/>
      </c>
      <c r="L2498" s="21" t="str">
        <f>IF(J2498&lt;&gt;"",VLOOKUP(J2498,HeadCount!A:I,5,0),"")</f>
        <v/>
      </c>
      <c r="P2498" s="19" t="str">
        <f t="shared" si="78"/>
        <v/>
      </c>
    </row>
    <row r="2499" spans="1:16" x14ac:dyDescent="0.3">
      <c r="A2499" s="19" t="str">
        <f t="shared" si="79"/>
        <v/>
      </c>
      <c r="L2499" s="21" t="str">
        <f>IF(J2499&lt;&gt;"",VLOOKUP(J2499,HeadCount!A:I,5,0),"")</f>
        <v/>
      </c>
      <c r="P2499" s="19" t="str">
        <f t="shared" ref="P2499:P2562" si="80">IF(N2499="","",(O2499-N2499)+1)</f>
        <v/>
      </c>
    </row>
    <row r="2500" spans="1:16" x14ac:dyDescent="0.3">
      <c r="A2500" s="19" t="str">
        <f t="shared" si="79"/>
        <v/>
      </c>
      <c r="L2500" s="21" t="str">
        <f>IF(J2500&lt;&gt;"",VLOOKUP(J2500,HeadCount!A:I,5,0),"")</f>
        <v/>
      </c>
      <c r="P2500" s="19" t="str">
        <f t="shared" si="80"/>
        <v/>
      </c>
    </row>
    <row r="2501" spans="1:16" x14ac:dyDescent="0.3">
      <c r="A2501" s="19" t="str">
        <f t="shared" si="79"/>
        <v/>
      </c>
      <c r="L2501" s="21" t="str">
        <f>IF(J2501&lt;&gt;"",VLOOKUP(J2501,HeadCount!A:I,5,0),"")</f>
        <v/>
      </c>
      <c r="P2501" s="19" t="str">
        <f t="shared" si="80"/>
        <v/>
      </c>
    </row>
    <row r="2502" spans="1:16" x14ac:dyDescent="0.3">
      <c r="A2502" s="19" t="str">
        <f t="shared" si="79"/>
        <v/>
      </c>
      <c r="L2502" s="21" t="str">
        <f>IF(J2502&lt;&gt;"",VLOOKUP(J2502,HeadCount!A:I,5,0),"")</f>
        <v/>
      </c>
      <c r="P2502" s="19" t="str">
        <f t="shared" si="80"/>
        <v/>
      </c>
    </row>
    <row r="2503" spans="1:16" x14ac:dyDescent="0.3">
      <c r="A2503" s="19" t="str">
        <f t="shared" si="79"/>
        <v/>
      </c>
      <c r="L2503" s="21" t="str">
        <f>IF(J2503&lt;&gt;"",VLOOKUP(J2503,HeadCount!A:I,5,0),"")</f>
        <v/>
      </c>
      <c r="P2503" s="19" t="str">
        <f t="shared" si="80"/>
        <v/>
      </c>
    </row>
    <row r="2504" spans="1:16" x14ac:dyDescent="0.3">
      <c r="A2504" s="19" t="str">
        <f t="shared" si="79"/>
        <v/>
      </c>
      <c r="L2504" s="21" t="str">
        <f>IF(J2504&lt;&gt;"",VLOOKUP(J2504,HeadCount!A:I,5,0),"")</f>
        <v/>
      </c>
      <c r="P2504" s="19" t="str">
        <f t="shared" si="80"/>
        <v/>
      </c>
    </row>
    <row r="2505" spans="1:16" x14ac:dyDescent="0.3">
      <c r="A2505" s="19" t="str">
        <f t="shared" si="79"/>
        <v/>
      </c>
      <c r="L2505" s="21" t="str">
        <f>IF(J2505&lt;&gt;"",VLOOKUP(J2505,HeadCount!A:I,5,0),"")</f>
        <v/>
      </c>
      <c r="P2505" s="19" t="str">
        <f t="shared" si="80"/>
        <v/>
      </c>
    </row>
    <row r="2506" spans="1:16" x14ac:dyDescent="0.3">
      <c r="A2506" s="19" t="str">
        <f t="shared" si="79"/>
        <v/>
      </c>
      <c r="L2506" s="21" t="str">
        <f>IF(J2506&lt;&gt;"",VLOOKUP(J2506,HeadCount!A:I,5,0),"")</f>
        <v/>
      </c>
      <c r="P2506" s="19" t="str">
        <f t="shared" si="80"/>
        <v/>
      </c>
    </row>
    <row r="2507" spans="1:16" x14ac:dyDescent="0.3">
      <c r="A2507" s="19" t="str">
        <f t="shared" si="79"/>
        <v/>
      </c>
      <c r="L2507" s="21" t="str">
        <f>IF(J2507&lt;&gt;"",VLOOKUP(J2507,HeadCount!A:I,5,0),"")</f>
        <v/>
      </c>
      <c r="P2507" s="19" t="str">
        <f t="shared" si="80"/>
        <v/>
      </c>
    </row>
    <row r="2508" spans="1:16" x14ac:dyDescent="0.3">
      <c r="A2508" s="19" t="str">
        <f t="shared" si="79"/>
        <v/>
      </c>
      <c r="L2508" s="21" t="str">
        <f>IF(J2508&lt;&gt;"",VLOOKUP(J2508,HeadCount!A:I,5,0),"")</f>
        <v/>
      </c>
      <c r="P2508" s="19" t="str">
        <f t="shared" si="80"/>
        <v/>
      </c>
    </row>
    <row r="2509" spans="1:16" x14ac:dyDescent="0.3">
      <c r="A2509" s="19" t="str">
        <f t="shared" si="79"/>
        <v/>
      </c>
      <c r="L2509" s="21" t="str">
        <f>IF(J2509&lt;&gt;"",VLOOKUP(J2509,HeadCount!A:I,5,0),"")</f>
        <v/>
      </c>
      <c r="P2509" s="19" t="str">
        <f t="shared" si="80"/>
        <v/>
      </c>
    </row>
    <row r="2510" spans="1:16" x14ac:dyDescent="0.3">
      <c r="A2510" s="19" t="str">
        <f t="shared" si="79"/>
        <v/>
      </c>
      <c r="L2510" s="21" t="str">
        <f>IF(J2510&lt;&gt;"",VLOOKUP(J2510,HeadCount!A:I,5,0),"")</f>
        <v/>
      </c>
      <c r="P2510" s="19" t="str">
        <f t="shared" si="80"/>
        <v/>
      </c>
    </row>
    <row r="2511" spans="1:16" x14ac:dyDescent="0.3">
      <c r="A2511" s="19" t="str">
        <f t="shared" si="79"/>
        <v/>
      </c>
      <c r="L2511" s="21" t="str">
        <f>IF(J2511&lt;&gt;"",VLOOKUP(J2511,HeadCount!A:I,5,0),"")</f>
        <v/>
      </c>
      <c r="P2511" s="19" t="str">
        <f t="shared" si="80"/>
        <v/>
      </c>
    </row>
    <row r="2512" spans="1:16" x14ac:dyDescent="0.3">
      <c r="A2512" s="19" t="str">
        <f t="shared" si="79"/>
        <v/>
      </c>
      <c r="L2512" s="21" t="str">
        <f>IF(J2512&lt;&gt;"",VLOOKUP(J2512,HeadCount!A:I,5,0),"")</f>
        <v/>
      </c>
      <c r="P2512" s="19" t="str">
        <f t="shared" si="80"/>
        <v/>
      </c>
    </row>
    <row r="2513" spans="1:16" x14ac:dyDescent="0.3">
      <c r="A2513" s="19" t="str">
        <f t="shared" si="79"/>
        <v/>
      </c>
      <c r="L2513" s="21" t="str">
        <f>IF(J2513&lt;&gt;"",VLOOKUP(J2513,HeadCount!A:I,5,0),"")</f>
        <v/>
      </c>
      <c r="P2513" s="19" t="str">
        <f t="shared" si="80"/>
        <v/>
      </c>
    </row>
    <row r="2514" spans="1:16" x14ac:dyDescent="0.3">
      <c r="A2514" s="19" t="str">
        <f t="shared" si="79"/>
        <v/>
      </c>
      <c r="L2514" s="21" t="str">
        <f>IF(J2514&lt;&gt;"",VLOOKUP(J2514,HeadCount!A:I,5,0),"")</f>
        <v/>
      </c>
      <c r="P2514" s="19" t="str">
        <f t="shared" si="80"/>
        <v/>
      </c>
    </row>
    <row r="2515" spans="1:16" x14ac:dyDescent="0.3">
      <c r="A2515" s="19" t="str">
        <f t="shared" si="79"/>
        <v/>
      </c>
      <c r="L2515" s="21" t="str">
        <f>IF(J2515&lt;&gt;"",VLOOKUP(J2515,HeadCount!A:I,5,0),"")</f>
        <v/>
      </c>
      <c r="P2515" s="19" t="str">
        <f t="shared" si="80"/>
        <v/>
      </c>
    </row>
    <row r="2516" spans="1:16" x14ac:dyDescent="0.3">
      <c r="A2516" s="19" t="str">
        <f t="shared" si="79"/>
        <v/>
      </c>
      <c r="L2516" s="21" t="str">
        <f>IF(J2516&lt;&gt;"",VLOOKUP(J2516,HeadCount!A:I,5,0),"")</f>
        <v/>
      </c>
      <c r="P2516" s="19" t="str">
        <f t="shared" si="80"/>
        <v/>
      </c>
    </row>
    <row r="2517" spans="1:16" x14ac:dyDescent="0.3">
      <c r="A2517" s="19" t="str">
        <f t="shared" si="79"/>
        <v/>
      </c>
      <c r="L2517" s="21" t="str">
        <f>IF(J2517&lt;&gt;"",VLOOKUP(J2517,HeadCount!A:I,5,0),"")</f>
        <v/>
      </c>
      <c r="P2517" s="19" t="str">
        <f t="shared" si="80"/>
        <v/>
      </c>
    </row>
    <row r="2518" spans="1:16" x14ac:dyDescent="0.3">
      <c r="A2518" s="19" t="str">
        <f t="shared" si="79"/>
        <v/>
      </c>
      <c r="L2518" s="21" t="str">
        <f>IF(J2518&lt;&gt;"",VLOOKUP(J2518,HeadCount!A:I,5,0),"")</f>
        <v/>
      </c>
      <c r="P2518" s="19" t="str">
        <f t="shared" si="80"/>
        <v/>
      </c>
    </row>
    <row r="2519" spans="1:16" x14ac:dyDescent="0.3">
      <c r="A2519" s="19" t="str">
        <f t="shared" si="79"/>
        <v/>
      </c>
      <c r="L2519" s="21" t="str">
        <f>IF(J2519&lt;&gt;"",VLOOKUP(J2519,HeadCount!A:I,5,0),"")</f>
        <v/>
      </c>
      <c r="P2519" s="19" t="str">
        <f t="shared" si="80"/>
        <v/>
      </c>
    </row>
    <row r="2520" spans="1:16" x14ac:dyDescent="0.3">
      <c r="A2520" s="19" t="str">
        <f t="shared" si="79"/>
        <v/>
      </c>
      <c r="L2520" s="21" t="str">
        <f>IF(J2520&lt;&gt;"",VLOOKUP(J2520,HeadCount!A:I,5,0),"")</f>
        <v/>
      </c>
      <c r="P2520" s="19" t="str">
        <f t="shared" si="80"/>
        <v/>
      </c>
    </row>
    <row r="2521" spans="1:16" x14ac:dyDescent="0.3">
      <c r="A2521" s="19" t="str">
        <f t="shared" si="79"/>
        <v/>
      </c>
      <c r="L2521" s="21" t="str">
        <f>IF(J2521&lt;&gt;"",VLOOKUP(J2521,HeadCount!A:I,5,0),"")</f>
        <v/>
      </c>
      <c r="P2521" s="19" t="str">
        <f t="shared" si="80"/>
        <v/>
      </c>
    </row>
    <row r="2522" spans="1:16" x14ac:dyDescent="0.3">
      <c r="A2522" s="19" t="str">
        <f t="shared" si="79"/>
        <v/>
      </c>
      <c r="L2522" s="21" t="str">
        <f>IF(J2522&lt;&gt;"",VLOOKUP(J2522,HeadCount!A:I,5,0),"")</f>
        <v/>
      </c>
      <c r="P2522" s="19" t="str">
        <f t="shared" si="80"/>
        <v/>
      </c>
    </row>
    <row r="2523" spans="1:16" x14ac:dyDescent="0.3">
      <c r="A2523" s="19" t="str">
        <f t="shared" si="79"/>
        <v/>
      </c>
      <c r="L2523" s="21" t="str">
        <f>IF(J2523&lt;&gt;"",VLOOKUP(J2523,HeadCount!A:I,5,0),"")</f>
        <v/>
      </c>
      <c r="P2523" s="19" t="str">
        <f t="shared" si="80"/>
        <v/>
      </c>
    </row>
    <row r="2524" spans="1:16" x14ac:dyDescent="0.3">
      <c r="A2524" s="19" t="str">
        <f t="shared" si="79"/>
        <v/>
      </c>
      <c r="L2524" s="21" t="str">
        <f>IF(J2524&lt;&gt;"",VLOOKUP(J2524,HeadCount!A:I,5,0),"")</f>
        <v/>
      </c>
      <c r="P2524" s="19" t="str">
        <f t="shared" si="80"/>
        <v/>
      </c>
    </row>
    <row r="2525" spans="1:16" x14ac:dyDescent="0.3">
      <c r="A2525" s="19" t="str">
        <f t="shared" si="79"/>
        <v/>
      </c>
      <c r="L2525" s="21" t="str">
        <f>IF(J2525&lt;&gt;"",VLOOKUP(J2525,HeadCount!A:I,5,0),"")</f>
        <v/>
      </c>
      <c r="P2525" s="19" t="str">
        <f t="shared" si="80"/>
        <v/>
      </c>
    </row>
    <row r="2526" spans="1:16" x14ac:dyDescent="0.3">
      <c r="A2526" s="19" t="str">
        <f t="shared" si="79"/>
        <v/>
      </c>
      <c r="L2526" s="21" t="str">
        <f>IF(J2526&lt;&gt;"",VLOOKUP(J2526,HeadCount!A:I,5,0),"")</f>
        <v/>
      </c>
      <c r="P2526" s="19" t="str">
        <f t="shared" si="80"/>
        <v/>
      </c>
    </row>
    <row r="2527" spans="1:16" x14ac:dyDescent="0.3">
      <c r="A2527" s="19" t="str">
        <f t="shared" si="79"/>
        <v/>
      </c>
      <c r="L2527" s="21" t="str">
        <f>IF(J2527&lt;&gt;"",VLOOKUP(J2527,HeadCount!A:I,5,0),"")</f>
        <v/>
      </c>
      <c r="P2527" s="19" t="str">
        <f t="shared" si="80"/>
        <v/>
      </c>
    </row>
    <row r="2528" spans="1:16" x14ac:dyDescent="0.3">
      <c r="A2528" s="19" t="str">
        <f t="shared" si="79"/>
        <v/>
      </c>
      <c r="L2528" s="21" t="str">
        <f>IF(J2528&lt;&gt;"",VLOOKUP(J2528,HeadCount!A:I,5,0),"")</f>
        <v/>
      </c>
      <c r="P2528" s="19" t="str">
        <f t="shared" si="80"/>
        <v/>
      </c>
    </row>
    <row r="2529" spans="1:16" x14ac:dyDescent="0.3">
      <c r="A2529" s="19" t="str">
        <f t="shared" si="79"/>
        <v/>
      </c>
      <c r="L2529" s="21" t="str">
        <f>IF(J2529&lt;&gt;"",VLOOKUP(J2529,HeadCount!A:I,5,0),"")</f>
        <v/>
      </c>
      <c r="P2529" s="19" t="str">
        <f t="shared" si="80"/>
        <v/>
      </c>
    </row>
    <row r="2530" spans="1:16" x14ac:dyDescent="0.3">
      <c r="A2530" s="19" t="str">
        <f t="shared" si="79"/>
        <v/>
      </c>
      <c r="L2530" s="21" t="str">
        <f>IF(J2530&lt;&gt;"",VLOOKUP(J2530,HeadCount!A:I,5,0),"")</f>
        <v/>
      </c>
      <c r="P2530" s="19" t="str">
        <f t="shared" si="80"/>
        <v/>
      </c>
    </row>
    <row r="2531" spans="1:16" x14ac:dyDescent="0.3">
      <c r="A2531" s="19" t="str">
        <f t="shared" si="79"/>
        <v/>
      </c>
      <c r="L2531" s="21" t="str">
        <f>IF(J2531&lt;&gt;"",VLOOKUP(J2531,HeadCount!A:I,5,0),"")</f>
        <v/>
      </c>
      <c r="P2531" s="19" t="str">
        <f t="shared" si="80"/>
        <v/>
      </c>
    </row>
    <row r="2532" spans="1:16" x14ac:dyDescent="0.3">
      <c r="A2532" s="19" t="str">
        <f t="shared" si="79"/>
        <v/>
      </c>
      <c r="L2532" s="21" t="str">
        <f>IF(J2532&lt;&gt;"",VLOOKUP(J2532,HeadCount!A:I,5,0),"")</f>
        <v/>
      </c>
      <c r="P2532" s="19" t="str">
        <f t="shared" si="80"/>
        <v/>
      </c>
    </row>
    <row r="2533" spans="1:16" x14ac:dyDescent="0.3">
      <c r="A2533" s="19" t="str">
        <f t="shared" si="79"/>
        <v/>
      </c>
      <c r="L2533" s="21" t="str">
        <f>IF(J2533&lt;&gt;"",VLOOKUP(J2533,HeadCount!A:I,5,0),"")</f>
        <v/>
      </c>
      <c r="P2533" s="19" t="str">
        <f t="shared" si="80"/>
        <v/>
      </c>
    </row>
    <row r="2534" spans="1:16" x14ac:dyDescent="0.3">
      <c r="A2534" s="19" t="str">
        <f t="shared" si="79"/>
        <v/>
      </c>
      <c r="L2534" s="21" t="str">
        <f>IF(J2534&lt;&gt;"",VLOOKUP(J2534,HeadCount!A:I,5,0),"")</f>
        <v/>
      </c>
      <c r="P2534" s="19" t="str">
        <f t="shared" si="80"/>
        <v/>
      </c>
    </row>
    <row r="2535" spans="1:16" x14ac:dyDescent="0.3">
      <c r="A2535" s="19" t="str">
        <f t="shared" si="79"/>
        <v/>
      </c>
      <c r="L2535" s="21" t="str">
        <f>IF(J2535&lt;&gt;"",VLOOKUP(J2535,HeadCount!A:I,5,0),"")</f>
        <v/>
      </c>
      <c r="P2535" s="19" t="str">
        <f t="shared" si="80"/>
        <v/>
      </c>
    </row>
    <row r="2536" spans="1:16" x14ac:dyDescent="0.3">
      <c r="A2536" s="19" t="str">
        <f t="shared" si="79"/>
        <v/>
      </c>
      <c r="L2536" s="21" t="str">
        <f>IF(J2536&lt;&gt;"",VLOOKUP(J2536,HeadCount!A:I,5,0),"")</f>
        <v/>
      </c>
      <c r="P2536" s="19" t="str">
        <f t="shared" si="80"/>
        <v/>
      </c>
    </row>
    <row r="2537" spans="1:16" x14ac:dyDescent="0.3">
      <c r="A2537" s="19" t="str">
        <f t="shared" si="79"/>
        <v/>
      </c>
      <c r="L2537" s="21" t="str">
        <f>IF(J2537&lt;&gt;"",VLOOKUP(J2537,HeadCount!A:I,5,0),"")</f>
        <v/>
      </c>
      <c r="P2537" s="19" t="str">
        <f t="shared" si="80"/>
        <v/>
      </c>
    </row>
    <row r="2538" spans="1:16" x14ac:dyDescent="0.3">
      <c r="A2538" s="19" t="str">
        <f t="shared" si="79"/>
        <v/>
      </c>
      <c r="L2538" s="21" t="str">
        <f>IF(J2538&lt;&gt;"",VLOOKUP(J2538,HeadCount!A:I,5,0),"")</f>
        <v/>
      </c>
      <c r="P2538" s="19" t="str">
        <f t="shared" si="80"/>
        <v/>
      </c>
    </row>
    <row r="2539" spans="1:16" x14ac:dyDescent="0.3">
      <c r="A2539" s="19" t="str">
        <f t="shared" si="79"/>
        <v/>
      </c>
      <c r="L2539" s="21" t="str">
        <f>IF(J2539&lt;&gt;"",VLOOKUP(J2539,HeadCount!A:I,5,0),"")</f>
        <v/>
      </c>
      <c r="P2539" s="19" t="str">
        <f t="shared" si="80"/>
        <v/>
      </c>
    </row>
    <row r="2540" spans="1:16" x14ac:dyDescent="0.3">
      <c r="A2540" s="19" t="str">
        <f t="shared" si="79"/>
        <v/>
      </c>
      <c r="L2540" s="21" t="str">
        <f>IF(J2540&lt;&gt;"",VLOOKUP(J2540,HeadCount!A:I,5,0),"")</f>
        <v/>
      </c>
      <c r="P2540" s="19" t="str">
        <f t="shared" si="80"/>
        <v/>
      </c>
    </row>
    <row r="2541" spans="1:16" x14ac:dyDescent="0.3">
      <c r="A2541" s="19" t="str">
        <f t="shared" si="79"/>
        <v/>
      </c>
      <c r="L2541" s="21" t="str">
        <f>IF(J2541&lt;&gt;"",VLOOKUP(J2541,HeadCount!A:I,5,0),"")</f>
        <v/>
      </c>
      <c r="P2541" s="19" t="str">
        <f t="shared" si="80"/>
        <v/>
      </c>
    </row>
    <row r="2542" spans="1:16" x14ac:dyDescent="0.3">
      <c r="A2542" s="19" t="str">
        <f t="shared" si="79"/>
        <v/>
      </c>
      <c r="L2542" s="21" t="str">
        <f>IF(J2542&lt;&gt;"",VLOOKUP(J2542,HeadCount!A:I,5,0),"")</f>
        <v/>
      </c>
      <c r="P2542" s="19" t="str">
        <f t="shared" si="80"/>
        <v/>
      </c>
    </row>
    <row r="2543" spans="1:16" x14ac:dyDescent="0.3">
      <c r="A2543" s="19" t="str">
        <f t="shared" si="79"/>
        <v/>
      </c>
      <c r="L2543" s="21" t="str">
        <f>IF(J2543&lt;&gt;"",VLOOKUP(J2543,HeadCount!A:I,5,0),"")</f>
        <v/>
      </c>
      <c r="P2543" s="19" t="str">
        <f t="shared" si="80"/>
        <v/>
      </c>
    </row>
    <row r="2544" spans="1:16" x14ac:dyDescent="0.3">
      <c r="A2544" s="19" t="str">
        <f t="shared" si="79"/>
        <v/>
      </c>
      <c r="L2544" s="21" t="str">
        <f>IF(J2544&lt;&gt;"",VLOOKUP(J2544,HeadCount!A:I,5,0),"")</f>
        <v/>
      </c>
      <c r="P2544" s="19" t="str">
        <f t="shared" si="80"/>
        <v/>
      </c>
    </row>
    <row r="2545" spans="1:16" x14ac:dyDescent="0.3">
      <c r="A2545" s="19" t="str">
        <f t="shared" si="79"/>
        <v/>
      </c>
      <c r="L2545" s="21" t="str">
        <f>IF(J2545&lt;&gt;"",VLOOKUP(J2545,HeadCount!A:I,5,0),"")</f>
        <v/>
      </c>
      <c r="P2545" s="19" t="str">
        <f t="shared" si="80"/>
        <v/>
      </c>
    </row>
    <row r="2546" spans="1:16" x14ac:dyDescent="0.3">
      <c r="A2546" s="19" t="str">
        <f t="shared" si="79"/>
        <v/>
      </c>
      <c r="L2546" s="21" t="str">
        <f>IF(J2546&lt;&gt;"",VLOOKUP(J2546,HeadCount!A:I,5,0),"")</f>
        <v/>
      </c>
      <c r="P2546" s="19" t="str">
        <f t="shared" si="80"/>
        <v/>
      </c>
    </row>
    <row r="2547" spans="1:16" x14ac:dyDescent="0.3">
      <c r="A2547" s="19" t="str">
        <f t="shared" si="79"/>
        <v/>
      </c>
      <c r="L2547" s="21" t="str">
        <f>IF(J2547&lt;&gt;"",VLOOKUP(J2547,HeadCount!A:I,5,0),"")</f>
        <v/>
      </c>
      <c r="P2547" s="19" t="str">
        <f t="shared" si="80"/>
        <v/>
      </c>
    </row>
    <row r="2548" spans="1:16" x14ac:dyDescent="0.3">
      <c r="A2548" s="19" t="str">
        <f t="shared" si="79"/>
        <v/>
      </c>
      <c r="L2548" s="21" t="str">
        <f>IF(J2548&lt;&gt;"",VLOOKUP(J2548,HeadCount!A:I,5,0),"")</f>
        <v/>
      </c>
      <c r="P2548" s="19" t="str">
        <f t="shared" si="80"/>
        <v/>
      </c>
    </row>
    <row r="2549" spans="1:16" x14ac:dyDescent="0.3">
      <c r="A2549" s="19" t="str">
        <f t="shared" si="79"/>
        <v/>
      </c>
      <c r="L2549" s="21" t="str">
        <f>IF(J2549&lt;&gt;"",VLOOKUP(J2549,HeadCount!A:I,5,0),"")</f>
        <v/>
      </c>
      <c r="P2549" s="19" t="str">
        <f t="shared" si="80"/>
        <v/>
      </c>
    </row>
    <row r="2550" spans="1:16" x14ac:dyDescent="0.3">
      <c r="A2550" s="19" t="str">
        <f t="shared" si="79"/>
        <v/>
      </c>
      <c r="L2550" s="21" t="str">
        <f>IF(J2550&lt;&gt;"",VLOOKUP(J2550,HeadCount!A:I,5,0),"")</f>
        <v/>
      </c>
      <c r="P2550" s="19" t="str">
        <f t="shared" si="80"/>
        <v/>
      </c>
    </row>
    <row r="2551" spans="1:16" x14ac:dyDescent="0.3">
      <c r="A2551" s="19" t="str">
        <f t="shared" si="79"/>
        <v/>
      </c>
      <c r="L2551" s="21" t="str">
        <f>IF(J2551&lt;&gt;"",VLOOKUP(J2551,HeadCount!A:I,5,0),"")</f>
        <v/>
      </c>
      <c r="P2551" s="19" t="str">
        <f t="shared" si="80"/>
        <v/>
      </c>
    </row>
    <row r="2552" spans="1:16" x14ac:dyDescent="0.3">
      <c r="A2552" s="19" t="str">
        <f t="shared" si="79"/>
        <v/>
      </c>
      <c r="L2552" s="21" t="str">
        <f>IF(J2552&lt;&gt;"",VLOOKUP(J2552,HeadCount!A:I,5,0),"")</f>
        <v/>
      </c>
      <c r="P2552" s="19" t="str">
        <f t="shared" si="80"/>
        <v/>
      </c>
    </row>
    <row r="2553" spans="1:16" x14ac:dyDescent="0.3">
      <c r="A2553" s="19" t="str">
        <f t="shared" si="79"/>
        <v/>
      </c>
      <c r="L2553" s="21" t="str">
        <f>IF(J2553&lt;&gt;"",VLOOKUP(J2553,HeadCount!A:I,5,0),"")</f>
        <v/>
      </c>
      <c r="P2553" s="19" t="str">
        <f t="shared" si="80"/>
        <v/>
      </c>
    </row>
    <row r="2554" spans="1:16" x14ac:dyDescent="0.3">
      <c r="A2554" s="19" t="str">
        <f t="shared" si="79"/>
        <v/>
      </c>
      <c r="L2554" s="21" t="str">
        <f>IF(J2554&lt;&gt;"",VLOOKUP(J2554,HeadCount!A:I,5,0),"")</f>
        <v/>
      </c>
      <c r="P2554" s="19" t="str">
        <f t="shared" si="80"/>
        <v/>
      </c>
    </row>
    <row r="2555" spans="1:16" x14ac:dyDescent="0.3">
      <c r="A2555" s="19" t="str">
        <f t="shared" si="79"/>
        <v/>
      </c>
      <c r="L2555" s="21" t="str">
        <f>IF(J2555&lt;&gt;"",VLOOKUP(J2555,HeadCount!A:I,5,0),"")</f>
        <v/>
      </c>
      <c r="P2555" s="19" t="str">
        <f t="shared" si="80"/>
        <v/>
      </c>
    </row>
    <row r="2556" spans="1:16" x14ac:dyDescent="0.3">
      <c r="A2556" s="19" t="str">
        <f t="shared" si="79"/>
        <v/>
      </c>
      <c r="L2556" s="21" t="str">
        <f>IF(J2556&lt;&gt;"",VLOOKUP(J2556,HeadCount!A:I,5,0),"")</f>
        <v/>
      </c>
      <c r="P2556" s="19" t="str">
        <f t="shared" si="80"/>
        <v/>
      </c>
    </row>
    <row r="2557" spans="1:16" x14ac:dyDescent="0.3">
      <c r="A2557" s="19" t="str">
        <f t="shared" si="79"/>
        <v/>
      </c>
      <c r="L2557" s="21" t="str">
        <f>IF(J2557&lt;&gt;"",VLOOKUP(J2557,HeadCount!A:I,5,0),"")</f>
        <v/>
      </c>
      <c r="P2557" s="19" t="str">
        <f t="shared" si="80"/>
        <v/>
      </c>
    </row>
    <row r="2558" spans="1:16" x14ac:dyDescent="0.3">
      <c r="A2558" s="19" t="str">
        <f t="shared" si="79"/>
        <v/>
      </c>
      <c r="L2558" s="21" t="str">
        <f>IF(J2558&lt;&gt;"",VLOOKUP(J2558,HeadCount!A:I,5,0),"")</f>
        <v/>
      </c>
      <c r="P2558" s="19" t="str">
        <f t="shared" si="80"/>
        <v/>
      </c>
    </row>
    <row r="2559" spans="1:16" x14ac:dyDescent="0.3">
      <c r="A2559" s="19" t="str">
        <f t="shared" si="79"/>
        <v/>
      </c>
      <c r="L2559" s="21" t="str">
        <f>IF(J2559&lt;&gt;"",VLOOKUP(J2559,HeadCount!A:I,5,0),"")</f>
        <v/>
      </c>
      <c r="P2559" s="19" t="str">
        <f t="shared" si="80"/>
        <v/>
      </c>
    </row>
    <row r="2560" spans="1:16" x14ac:dyDescent="0.3">
      <c r="A2560" s="19" t="str">
        <f t="shared" si="79"/>
        <v/>
      </c>
      <c r="L2560" s="21" t="str">
        <f>IF(J2560&lt;&gt;"",VLOOKUP(J2560,HeadCount!A:I,5,0),"")</f>
        <v/>
      </c>
      <c r="P2560" s="19" t="str">
        <f t="shared" si="80"/>
        <v/>
      </c>
    </row>
    <row r="2561" spans="1:16" x14ac:dyDescent="0.3">
      <c r="A2561" s="19" t="str">
        <f t="shared" si="79"/>
        <v/>
      </c>
      <c r="L2561" s="21" t="str">
        <f>IF(J2561&lt;&gt;"",VLOOKUP(J2561,HeadCount!A:I,5,0),"")</f>
        <v/>
      </c>
      <c r="P2561" s="19" t="str">
        <f t="shared" si="80"/>
        <v/>
      </c>
    </row>
    <row r="2562" spans="1:16" x14ac:dyDescent="0.3">
      <c r="A2562" s="19" t="str">
        <f t="shared" ref="A2562:A2625" si="81">IF(C2562&lt;&gt;"",ROW(A2561),"")</f>
        <v/>
      </c>
      <c r="L2562" s="21" t="str">
        <f>IF(J2562&lt;&gt;"",VLOOKUP(J2562,HeadCount!A:I,5,0),"")</f>
        <v/>
      </c>
      <c r="P2562" s="19" t="str">
        <f t="shared" si="80"/>
        <v/>
      </c>
    </row>
    <row r="2563" spans="1:16" x14ac:dyDescent="0.3">
      <c r="A2563" s="19" t="str">
        <f t="shared" si="81"/>
        <v/>
      </c>
      <c r="L2563" s="21" t="str">
        <f>IF(J2563&lt;&gt;"",VLOOKUP(J2563,HeadCount!A:I,5,0),"")</f>
        <v/>
      </c>
      <c r="P2563" s="19" t="str">
        <f t="shared" ref="P2563:P2626" si="82">IF(N2563="","",(O2563-N2563)+1)</f>
        <v/>
      </c>
    </row>
    <row r="2564" spans="1:16" x14ac:dyDescent="0.3">
      <c r="A2564" s="19" t="str">
        <f t="shared" si="81"/>
        <v/>
      </c>
      <c r="L2564" s="21" t="str">
        <f>IF(J2564&lt;&gt;"",VLOOKUP(J2564,HeadCount!A:I,5,0),"")</f>
        <v/>
      </c>
      <c r="P2564" s="19" t="str">
        <f t="shared" si="82"/>
        <v/>
      </c>
    </row>
    <row r="2565" spans="1:16" x14ac:dyDescent="0.3">
      <c r="A2565" s="19" t="str">
        <f t="shared" si="81"/>
        <v/>
      </c>
      <c r="L2565" s="21" t="str">
        <f>IF(J2565&lt;&gt;"",VLOOKUP(J2565,HeadCount!A:I,5,0),"")</f>
        <v/>
      </c>
      <c r="P2565" s="19" t="str">
        <f t="shared" si="82"/>
        <v/>
      </c>
    </row>
    <row r="2566" spans="1:16" x14ac:dyDescent="0.3">
      <c r="A2566" s="19" t="str">
        <f t="shared" si="81"/>
        <v/>
      </c>
      <c r="L2566" s="21" t="str">
        <f>IF(J2566&lt;&gt;"",VLOOKUP(J2566,HeadCount!A:I,5,0),"")</f>
        <v/>
      </c>
      <c r="P2566" s="19" t="str">
        <f t="shared" si="82"/>
        <v/>
      </c>
    </row>
    <row r="2567" spans="1:16" x14ac:dyDescent="0.3">
      <c r="A2567" s="19" t="str">
        <f t="shared" si="81"/>
        <v/>
      </c>
      <c r="L2567" s="21" t="str">
        <f>IF(J2567&lt;&gt;"",VLOOKUP(J2567,HeadCount!A:I,5,0),"")</f>
        <v/>
      </c>
      <c r="P2567" s="19" t="str">
        <f t="shared" si="82"/>
        <v/>
      </c>
    </row>
    <row r="2568" spans="1:16" x14ac:dyDescent="0.3">
      <c r="A2568" s="19" t="str">
        <f t="shared" si="81"/>
        <v/>
      </c>
      <c r="L2568" s="21" t="str">
        <f>IF(J2568&lt;&gt;"",VLOOKUP(J2568,HeadCount!A:I,5,0),"")</f>
        <v/>
      </c>
      <c r="P2568" s="19" t="str">
        <f t="shared" si="82"/>
        <v/>
      </c>
    </row>
    <row r="2569" spans="1:16" x14ac:dyDescent="0.3">
      <c r="A2569" s="19" t="str">
        <f t="shared" si="81"/>
        <v/>
      </c>
      <c r="L2569" s="21" t="str">
        <f>IF(J2569&lt;&gt;"",VLOOKUP(J2569,HeadCount!A:I,5,0),"")</f>
        <v/>
      </c>
      <c r="P2569" s="19" t="str">
        <f t="shared" si="82"/>
        <v/>
      </c>
    </row>
    <row r="2570" spans="1:16" x14ac:dyDescent="0.3">
      <c r="A2570" s="19" t="str">
        <f t="shared" si="81"/>
        <v/>
      </c>
      <c r="L2570" s="21" t="str">
        <f>IF(J2570&lt;&gt;"",VLOOKUP(J2570,HeadCount!A:I,5,0),"")</f>
        <v/>
      </c>
      <c r="P2570" s="19" t="str">
        <f t="shared" si="82"/>
        <v/>
      </c>
    </row>
    <row r="2571" spans="1:16" x14ac:dyDescent="0.3">
      <c r="A2571" s="19" t="str">
        <f t="shared" si="81"/>
        <v/>
      </c>
      <c r="L2571" s="21" t="str">
        <f>IF(J2571&lt;&gt;"",VLOOKUP(J2571,HeadCount!A:I,5,0),"")</f>
        <v/>
      </c>
      <c r="P2571" s="19" t="str">
        <f t="shared" si="82"/>
        <v/>
      </c>
    </row>
    <row r="2572" spans="1:16" x14ac:dyDescent="0.3">
      <c r="A2572" s="19" t="str">
        <f t="shared" si="81"/>
        <v/>
      </c>
      <c r="L2572" s="21" t="str">
        <f>IF(J2572&lt;&gt;"",VLOOKUP(J2572,HeadCount!A:I,5,0),"")</f>
        <v/>
      </c>
      <c r="P2572" s="19" t="str">
        <f t="shared" si="82"/>
        <v/>
      </c>
    </row>
    <row r="2573" spans="1:16" x14ac:dyDescent="0.3">
      <c r="A2573" s="19" t="str">
        <f t="shared" si="81"/>
        <v/>
      </c>
      <c r="L2573" s="21" t="str">
        <f>IF(J2573&lt;&gt;"",VLOOKUP(J2573,HeadCount!A:I,5,0),"")</f>
        <v/>
      </c>
      <c r="P2573" s="19" t="str">
        <f t="shared" si="82"/>
        <v/>
      </c>
    </row>
    <row r="2574" spans="1:16" x14ac:dyDescent="0.3">
      <c r="A2574" s="19" t="str">
        <f t="shared" si="81"/>
        <v/>
      </c>
      <c r="L2574" s="21" t="str">
        <f>IF(J2574&lt;&gt;"",VLOOKUP(J2574,HeadCount!A:I,5,0),"")</f>
        <v/>
      </c>
      <c r="P2574" s="19" t="str">
        <f t="shared" si="82"/>
        <v/>
      </c>
    </row>
    <row r="2575" spans="1:16" x14ac:dyDescent="0.3">
      <c r="A2575" s="19" t="str">
        <f t="shared" si="81"/>
        <v/>
      </c>
      <c r="L2575" s="21" t="str">
        <f>IF(J2575&lt;&gt;"",VLOOKUP(J2575,HeadCount!A:I,5,0),"")</f>
        <v/>
      </c>
      <c r="P2575" s="19" t="str">
        <f t="shared" si="82"/>
        <v/>
      </c>
    </row>
    <row r="2576" spans="1:16" x14ac:dyDescent="0.3">
      <c r="A2576" s="19" t="str">
        <f t="shared" si="81"/>
        <v/>
      </c>
      <c r="L2576" s="21" t="str">
        <f>IF(J2576&lt;&gt;"",VLOOKUP(J2576,HeadCount!A:I,5,0),"")</f>
        <v/>
      </c>
      <c r="P2576" s="19" t="str">
        <f t="shared" si="82"/>
        <v/>
      </c>
    </row>
    <row r="2577" spans="1:16" x14ac:dyDescent="0.3">
      <c r="A2577" s="19" t="str">
        <f t="shared" si="81"/>
        <v/>
      </c>
      <c r="L2577" s="21" t="str">
        <f>IF(J2577&lt;&gt;"",VLOOKUP(J2577,HeadCount!A:I,5,0),"")</f>
        <v/>
      </c>
      <c r="P2577" s="19" t="str">
        <f t="shared" si="82"/>
        <v/>
      </c>
    </row>
    <row r="2578" spans="1:16" x14ac:dyDescent="0.3">
      <c r="A2578" s="19" t="str">
        <f t="shared" si="81"/>
        <v/>
      </c>
      <c r="L2578" s="21" t="str">
        <f>IF(J2578&lt;&gt;"",VLOOKUP(J2578,HeadCount!A:I,5,0),"")</f>
        <v/>
      </c>
      <c r="P2578" s="19" t="str">
        <f t="shared" si="82"/>
        <v/>
      </c>
    </row>
    <row r="2579" spans="1:16" x14ac:dyDescent="0.3">
      <c r="A2579" s="19" t="str">
        <f t="shared" si="81"/>
        <v/>
      </c>
      <c r="L2579" s="21" t="str">
        <f>IF(J2579&lt;&gt;"",VLOOKUP(J2579,HeadCount!A:I,5,0),"")</f>
        <v/>
      </c>
      <c r="P2579" s="19" t="str">
        <f t="shared" si="82"/>
        <v/>
      </c>
    </row>
    <row r="2580" spans="1:16" x14ac:dyDescent="0.3">
      <c r="A2580" s="19" t="str">
        <f t="shared" si="81"/>
        <v/>
      </c>
      <c r="L2580" s="21" t="str">
        <f>IF(J2580&lt;&gt;"",VLOOKUP(J2580,HeadCount!A:I,5,0),"")</f>
        <v/>
      </c>
      <c r="P2580" s="19" t="str">
        <f t="shared" si="82"/>
        <v/>
      </c>
    </row>
    <row r="2581" spans="1:16" x14ac:dyDescent="0.3">
      <c r="A2581" s="19" t="str">
        <f t="shared" si="81"/>
        <v/>
      </c>
      <c r="L2581" s="21" t="str">
        <f>IF(J2581&lt;&gt;"",VLOOKUP(J2581,HeadCount!A:I,5,0),"")</f>
        <v/>
      </c>
      <c r="P2581" s="19" t="str">
        <f t="shared" si="82"/>
        <v/>
      </c>
    </row>
    <row r="2582" spans="1:16" x14ac:dyDescent="0.3">
      <c r="A2582" s="19" t="str">
        <f t="shared" si="81"/>
        <v/>
      </c>
      <c r="L2582" s="21" t="str">
        <f>IF(J2582&lt;&gt;"",VLOOKUP(J2582,HeadCount!A:I,5,0),"")</f>
        <v/>
      </c>
      <c r="P2582" s="19" t="str">
        <f t="shared" si="82"/>
        <v/>
      </c>
    </row>
    <row r="2583" spans="1:16" x14ac:dyDescent="0.3">
      <c r="A2583" s="19" t="str">
        <f t="shared" si="81"/>
        <v/>
      </c>
      <c r="L2583" s="21" t="str">
        <f>IF(J2583&lt;&gt;"",VLOOKUP(J2583,HeadCount!A:I,5,0),"")</f>
        <v/>
      </c>
      <c r="P2583" s="19" t="str">
        <f t="shared" si="82"/>
        <v/>
      </c>
    </row>
    <row r="2584" spans="1:16" x14ac:dyDescent="0.3">
      <c r="A2584" s="19" t="str">
        <f t="shared" si="81"/>
        <v/>
      </c>
      <c r="L2584" s="21" t="str">
        <f>IF(J2584&lt;&gt;"",VLOOKUP(J2584,HeadCount!A:I,5,0),"")</f>
        <v/>
      </c>
      <c r="P2584" s="19" t="str">
        <f t="shared" si="82"/>
        <v/>
      </c>
    </row>
    <row r="2585" spans="1:16" x14ac:dyDescent="0.3">
      <c r="A2585" s="19" t="str">
        <f t="shared" si="81"/>
        <v/>
      </c>
      <c r="L2585" s="21" t="str">
        <f>IF(J2585&lt;&gt;"",VLOOKUP(J2585,HeadCount!A:I,5,0),"")</f>
        <v/>
      </c>
      <c r="P2585" s="19" t="str">
        <f t="shared" si="82"/>
        <v/>
      </c>
    </row>
    <row r="2586" spans="1:16" x14ac:dyDescent="0.3">
      <c r="A2586" s="19" t="str">
        <f t="shared" si="81"/>
        <v/>
      </c>
      <c r="L2586" s="21" t="str">
        <f>IF(J2586&lt;&gt;"",VLOOKUP(J2586,HeadCount!A:I,5,0),"")</f>
        <v/>
      </c>
      <c r="P2586" s="19" t="str">
        <f t="shared" si="82"/>
        <v/>
      </c>
    </row>
    <row r="2587" spans="1:16" x14ac:dyDescent="0.3">
      <c r="A2587" s="19" t="str">
        <f t="shared" si="81"/>
        <v/>
      </c>
      <c r="L2587" s="21" t="str">
        <f>IF(J2587&lt;&gt;"",VLOOKUP(J2587,HeadCount!A:I,5,0),"")</f>
        <v/>
      </c>
      <c r="P2587" s="19" t="str">
        <f t="shared" si="82"/>
        <v/>
      </c>
    </row>
    <row r="2588" spans="1:16" x14ac:dyDescent="0.3">
      <c r="A2588" s="19" t="str">
        <f t="shared" si="81"/>
        <v/>
      </c>
      <c r="L2588" s="21" t="str">
        <f>IF(J2588&lt;&gt;"",VLOOKUP(J2588,HeadCount!A:I,5,0),"")</f>
        <v/>
      </c>
      <c r="P2588" s="19" t="str">
        <f t="shared" si="82"/>
        <v/>
      </c>
    </row>
    <row r="2589" spans="1:16" x14ac:dyDescent="0.3">
      <c r="A2589" s="19" t="str">
        <f t="shared" si="81"/>
        <v/>
      </c>
      <c r="L2589" s="21" t="str">
        <f>IF(J2589&lt;&gt;"",VLOOKUP(J2589,HeadCount!A:I,5,0),"")</f>
        <v/>
      </c>
      <c r="P2589" s="19" t="str">
        <f t="shared" si="82"/>
        <v/>
      </c>
    </row>
    <row r="2590" spans="1:16" x14ac:dyDescent="0.3">
      <c r="A2590" s="19" t="str">
        <f t="shared" si="81"/>
        <v/>
      </c>
      <c r="L2590" s="21" t="str">
        <f>IF(J2590&lt;&gt;"",VLOOKUP(J2590,HeadCount!A:I,5,0),"")</f>
        <v/>
      </c>
      <c r="P2590" s="19" t="str">
        <f t="shared" si="82"/>
        <v/>
      </c>
    </row>
    <row r="2591" spans="1:16" x14ac:dyDescent="0.3">
      <c r="A2591" s="19" t="str">
        <f t="shared" si="81"/>
        <v/>
      </c>
      <c r="L2591" s="21" t="str">
        <f>IF(J2591&lt;&gt;"",VLOOKUP(J2591,HeadCount!A:I,5,0),"")</f>
        <v/>
      </c>
      <c r="P2591" s="19" t="str">
        <f t="shared" si="82"/>
        <v/>
      </c>
    </row>
    <row r="2592" spans="1:16" x14ac:dyDescent="0.3">
      <c r="A2592" s="19" t="str">
        <f t="shared" si="81"/>
        <v/>
      </c>
      <c r="L2592" s="21" t="str">
        <f>IF(J2592&lt;&gt;"",VLOOKUP(J2592,HeadCount!A:I,5,0),"")</f>
        <v/>
      </c>
      <c r="P2592" s="19" t="str">
        <f t="shared" si="82"/>
        <v/>
      </c>
    </row>
    <row r="2593" spans="1:16" x14ac:dyDescent="0.3">
      <c r="A2593" s="19" t="str">
        <f t="shared" si="81"/>
        <v/>
      </c>
      <c r="L2593" s="21" t="str">
        <f>IF(J2593&lt;&gt;"",VLOOKUP(J2593,HeadCount!A:I,5,0),"")</f>
        <v/>
      </c>
      <c r="P2593" s="19" t="str">
        <f t="shared" si="82"/>
        <v/>
      </c>
    </row>
    <row r="2594" spans="1:16" x14ac:dyDescent="0.3">
      <c r="A2594" s="19" t="str">
        <f t="shared" si="81"/>
        <v/>
      </c>
      <c r="L2594" s="21" t="str">
        <f>IF(J2594&lt;&gt;"",VLOOKUP(J2594,HeadCount!A:I,5,0),"")</f>
        <v/>
      </c>
      <c r="P2594" s="19" t="str">
        <f t="shared" si="82"/>
        <v/>
      </c>
    </row>
    <row r="2595" spans="1:16" x14ac:dyDescent="0.3">
      <c r="A2595" s="19" t="str">
        <f t="shared" si="81"/>
        <v/>
      </c>
      <c r="L2595" s="21" t="str">
        <f>IF(J2595&lt;&gt;"",VLOOKUP(J2595,HeadCount!A:I,5,0),"")</f>
        <v/>
      </c>
      <c r="P2595" s="19" t="str">
        <f t="shared" si="82"/>
        <v/>
      </c>
    </row>
    <row r="2596" spans="1:16" x14ac:dyDescent="0.3">
      <c r="A2596" s="19" t="str">
        <f t="shared" si="81"/>
        <v/>
      </c>
      <c r="L2596" s="21" t="str">
        <f>IF(J2596&lt;&gt;"",VLOOKUP(J2596,HeadCount!A:I,5,0),"")</f>
        <v/>
      </c>
      <c r="P2596" s="19" t="str">
        <f t="shared" si="82"/>
        <v/>
      </c>
    </row>
    <row r="2597" spans="1:16" x14ac:dyDescent="0.3">
      <c r="A2597" s="19" t="str">
        <f t="shared" si="81"/>
        <v/>
      </c>
      <c r="L2597" s="21" t="str">
        <f>IF(J2597&lt;&gt;"",VLOOKUP(J2597,HeadCount!A:I,5,0),"")</f>
        <v/>
      </c>
      <c r="P2597" s="19" t="str">
        <f t="shared" si="82"/>
        <v/>
      </c>
    </row>
    <row r="2598" spans="1:16" x14ac:dyDescent="0.3">
      <c r="A2598" s="19" t="str">
        <f t="shared" si="81"/>
        <v/>
      </c>
      <c r="L2598" s="21" t="str">
        <f>IF(J2598&lt;&gt;"",VLOOKUP(J2598,HeadCount!A:I,5,0),"")</f>
        <v/>
      </c>
      <c r="P2598" s="19" t="str">
        <f t="shared" si="82"/>
        <v/>
      </c>
    </row>
    <row r="2599" spans="1:16" x14ac:dyDescent="0.3">
      <c r="A2599" s="19" t="str">
        <f t="shared" si="81"/>
        <v/>
      </c>
      <c r="L2599" s="21" t="str">
        <f>IF(J2599&lt;&gt;"",VLOOKUP(J2599,HeadCount!A:I,5,0),"")</f>
        <v/>
      </c>
      <c r="P2599" s="19" t="str">
        <f t="shared" si="82"/>
        <v/>
      </c>
    </row>
    <row r="2600" spans="1:16" x14ac:dyDescent="0.3">
      <c r="A2600" s="19" t="str">
        <f t="shared" si="81"/>
        <v/>
      </c>
      <c r="L2600" s="21" t="str">
        <f>IF(J2600&lt;&gt;"",VLOOKUP(J2600,HeadCount!A:I,5,0),"")</f>
        <v/>
      </c>
      <c r="P2600" s="19" t="str">
        <f t="shared" si="82"/>
        <v/>
      </c>
    </row>
    <row r="2601" spans="1:16" x14ac:dyDescent="0.3">
      <c r="A2601" s="19" t="str">
        <f t="shared" si="81"/>
        <v/>
      </c>
      <c r="L2601" s="21" t="str">
        <f>IF(J2601&lt;&gt;"",VLOOKUP(J2601,HeadCount!A:I,5,0),"")</f>
        <v/>
      </c>
      <c r="P2601" s="19" t="str">
        <f t="shared" si="82"/>
        <v/>
      </c>
    </row>
    <row r="2602" spans="1:16" x14ac:dyDescent="0.3">
      <c r="A2602" s="19" t="str">
        <f t="shared" si="81"/>
        <v/>
      </c>
      <c r="L2602" s="21" t="str">
        <f>IF(J2602&lt;&gt;"",VLOOKUP(J2602,HeadCount!A:I,5,0),"")</f>
        <v/>
      </c>
      <c r="P2602" s="19" t="str">
        <f t="shared" si="82"/>
        <v/>
      </c>
    </row>
    <row r="2603" spans="1:16" x14ac:dyDescent="0.3">
      <c r="A2603" s="19" t="str">
        <f t="shared" si="81"/>
        <v/>
      </c>
      <c r="L2603" s="21" t="str">
        <f>IF(J2603&lt;&gt;"",VLOOKUP(J2603,HeadCount!A:I,5,0),"")</f>
        <v/>
      </c>
      <c r="P2603" s="19" t="str">
        <f t="shared" si="82"/>
        <v/>
      </c>
    </row>
    <row r="2604" spans="1:16" x14ac:dyDescent="0.3">
      <c r="A2604" s="19" t="str">
        <f t="shared" si="81"/>
        <v/>
      </c>
      <c r="L2604" s="21" t="str">
        <f>IF(J2604&lt;&gt;"",VLOOKUP(J2604,HeadCount!A:I,5,0),"")</f>
        <v/>
      </c>
      <c r="P2604" s="19" t="str">
        <f t="shared" si="82"/>
        <v/>
      </c>
    </row>
    <row r="2605" spans="1:16" x14ac:dyDescent="0.3">
      <c r="A2605" s="19" t="str">
        <f t="shared" si="81"/>
        <v/>
      </c>
      <c r="L2605" s="21" t="str">
        <f>IF(J2605&lt;&gt;"",VLOOKUP(J2605,HeadCount!A:I,5,0),"")</f>
        <v/>
      </c>
      <c r="P2605" s="19" t="str">
        <f t="shared" si="82"/>
        <v/>
      </c>
    </row>
    <row r="2606" spans="1:16" x14ac:dyDescent="0.3">
      <c r="A2606" s="19" t="str">
        <f t="shared" si="81"/>
        <v/>
      </c>
      <c r="L2606" s="21" t="str">
        <f>IF(J2606&lt;&gt;"",VLOOKUP(J2606,HeadCount!A:I,5,0),"")</f>
        <v/>
      </c>
      <c r="P2606" s="19" t="str">
        <f t="shared" si="82"/>
        <v/>
      </c>
    </row>
    <row r="2607" spans="1:16" x14ac:dyDescent="0.3">
      <c r="A2607" s="19" t="str">
        <f t="shared" si="81"/>
        <v/>
      </c>
      <c r="L2607" s="21" t="str">
        <f>IF(J2607&lt;&gt;"",VLOOKUP(J2607,HeadCount!A:I,5,0),"")</f>
        <v/>
      </c>
      <c r="P2607" s="19" t="str">
        <f t="shared" si="82"/>
        <v/>
      </c>
    </row>
    <row r="2608" spans="1:16" x14ac:dyDescent="0.3">
      <c r="A2608" s="19" t="str">
        <f t="shared" si="81"/>
        <v/>
      </c>
      <c r="L2608" s="21" t="str">
        <f>IF(J2608&lt;&gt;"",VLOOKUP(J2608,HeadCount!A:I,5,0),"")</f>
        <v/>
      </c>
      <c r="P2608" s="19" t="str">
        <f t="shared" si="82"/>
        <v/>
      </c>
    </row>
    <row r="2609" spans="1:16" x14ac:dyDescent="0.3">
      <c r="A2609" s="19" t="str">
        <f t="shared" si="81"/>
        <v/>
      </c>
      <c r="L2609" s="21" t="str">
        <f>IF(J2609&lt;&gt;"",VLOOKUP(J2609,HeadCount!A:I,5,0),"")</f>
        <v/>
      </c>
      <c r="P2609" s="19" t="str">
        <f t="shared" si="82"/>
        <v/>
      </c>
    </row>
    <row r="2610" spans="1:16" x14ac:dyDescent="0.3">
      <c r="A2610" s="19" t="str">
        <f t="shared" si="81"/>
        <v/>
      </c>
      <c r="L2610" s="21" t="str">
        <f>IF(J2610&lt;&gt;"",VLOOKUP(J2610,HeadCount!A:I,5,0),"")</f>
        <v/>
      </c>
      <c r="P2610" s="19" t="str">
        <f t="shared" si="82"/>
        <v/>
      </c>
    </row>
    <row r="2611" spans="1:16" x14ac:dyDescent="0.3">
      <c r="A2611" s="19" t="str">
        <f t="shared" si="81"/>
        <v/>
      </c>
      <c r="L2611" s="21" t="str">
        <f>IF(J2611&lt;&gt;"",VLOOKUP(J2611,HeadCount!A:I,5,0),"")</f>
        <v/>
      </c>
      <c r="P2611" s="19" t="str">
        <f t="shared" si="82"/>
        <v/>
      </c>
    </row>
    <row r="2612" spans="1:16" x14ac:dyDescent="0.3">
      <c r="A2612" s="19" t="str">
        <f t="shared" si="81"/>
        <v/>
      </c>
      <c r="L2612" s="21" t="str">
        <f>IF(J2612&lt;&gt;"",VLOOKUP(J2612,HeadCount!A:I,5,0),"")</f>
        <v/>
      </c>
      <c r="P2612" s="19" t="str">
        <f t="shared" si="82"/>
        <v/>
      </c>
    </row>
    <row r="2613" spans="1:16" x14ac:dyDescent="0.3">
      <c r="A2613" s="19" t="str">
        <f t="shared" si="81"/>
        <v/>
      </c>
      <c r="L2613" s="21" t="str">
        <f>IF(J2613&lt;&gt;"",VLOOKUP(J2613,HeadCount!A:I,5,0),"")</f>
        <v/>
      </c>
      <c r="P2613" s="19" t="str">
        <f t="shared" si="82"/>
        <v/>
      </c>
    </row>
    <row r="2614" spans="1:16" x14ac:dyDescent="0.3">
      <c r="A2614" s="19" t="str">
        <f t="shared" si="81"/>
        <v/>
      </c>
      <c r="L2614" s="21" t="str">
        <f>IF(J2614&lt;&gt;"",VLOOKUP(J2614,HeadCount!A:I,5,0),"")</f>
        <v/>
      </c>
      <c r="P2614" s="19" t="str">
        <f t="shared" si="82"/>
        <v/>
      </c>
    </row>
    <row r="2615" spans="1:16" x14ac:dyDescent="0.3">
      <c r="A2615" s="19" t="str">
        <f t="shared" si="81"/>
        <v/>
      </c>
      <c r="L2615" s="21" t="str">
        <f>IF(J2615&lt;&gt;"",VLOOKUP(J2615,HeadCount!A:I,5,0),"")</f>
        <v/>
      </c>
      <c r="P2615" s="19" t="str">
        <f t="shared" si="82"/>
        <v/>
      </c>
    </row>
    <row r="2616" spans="1:16" x14ac:dyDescent="0.3">
      <c r="A2616" s="19" t="str">
        <f t="shared" si="81"/>
        <v/>
      </c>
      <c r="L2616" s="21" t="str">
        <f>IF(J2616&lt;&gt;"",VLOOKUP(J2616,HeadCount!A:I,5,0),"")</f>
        <v/>
      </c>
      <c r="P2616" s="19" t="str">
        <f t="shared" si="82"/>
        <v/>
      </c>
    </row>
    <row r="2617" spans="1:16" x14ac:dyDescent="0.3">
      <c r="A2617" s="19" t="str">
        <f t="shared" si="81"/>
        <v/>
      </c>
      <c r="L2617" s="21" t="str">
        <f>IF(J2617&lt;&gt;"",VLOOKUP(J2617,HeadCount!A:I,5,0),"")</f>
        <v/>
      </c>
      <c r="P2617" s="19" t="str">
        <f t="shared" si="82"/>
        <v/>
      </c>
    </row>
    <row r="2618" spans="1:16" x14ac:dyDescent="0.3">
      <c r="A2618" s="19" t="str">
        <f t="shared" si="81"/>
        <v/>
      </c>
      <c r="L2618" s="21" t="str">
        <f>IF(J2618&lt;&gt;"",VLOOKUP(J2618,HeadCount!A:I,5,0),"")</f>
        <v/>
      </c>
      <c r="P2618" s="19" t="str">
        <f t="shared" si="82"/>
        <v/>
      </c>
    </row>
    <row r="2619" spans="1:16" x14ac:dyDescent="0.3">
      <c r="A2619" s="19" t="str">
        <f t="shared" si="81"/>
        <v/>
      </c>
      <c r="L2619" s="21" t="str">
        <f>IF(J2619&lt;&gt;"",VLOOKUP(J2619,HeadCount!A:I,5,0),"")</f>
        <v/>
      </c>
      <c r="P2619" s="19" t="str">
        <f t="shared" si="82"/>
        <v/>
      </c>
    </row>
    <row r="2620" spans="1:16" x14ac:dyDescent="0.3">
      <c r="A2620" s="19" t="str">
        <f t="shared" si="81"/>
        <v/>
      </c>
      <c r="L2620" s="21" t="str">
        <f>IF(J2620&lt;&gt;"",VLOOKUP(J2620,HeadCount!A:I,5,0),"")</f>
        <v/>
      </c>
      <c r="P2620" s="19" t="str">
        <f t="shared" si="82"/>
        <v/>
      </c>
    </row>
    <row r="2621" spans="1:16" x14ac:dyDescent="0.3">
      <c r="A2621" s="19" t="str">
        <f t="shared" si="81"/>
        <v/>
      </c>
      <c r="L2621" s="21" t="str">
        <f>IF(J2621&lt;&gt;"",VLOOKUP(J2621,HeadCount!A:I,5,0),"")</f>
        <v/>
      </c>
      <c r="P2621" s="19" t="str">
        <f t="shared" si="82"/>
        <v/>
      </c>
    </row>
    <row r="2622" spans="1:16" x14ac:dyDescent="0.3">
      <c r="A2622" s="19" t="str">
        <f t="shared" si="81"/>
        <v/>
      </c>
      <c r="L2622" s="21" t="str">
        <f>IF(J2622&lt;&gt;"",VLOOKUP(J2622,HeadCount!A:I,5,0),"")</f>
        <v/>
      </c>
      <c r="P2622" s="19" t="str">
        <f t="shared" si="82"/>
        <v/>
      </c>
    </row>
    <row r="2623" spans="1:16" x14ac:dyDescent="0.3">
      <c r="A2623" s="19" t="str">
        <f t="shared" si="81"/>
        <v/>
      </c>
      <c r="L2623" s="21" t="str">
        <f>IF(J2623&lt;&gt;"",VLOOKUP(J2623,HeadCount!A:I,5,0),"")</f>
        <v/>
      </c>
      <c r="P2623" s="19" t="str">
        <f t="shared" si="82"/>
        <v/>
      </c>
    </row>
    <row r="2624" spans="1:16" x14ac:dyDescent="0.3">
      <c r="A2624" s="19" t="str">
        <f t="shared" si="81"/>
        <v/>
      </c>
      <c r="L2624" s="21" t="str">
        <f>IF(J2624&lt;&gt;"",VLOOKUP(J2624,HeadCount!A:I,5,0),"")</f>
        <v/>
      </c>
      <c r="P2624" s="19" t="str">
        <f t="shared" si="82"/>
        <v/>
      </c>
    </row>
    <row r="2625" spans="1:16" x14ac:dyDescent="0.3">
      <c r="A2625" s="19" t="str">
        <f t="shared" si="81"/>
        <v/>
      </c>
      <c r="L2625" s="21" t="str">
        <f>IF(J2625&lt;&gt;"",VLOOKUP(J2625,HeadCount!A:I,5,0),"")</f>
        <v/>
      </c>
      <c r="P2625" s="19" t="str">
        <f t="shared" si="82"/>
        <v/>
      </c>
    </row>
    <row r="2626" spans="1:16" x14ac:dyDescent="0.3">
      <c r="A2626" s="19" t="str">
        <f t="shared" ref="A2626:A2689" si="83">IF(C2626&lt;&gt;"",ROW(A2625),"")</f>
        <v/>
      </c>
      <c r="L2626" s="21" t="str">
        <f>IF(J2626&lt;&gt;"",VLOOKUP(J2626,HeadCount!A:I,5,0),"")</f>
        <v/>
      </c>
      <c r="P2626" s="19" t="str">
        <f t="shared" si="82"/>
        <v/>
      </c>
    </row>
    <row r="2627" spans="1:16" x14ac:dyDescent="0.3">
      <c r="A2627" s="19" t="str">
        <f t="shared" si="83"/>
        <v/>
      </c>
      <c r="L2627" s="21" t="str">
        <f>IF(J2627&lt;&gt;"",VLOOKUP(J2627,HeadCount!A:I,5,0),"")</f>
        <v/>
      </c>
      <c r="P2627" s="19" t="str">
        <f t="shared" ref="P2627:P2690" si="84">IF(N2627="","",(O2627-N2627)+1)</f>
        <v/>
      </c>
    </row>
    <row r="2628" spans="1:16" x14ac:dyDescent="0.3">
      <c r="A2628" s="19" t="str">
        <f t="shared" si="83"/>
        <v/>
      </c>
      <c r="L2628" s="21" t="str">
        <f>IF(J2628&lt;&gt;"",VLOOKUP(J2628,HeadCount!A:I,5,0),"")</f>
        <v/>
      </c>
      <c r="P2628" s="19" t="str">
        <f t="shared" si="84"/>
        <v/>
      </c>
    </row>
    <row r="2629" spans="1:16" x14ac:dyDescent="0.3">
      <c r="A2629" s="19" t="str">
        <f t="shared" si="83"/>
        <v/>
      </c>
      <c r="L2629" s="21" t="str">
        <f>IF(J2629&lt;&gt;"",VLOOKUP(J2629,HeadCount!A:I,5,0),"")</f>
        <v/>
      </c>
      <c r="P2629" s="19" t="str">
        <f t="shared" si="84"/>
        <v/>
      </c>
    </row>
    <row r="2630" spans="1:16" x14ac:dyDescent="0.3">
      <c r="A2630" s="19" t="str">
        <f t="shared" si="83"/>
        <v/>
      </c>
      <c r="L2630" s="21" t="str">
        <f>IF(J2630&lt;&gt;"",VLOOKUP(J2630,HeadCount!A:I,5,0),"")</f>
        <v/>
      </c>
      <c r="P2630" s="19" t="str">
        <f t="shared" si="84"/>
        <v/>
      </c>
    </row>
    <row r="2631" spans="1:16" x14ac:dyDescent="0.3">
      <c r="A2631" s="19" t="str">
        <f t="shared" si="83"/>
        <v/>
      </c>
      <c r="L2631" s="21" t="str">
        <f>IF(J2631&lt;&gt;"",VLOOKUP(J2631,HeadCount!A:I,5,0),"")</f>
        <v/>
      </c>
      <c r="P2631" s="19" t="str">
        <f t="shared" si="84"/>
        <v/>
      </c>
    </row>
    <row r="2632" spans="1:16" x14ac:dyDescent="0.3">
      <c r="A2632" s="19" t="str">
        <f t="shared" si="83"/>
        <v/>
      </c>
      <c r="L2632" s="21" t="str">
        <f>IF(J2632&lt;&gt;"",VLOOKUP(J2632,HeadCount!A:I,5,0),"")</f>
        <v/>
      </c>
      <c r="P2632" s="19" t="str">
        <f t="shared" si="84"/>
        <v/>
      </c>
    </row>
    <row r="2633" spans="1:16" x14ac:dyDescent="0.3">
      <c r="A2633" s="19" t="str">
        <f t="shared" si="83"/>
        <v/>
      </c>
      <c r="L2633" s="21" t="str">
        <f>IF(J2633&lt;&gt;"",VLOOKUP(J2633,HeadCount!A:I,5,0),"")</f>
        <v/>
      </c>
      <c r="P2633" s="19" t="str">
        <f t="shared" si="84"/>
        <v/>
      </c>
    </row>
    <row r="2634" spans="1:16" x14ac:dyDescent="0.3">
      <c r="A2634" s="19" t="str">
        <f t="shared" si="83"/>
        <v/>
      </c>
      <c r="L2634" s="21" t="str">
        <f>IF(J2634&lt;&gt;"",VLOOKUP(J2634,HeadCount!A:I,5,0),"")</f>
        <v/>
      </c>
      <c r="P2634" s="19" t="str">
        <f t="shared" si="84"/>
        <v/>
      </c>
    </row>
    <row r="2635" spans="1:16" x14ac:dyDescent="0.3">
      <c r="A2635" s="19" t="str">
        <f t="shared" si="83"/>
        <v/>
      </c>
      <c r="L2635" s="21" t="str">
        <f>IF(J2635&lt;&gt;"",VLOOKUP(J2635,HeadCount!A:I,5,0),"")</f>
        <v/>
      </c>
      <c r="P2635" s="19" t="str">
        <f t="shared" si="84"/>
        <v/>
      </c>
    </row>
    <row r="2636" spans="1:16" x14ac:dyDescent="0.3">
      <c r="A2636" s="19" t="str">
        <f t="shared" si="83"/>
        <v/>
      </c>
      <c r="L2636" s="21" t="str">
        <f>IF(J2636&lt;&gt;"",VLOOKUP(J2636,HeadCount!A:I,5,0),"")</f>
        <v/>
      </c>
      <c r="P2636" s="19" t="str">
        <f t="shared" si="84"/>
        <v/>
      </c>
    </row>
    <row r="2637" spans="1:16" x14ac:dyDescent="0.3">
      <c r="A2637" s="19" t="str">
        <f t="shared" si="83"/>
        <v/>
      </c>
      <c r="L2637" s="21" t="str">
        <f>IF(J2637&lt;&gt;"",VLOOKUP(J2637,HeadCount!A:I,5,0),"")</f>
        <v/>
      </c>
      <c r="P2637" s="19" t="str">
        <f t="shared" si="84"/>
        <v/>
      </c>
    </row>
    <row r="2638" spans="1:16" x14ac:dyDescent="0.3">
      <c r="A2638" s="19" t="str">
        <f t="shared" si="83"/>
        <v/>
      </c>
      <c r="L2638" s="21" t="str">
        <f>IF(J2638&lt;&gt;"",VLOOKUP(J2638,HeadCount!A:I,5,0),"")</f>
        <v/>
      </c>
      <c r="P2638" s="19" t="str">
        <f t="shared" si="84"/>
        <v/>
      </c>
    </row>
    <row r="2639" spans="1:16" x14ac:dyDescent="0.3">
      <c r="A2639" s="19" t="str">
        <f t="shared" si="83"/>
        <v/>
      </c>
      <c r="L2639" s="21" t="str">
        <f>IF(J2639&lt;&gt;"",VLOOKUP(J2639,HeadCount!A:I,5,0),"")</f>
        <v/>
      </c>
      <c r="P2639" s="19" t="str">
        <f t="shared" si="84"/>
        <v/>
      </c>
    </row>
    <row r="2640" spans="1:16" x14ac:dyDescent="0.3">
      <c r="A2640" s="19" t="str">
        <f t="shared" si="83"/>
        <v/>
      </c>
      <c r="L2640" s="21" t="str">
        <f>IF(J2640&lt;&gt;"",VLOOKUP(J2640,HeadCount!A:I,5,0),"")</f>
        <v/>
      </c>
      <c r="P2640" s="19" t="str">
        <f t="shared" si="84"/>
        <v/>
      </c>
    </row>
    <row r="2641" spans="1:16" x14ac:dyDescent="0.3">
      <c r="A2641" s="19" t="str">
        <f t="shared" si="83"/>
        <v/>
      </c>
      <c r="L2641" s="21" t="str">
        <f>IF(J2641&lt;&gt;"",VLOOKUP(J2641,HeadCount!A:I,5,0),"")</f>
        <v/>
      </c>
      <c r="P2641" s="19" t="str">
        <f t="shared" si="84"/>
        <v/>
      </c>
    </row>
    <row r="2642" spans="1:16" x14ac:dyDescent="0.3">
      <c r="A2642" s="19" t="str">
        <f t="shared" si="83"/>
        <v/>
      </c>
      <c r="L2642" s="21" t="str">
        <f>IF(J2642&lt;&gt;"",VLOOKUP(J2642,HeadCount!A:I,5,0),"")</f>
        <v/>
      </c>
      <c r="P2642" s="19" t="str">
        <f t="shared" si="84"/>
        <v/>
      </c>
    </row>
    <row r="2643" spans="1:16" x14ac:dyDescent="0.3">
      <c r="A2643" s="19" t="str">
        <f t="shared" si="83"/>
        <v/>
      </c>
      <c r="L2643" s="21" t="str">
        <f>IF(J2643&lt;&gt;"",VLOOKUP(J2643,HeadCount!A:I,5,0),"")</f>
        <v/>
      </c>
      <c r="P2643" s="19" t="str">
        <f t="shared" si="84"/>
        <v/>
      </c>
    </row>
    <row r="2644" spans="1:16" x14ac:dyDescent="0.3">
      <c r="A2644" s="19" t="str">
        <f t="shared" si="83"/>
        <v/>
      </c>
      <c r="L2644" s="21" t="str">
        <f>IF(J2644&lt;&gt;"",VLOOKUP(J2644,HeadCount!A:I,5,0),"")</f>
        <v/>
      </c>
      <c r="P2644" s="19" t="str">
        <f t="shared" si="84"/>
        <v/>
      </c>
    </row>
    <row r="2645" spans="1:16" x14ac:dyDescent="0.3">
      <c r="A2645" s="19" t="str">
        <f t="shared" si="83"/>
        <v/>
      </c>
      <c r="L2645" s="21" t="str">
        <f>IF(J2645&lt;&gt;"",VLOOKUP(J2645,HeadCount!A:I,5,0),"")</f>
        <v/>
      </c>
      <c r="P2645" s="19" t="str">
        <f t="shared" si="84"/>
        <v/>
      </c>
    </row>
    <row r="2646" spans="1:16" x14ac:dyDescent="0.3">
      <c r="A2646" s="19" t="str">
        <f t="shared" si="83"/>
        <v/>
      </c>
      <c r="L2646" s="21" t="str">
        <f>IF(J2646&lt;&gt;"",VLOOKUP(J2646,HeadCount!A:I,5,0),"")</f>
        <v/>
      </c>
      <c r="P2646" s="19" t="str">
        <f t="shared" si="84"/>
        <v/>
      </c>
    </row>
    <row r="2647" spans="1:16" x14ac:dyDescent="0.3">
      <c r="A2647" s="19" t="str">
        <f t="shared" si="83"/>
        <v/>
      </c>
      <c r="L2647" s="21" t="str">
        <f>IF(J2647&lt;&gt;"",VLOOKUP(J2647,HeadCount!A:I,5,0),"")</f>
        <v/>
      </c>
      <c r="P2647" s="19" t="str">
        <f t="shared" si="84"/>
        <v/>
      </c>
    </row>
    <row r="2648" spans="1:16" x14ac:dyDescent="0.3">
      <c r="A2648" s="19" t="str">
        <f t="shared" si="83"/>
        <v/>
      </c>
      <c r="L2648" s="21" t="str">
        <f>IF(J2648&lt;&gt;"",VLOOKUP(J2648,HeadCount!A:I,5,0),"")</f>
        <v/>
      </c>
      <c r="P2648" s="19" t="str">
        <f t="shared" si="84"/>
        <v/>
      </c>
    </row>
    <row r="2649" spans="1:16" x14ac:dyDescent="0.3">
      <c r="A2649" s="19" t="str">
        <f t="shared" si="83"/>
        <v/>
      </c>
      <c r="L2649" s="21" t="str">
        <f>IF(J2649&lt;&gt;"",VLOOKUP(J2649,HeadCount!A:I,5,0),"")</f>
        <v/>
      </c>
      <c r="P2649" s="19" t="str">
        <f t="shared" si="84"/>
        <v/>
      </c>
    </row>
    <row r="2650" spans="1:16" x14ac:dyDescent="0.3">
      <c r="A2650" s="19" t="str">
        <f t="shared" si="83"/>
        <v/>
      </c>
      <c r="L2650" s="21" t="str">
        <f>IF(J2650&lt;&gt;"",VLOOKUP(J2650,HeadCount!A:I,5,0),"")</f>
        <v/>
      </c>
      <c r="P2650" s="19" t="str">
        <f t="shared" si="84"/>
        <v/>
      </c>
    </row>
    <row r="2651" spans="1:16" x14ac:dyDescent="0.3">
      <c r="A2651" s="19" t="str">
        <f t="shared" si="83"/>
        <v/>
      </c>
      <c r="L2651" s="21" t="str">
        <f>IF(J2651&lt;&gt;"",VLOOKUP(J2651,HeadCount!A:I,5,0),"")</f>
        <v/>
      </c>
      <c r="P2651" s="19" t="str">
        <f t="shared" si="84"/>
        <v/>
      </c>
    </row>
    <row r="2652" spans="1:16" x14ac:dyDescent="0.3">
      <c r="A2652" s="19" t="str">
        <f t="shared" si="83"/>
        <v/>
      </c>
      <c r="L2652" s="21" t="str">
        <f>IF(J2652&lt;&gt;"",VLOOKUP(J2652,HeadCount!A:I,5,0),"")</f>
        <v/>
      </c>
      <c r="P2652" s="19" t="str">
        <f t="shared" si="84"/>
        <v/>
      </c>
    </row>
    <row r="2653" spans="1:16" x14ac:dyDescent="0.3">
      <c r="A2653" s="19" t="str">
        <f t="shared" si="83"/>
        <v/>
      </c>
      <c r="L2653" s="21" t="str">
        <f>IF(J2653&lt;&gt;"",VLOOKUP(J2653,HeadCount!A:I,5,0),"")</f>
        <v/>
      </c>
      <c r="P2653" s="19" t="str">
        <f t="shared" si="84"/>
        <v/>
      </c>
    </row>
    <row r="2654" spans="1:16" x14ac:dyDescent="0.3">
      <c r="A2654" s="19" t="str">
        <f t="shared" si="83"/>
        <v/>
      </c>
      <c r="L2654" s="21" t="str">
        <f>IF(J2654&lt;&gt;"",VLOOKUP(J2654,HeadCount!A:I,5,0),"")</f>
        <v/>
      </c>
      <c r="P2654" s="19" t="str">
        <f t="shared" si="84"/>
        <v/>
      </c>
    </row>
    <row r="2655" spans="1:16" x14ac:dyDescent="0.3">
      <c r="A2655" s="19" t="str">
        <f t="shared" si="83"/>
        <v/>
      </c>
      <c r="L2655" s="21" t="str">
        <f>IF(J2655&lt;&gt;"",VLOOKUP(J2655,HeadCount!A:I,5,0),"")</f>
        <v/>
      </c>
      <c r="P2655" s="19" t="str">
        <f t="shared" si="84"/>
        <v/>
      </c>
    </row>
    <row r="2656" spans="1:16" x14ac:dyDescent="0.3">
      <c r="A2656" s="19" t="str">
        <f t="shared" si="83"/>
        <v/>
      </c>
      <c r="L2656" s="21" t="str">
        <f>IF(J2656&lt;&gt;"",VLOOKUP(J2656,HeadCount!A:I,5,0),"")</f>
        <v/>
      </c>
      <c r="P2656" s="19" t="str">
        <f t="shared" si="84"/>
        <v/>
      </c>
    </row>
    <row r="2657" spans="1:16" x14ac:dyDescent="0.3">
      <c r="A2657" s="19" t="str">
        <f t="shared" si="83"/>
        <v/>
      </c>
      <c r="L2657" s="21" t="str">
        <f>IF(J2657&lt;&gt;"",VLOOKUP(J2657,HeadCount!A:I,5,0),"")</f>
        <v/>
      </c>
      <c r="P2657" s="19" t="str">
        <f t="shared" si="84"/>
        <v/>
      </c>
    </row>
    <row r="2658" spans="1:16" x14ac:dyDescent="0.3">
      <c r="A2658" s="19" t="str">
        <f t="shared" si="83"/>
        <v/>
      </c>
      <c r="L2658" s="21" t="str">
        <f>IF(J2658&lt;&gt;"",VLOOKUP(J2658,HeadCount!A:I,5,0),"")</f>
        <v/>
      </c>
      <c r="P2658" s="19" t="str">
        <f t="shared" si="84"/>
        <v/>
      </c>
    </row>
    <row r="2659" spans="1:16" x14ac:dyDescent="0.3">
      <c r="A2659" s="19" t="str">
        <f t="shared" si="83"/>
        <v/>
      </c>
      <c r="L2659" s="21" t="str">
        <f>IF(J2659&lt;&gt;"",VLOOKUP(J2659,HeadCount!A:I,5,0),"")</f>
        <v/>
      </c>
      <c r="P2659" s="19" t="str">
        <f t="shared" si="84"/>
        <v/>
      </c>
    </row>
    <row r="2660" spans="1:16" x14ac:dyDescent="0.3">
      <c r="A2660" s="19" t="str">
        <f t="shared" si="83"/>
        <v/>
      </c>
      <c r="L2660" s="21" t="str">
        <f>IF(J2660&lt;&gt;"",VLOOKUP(J2660,HeadCount!A:I,5,0),"")</f>
        <v/>
      </c>
      <c r="P2660" s="19" t="str">
        <f t="shared" si="84"/>
        <v/>
      </c>
    </row>
    <row r="2661" spans="1:16" x14ac:dyDescent="0.3">
      <c r="A2661" s="19" t="str">
        <f t="shared" si="83"/>
        <v/>
      </c>
      <c r="L2661" s="21" t="str">
        <f>IF(J2661&lt;&gt;"",VLOOKUP(J2661,HeadCount!A:I,5,0),"")</f>
        <v/>
      </c>
      <c r="P2661" s="19" t="str">
        <f t="shared" si="84"/>
        <v/>
      </c>
    </row>
    <row r="2662" spans="1:16" x14ac:dyDescent="0.3">
      <c r="A2662" s="19" t="str">
        <f t="shared" si="83"/>
        <v/>
      </c>
      <c r="L2662" s="21" t="str">
        <f>IF(J2662&lt;&gt;"",VLOOKUP(J2662,HeadCount!A:I,5,0),"")</f>
        <v/>
      </c>
      <c r="P2662" s="19" t="str">
        <f t="shared" si="84"/>
        <v/>
      </c>
    </row>
    <row r="2663" spans="1:16" x14ac:dyDescent="0.3">
      <c r="A2663" s="19" t="str">
        <f t="shared" si="83"/>
        <v/>
      </c>
      <c r="L2663" s="21" t="str">
        <f>IF(J2663&lt;&gt;"",VLOOKUP(J2663,HeadCount!A:I,5,0),"")</f>
        <v/>
      </c>
      <c r="P2663" s="19" t="str">
        <f t="shared" si="84"/>
        <v/>
      </c>
    </row>
    <row r="2664" spans="1:16" x14ac:dyDescent="0.3">
      <c r="A2664" s="19" t="str">
        <f t="shared" si="83"/>
        <v/>
      </c>
      <c r="L2664" s="21" t="str">
        <f>IF(J2664&lt;&gt;"",VLOOKUP(J2664,HeadCount!A:I,5,0),"")</f>
        <v/>
      </c>
      <c r="P2664" s="19" t="str">
        <f t="shared" si="84"/>
        <v/>
      </c>
    </row>
    <row r="2665" spans="1:16" x14ac:dyDescent="0.3">
      <c r="A2665" s="19" t="str">
        <f t="shared" si="83"/>
        <v/>
      </c>
      <c r="L2665" s="21" t="str">
        <f>IF(J2665&lt;&gt;"",VLOOKUP(J2665,HeadCount!A:I,5,0),"")</f>
        <v/>
      </c>
      <c r="P2665" s="19" t="str">
        <f t="shared" si="84"/>
        <v/>
      </c>
    </row>
    <row r="2666" spans="1:16" x14ac:dyDescent="0.3">
      <c r="A2666" s="19" t="str">
        <f t="shared" si="83"/>
        <v/>
      </c>
      <c r="L2666" s="21" t="str">
        <f>IF(J2666&lt;&gt;"",VLOOKUP(J2666,HeadCount!A:I,5,0),"")</f>
        <v/>
      </c>
      <c r="P2666" s="19" t="str">
        <f t="shared" si="84"/>
        <v/>
      </c>
    </row>
    <row r="2667" spans="1:16" x14ac:dyDescent="0.3">
      <c r="A2667" s="19" t="str">
        <f t="shared" si="83"/>
        <v/>
      </c>
      <c r="L2667" s="21" t="str">
        <f>IF(J2667&lt;&gt;"",VLOOKUP(J2667,HeadCount!A:I,5,0),"")</f>
        <v/>
      </c>
      <c r="P2667" s="19" t="str">
        <f t="shared" si="84"/>
        <v/>
      </c>
    </row>
    <row r="2668" spans="1:16" x14ac:dyDescent="0.3">
      <c r="A2668" s="19" t="str">
        <f t="shared" si="83"/>
        <v/>
      </c>
      <c r="L2668" s="21" t="str">
        <f>IF(J2668&lt;&gt;"",VLOOKUP(J2668,HeadCount!A:I,5,0),"")</f>
        <v/>
      </c>
      <c r="P2668" s="19" t="str">
        <f t="shared" si="84"/>
        <v/>
      </c>
    </row>
    <row r="2669" spans="1:16" x14ac:dyDescent="0.3">
      <c r="A2669" s="19" t="str">
        <f t="shared" si="83"/>
        <v/>
      </c>
      <c r="L2669" s="21" t="str">
        <f>IF(J2669&lt;&gt;"",VLOOKUP(J2669,HeadCount!A:I,5,0),"")</f>
        <v/>
      </c>
      <c r="P2669" s="19" t="str">
        <f t="shared" si="84"/>
        <v/>
      </c>
    </row>
    <row r="2670" spans="1:16" x14ac:dyDescent="0.3">
      <c r="A2670" s="19" t="str">
        <f t="shared" si="83"/>
        <v/>
      </c>
      <c r="L2670" s="21" t="str">
        <f>IF(J2670&lt;&gt;"",VLOOKUP(J2670,HeadCount!A:I,5,0),"")</f>
        <v/>
      </c>
      <c r="P2670" s="19" t="str">
        <f t="shared" si="84"/>
        <v/>
      </c>
    </row>
    <row r="2671" spans="1:16" x14ac:dyDescent="0.3">
      <c r="A2671" s="19" t="str">
        <f t="shared" si="83"/>
        <v/>
      </c>
      <c r="L2671" s="21" t="str">
        <f>IF(J2671&lt;&gt;"",VLOOKUP(J2671,HeadCount!A:I,5,0),"")</f>
        <v/>
      </c>
      <c r="P2671" s="19" t="str">
        <f t="shared" si="84"/>
        <v/>
      </c>
    </row>
    <row r="2672" spans="1:16" x14ac:dyDescent="0.3">
      <c r="A2672" s="19" t="str">
        <f t="shared" si="83"/>
        <v/>
      </c>
      <c r="L2672" s="21" t="str">
        <f>IF(J2672&lt;&gt;"",VLOOKUP(J2672,HeadCount!A:I,5,0),"")</f>
        <v/>
      </c>
      <c r="P2672" s="19" t="str">
        <f t="shared" si="84"/>
        <v/>
      </c>
    </row>
    <row r="2673" spans="1:16" x14ac:dyDescent="0.3">
      <c r="A2673" s="19" t="str">
        <f t="shared" si="83"/>
        <v/>
      </c>
      <c r="L2673" s="21" t="str">
        <f>IF(J2673&lt;&gt;"",VLOOKUP(J2673,HeadCount!A:I,5,0),"")</f>
        <v/>
      </c>
      <c r="P2673" s="19" t="str">
        <f t="shared" si="84"/>
        <v/>
      </c>
    </row>
    <row r="2674" spans="1:16" x14ac:dyDescent="0.3">
      <c r="A2674" s="19" t="str">
        <f t="shared" si="83"/>
        <v/>
      </c>
      <c r="L2674" s="21" t="str">
        <f>IF(J2674&lt;&gt;"",VLOOKUP(J2674,HeadCount!A:I,5,0),"")</f>
        <v/>
      </c>
      <c r="P2674" s="19" t="str">
        <f t="shared" si="84"/>
        <v/>
      </c>
    </row>
    <row r="2675" spans="1:16" x14ac:dyDescent="0.3">
      <c r="A2675" s="19" t="str">
        <f t="shared" si="83"/>
        <v/>
      </c>
      <c r="L2675" s="21" t="str">
        <f>IF(J2675&lt;&gt;"",VLOOKUP(J2675,HeadCount!A:I,5,0),"")</f>
        <v/>
      </c>
      <c r="P2675" s="19" t="str">
        <f t="shared" si="84"/>
        <v/>
      </c>
    </row>
    <row r="2676" spans="1:16" x14ac:dyDescent="0.3">
      <c r="A2676" s="19" t="str">
        <f t="shared" si="83"/>
        <v/>
      </c>
      <c r="L2676" s="21" t="str">
        <f>IF(J2676&lt;&gt;"",VLOOKUP(J2676,HeadCount!A:I,5,0),"")</f>
        <v/>
      </c>
      <c r="P2676" s="19" t="str">
        <f t="shared" si="84"/>
        <v/>
      </c>
    </row>
    <row r="2677" spans="1:16" x14ac:dyDescent="0.3">
      <c r="A2677" s="19" t="str">
        <f t="shared" si="83"/>
        <v/>
      </c>
      <c r="L2677" s="21" t="str">
        <f>IF(J2677&lt;&gt;"",VLOOKUP(J2677,HeadCount!A:I,5,0),"")</f>
        <v/>
      </c>
      <c r="P2677" s="19" t="str">
        <f t="shared" si="84"/>
        <v/>
      </c>
    </row>
    <row r="2678" spans="1:16" x14ac:dyDescent="0.3">
      <c r="A2678" s="19" t="str">
        <f t="shared" si="83"/>
        <v/>
      </c>
      <c r="L2678" s="21" t="str">
        <f>IF(J2678&lt;&gt;"",VLOOKUP(J2678,HeadCount!A:I,5,0),"")</f>
        <v/>
      </c>
      <c r="P2678" s="19" t="str">
        <f t="shared" si="84"/>
        <v/>
      </c>
    </row>
    <row r="2679" spans="1:16" x14ac:dyDescent="0.3">
      <c r="A2679" s="19" t="str">
        <f t="shared" si="83"/>
        <v/>
      </c>
      <c r="L2679" s="21" t="str">
        <f>IF(J2679&lt;&gt;"",VLOOKUP(J2679,HeadCount!A:I,5,0),"")</f>
        <v/>
      </c>
      <c r="P2679" s="19" t="str">
        <f t="shared" si="84"/>
        <v/>
      </c>
    </row>
    <row r="2680" spans="1:16" x14ac:dyDescent="0.3">
      <c r="A2680" s="19" t="str">
        <f t="shared" si="83"/>
        <v/>
      </c>
      <c r="L2680" s="21" t="str">
        <f>IF(J2680&lt;&gt;"",VLOOKUP(J2680,HeadCount!A:I,5,0),"")</f>
        <v/>
      </c>
      <c r="P2680" s="19" t="str">
        <f t="shared" si="84"/>
        <v/>
      </c>
    </row>
    <row r="2681" spans="1:16" x14ac:dyDescent="0.3">
      <c r="A2681" s="19" t="str">
        <f t="shared" si="83"/>
        <v/>
      </c>
      <c r="L2681" s="21" t="str">
        <f>IF(J2681&lt;&gt;"",VLOOKUP(J2681,HeadCount!A:I,5,0),"")</f>
        <v/>
      </c>
      <c r="P2681" s="19" t="str">
        <f t="shared" si="84"/>
        <v/>
      </c>
    </row>
    <row r="2682" spans="1:16" x14ac:dyDescent="0.3">
      <c r="A2682" s="19" t="str">
        <f t="shared" si="83"/>
        <v/>
      </c>
      <c r="L2682" s="21" t="str">
        <f>IF(J2682&lt;&gt;"",VLOOKUP(J2682,HeadCount!A:I,5,0),"")</f>
        <v/>
      </c>
      <c r="P2682" s="19" t="str">
        <f t="shared" si="84"/>
        <v/>
      </c>
    </row>
    <row r="2683" spans="1:16" x14ac:dyDescent="0.3">
      <c r="A2683" s="19" t="str">
        <f t="shared" si="83"/>
        <v/>
      </c>
      <c r="L2683" s="21" t="str">
        <f>IF(J2683&lt;&gt;"",VLOOKUP(J2683,HeadCount!A:I,5,0),"")</f>
        <v/>
      </c>
      <c r="P2683" s="19" t="str">
        <f t="shared" si="84"/>
        <v/>
      </c>
    </row>
    <row r="2684" spans="1:16" x14ac:dyDescent="0.3">
      <c r="A2684" s="19" t="str">
        <f t="shared" si="83"/>
        <v/>
      </c>
      <c r="L2684" s="21" t="str">
        <f>IF(J2684&lt;&gt;"",VLOOKUP(J2684,HeadCount!A:I,5,0),"")</f>
        <v/>
      </c>
      <c r="P2684" s="19" t="str">
        <f t="shared" si="84"/>
        <v/>
      </c>
    </row>
    <row r="2685" spans="1:16" x14ac:dyDescent="0.3">
      <c r="A2685" s="19" t="str">
        <f t="shared" si="83"/>
        <v/>
      </c>
      <c r="L2685" s="21" t="str">
        <f>IF(J2685&lt;&gt;"",VLOOKUP(J2685,HeadCount!A:I,5,0),"")</f>
        <v/>
      </c>
      <c r="P2685" s="19" t="str">
        <f t="shared" si="84"/>
        <v/>
      </c>
    </row>
    <row r="2686" spans="1:16" x14ac:dyDescent="0.3">
      <c r="A2686" s="19" t="str">
        <f t="shared" si="83"/>
        <v/>
      </c>
      <c r="L2686" s="21" t="str">
        <f>IF(J2686&lt;&gt;"",VLOOKUP(J2686,HeadCount!A:I,5,0),"")</f>
        <v/>
      </c>
      <c r="P2686" s="19" t="str">
        <f t="shared" si="84"/>
        <v/>
      </c>
    </row>
    <row r="2687" spans="1:16" x14ac:dyDescent="0.3">
      <c r="A2687" s="19" t="str">
        <f t="shared" si="83"/>
        <v/>
      </c>
      <c r="L2687" s="21" t="str">
        <f>IF(J2687&lt;&gt;"",VLOOKUP(J2687,HeadCount!A:I,5,0),"")</f>
        <v/>
      </c>
      <c r="P2687" s="19" t="str">
        <f t="shared" si="84"/>
        <v/>
      </c>
    </row>
    <row r="2688" spans="1:16" x14ac:dyDescent="0.3">
      <c r="A2688" s="19" t="str">
        <f t="shared" si="83"/>
        <v/>
      </c>
      <c r="L2688" s="21" t="str">
        <f>IF(J2688&lt;&gt;"",VLOOKUP(J2688,HeadCount!A:I,5,0),"")</f>
        <v/>
      </c>
      <c r="P2688" s="19" t="str">
        <f t="shared" si="84"/>
        <v/>
      </c>
    </row>
    <row r="2689" spans="1:16" x14ac:dyDescent="0.3">
      <c r="A2689" s="19" t="str">
        <f t="shared" si="83"/>
        <v/>
      </c>
      <c r="L2689" s="21" t="str">
        <f>IF(J2689&lt;&gt;"",VLOOKUP(J2689,HeadCount!A:I,5,0),"")</f>
        <v/>
      </c>
      <c r="P2689" s="19" t="str">
        <f t="shared" si="84"/>
        <v/>
      </c>
    </row>
    <row r="2690" spans="1:16" x14ac:dyDescent="0.3">
      <c r="A2690" s="19" t="str">
        <f t="shared" ref="A2690:A2753" si="85">IF(C2690&lt;&gt;"",ROW(A2689),"")</f>
        <v/>
      </c>
      <c r="L2690" s="21" t="str">
        <f>IF(J2690&lt;&gt;"",VLOOKUP(J2690,HeadCount!A:I,5,0),"")</f>
        <v/>
      </c>
      <c r="P2690" s="19" t="str">
        <f t="shared" si="84"/>
        <v/>
      </c>
    </row>
    <row r="2691" spans="1:16" x14ac:dyDescent="0.3">
      <c r="A2691" s="19" t="str">
        <f t="shared" si="85"/>
        <v/>
      </c>
      <c r="L2691" s="21" t="str">
        <f>IF(J2691&lt;&gt;"",VLOOKUP(J2691,HeadCount!A:I,5,0),"")</f>
        <v/>
      </c>
      <c r="P2691" s="19" t="str">
        <f t="shared" ref="P2691:P2754" si="86">IF(N2691="","",(O2691-N2691)+1)</f>
        <v/>
      </c>
    </row>
    <row r="2692" spans="1:16" x14ac:dyDescent="0.3">
      <c r="A2692" s="19" t="str">
        <f t="shared" si="85"/>
        <v/>
      </c>
      <c r="L2692" s="21" t="str">
        <f>IF(J2692&lt;&gt;"",VLOOKUP(J2692,HeadCount!A:I,5,0),"")</f>
        <v/>
      </c>
      <c r="P2692" s="19" t="str">
        <f t="shared" si="86"/>
        <v/>
      </c>
    </row>
    <row r="2693" spans="1:16" x14ac:dyDescent="0.3">
      <c r="A2693" s="19" t="str">
        <f t="shared" si="85"/>
        <v/>
      </c>
      <c r="L2693" s="21" t="str">
        <f>IF(J2693&lt;&gt;"",VLOOKUP(J2693,HeadCount!A:I,5,0),"")</f>
        <v/>
      </c>
      <c r="P2693" s="19" t="str">
        <f t="shared" si="86"/>
        <v/>
      </c>
    </row>
    <row r="2694" spans="1:16" x14ac:dyDescent="0.3">
      <c r="A2694" s="19" t="str">
        <f t="shared" si="85"/>
        <v/>
      </c>
      <c r="L2694" s="21" t="str">
        <f>IF(J2694&lt;&gt;"",VLOOKUP(J2694,HeadCount!A:I,5,0),"")</f>
        <v/>
      </c>
      <c r="P2694" s="19" t="str">
        <f t="shared" si="86"/>
        <v/>
      </c>
    </row>
    <row r="2695" spans="1:16" x14ac:dyDescent="0.3">
      <c r="A2695" s="19" t="str">
        <f t="shared" si="85"/>
        <v/>
      </c>
      <c r="L2695" s="21" t="str">
        <f>IF(J2695&lt;&gt;"",VLOOKUP(J2695,HeadCount!A:I,5,0),"")</f>
        <v/>
      </c>
      <c r="P2695" s="19" t="str">
        <f t="shared" si="86"/>
        <v/>
      </c>
    </row>
    <row r="2696" spans="1:16" x14ac:dyDescent="0.3">
      <c r="A2696" s="19" t="str">
        <f t="shared" si="85"/>
        <v/>
      </c>
      <c r="L2696" s="21" t="str">
        <f>IF(J2696&lt;&gt;"",VLOOKUP(J2696,HeadCount!A:I,5,0),"")</f>
        <v/>
      </c>
      <c r="P2696" s="19" t="str">
        <f t="shared" si="86"/>
        <v/>
      </c>
    </row>
    <row r="2697" spans="1:16" x14ac:dyDescent="0.3">
      <c r="A2697" s="19" t="str">
        <f t="shared" si="85"/>
        <v/>
      </c>
      <c r="L2697" s="21" t="str">
        <f>IF(J2697&lt;&gt;"",VLOOKUP(J2697,HeadCount!A:I,5,0),"")</f>
        <v/>
      </c>
      <c r="P2697" s="19" t="str">
        <f t="shared" si="86"/>
        <v/>
      </c>
    </row>
    <row r="2698" spans="1:16" x14ac:dyDescent="0.3">
      <c r="A2698" s="19" t="str">
        <f t="shared" si="85"/>
        <v/>
      </c>
      <c r="L2698" s="21" t="str">
        <f>IF(J2698&lt;&gt;"",VLOOKUP(J2698,HeadCount!A:I,5,0),"")</f>
        <v/>
      </c>
      <c r="P2698" s="19" t="str">
        <f t="shared" si="86"/>
        <v/>
      </c>
    </row>
    <row r="2699" spans="1:16" x14ac:dyDescent="0.3">
      <c r="A2699" s="19" t="str">
        <f t="shared" si="85"/>
        <v/>
      </c>
      <c r="L2699" s="21" t="str">
        <f>IF(J2699&lt;&gt;"",VLOOKUP(J2699,HeadCount!A:I,5,0),"")</f>
        <v/>
      </c>
      <c r="P2699" s="19" t="str">
        <f t="shared" si="86"/>
        <v/>
      </c>
    </row>
    <row r="2700" spans="1:16" x14ac:dyDescent="0.3">
      <c r="A2700" s="19" t="str">
        <f t="shared" si="85"/>
        <v/>
      </c>
      <c r="L2700" s="21" t="str">
        <f>IF(J2700&lt;&gt;"",VLOOKUP(J2700,HeadCount!A:I,5,0),"")</f>
        <v/>
      </c>
      <c r="P2700" s="19" t="str">
        <f t="shared" si="86"/>
        <v/>
      </c>
    </row>
    <row r="2701" spans="1:16" x14ac:dyDescent="0.3">
      <c r="A2701" s="19" t="str">
        <f t="shared" si="85"/>
        <v/>
      </c>
      <c r="L2701" s="21" t="str">
        <f>IF(J2701&lt;&gt;"",VLOOKUP(J2701,HeadCount!A:I,5,0),"")</f>
        <v/>
      </c>
      <c r="P2701" s="19" t="str">
        <f t="shared" si="86"/>
        <v/>
      </c>
    </row>
    <row r="2702" spans="1:16" x14ac:dyDescent="0.3">
      <c r="A2702" s="19" t="str">
        <f t="shared" si="85"/>
        <v/>
      </c>
      <c r="L2702" s="21" t="str">
        <f>IF(J2702&lt;&gt;"",VLOOKUP(J2702,HeadCount!A:I,5,0),"")</f>
        <v/>
      </c>
      <c r="P2702" s="19" t="str">
        <f t="shared" si="86"/>
        <v/>
      </c>
    </row>
    <row r="2703" spans="1:16" x14ac:dyDescent="0.3">
      <c r="A2703" s="19" t="str">
        <f t="shared" si="85"/>
        <v/>
      </c>
      <c r="L2703" s="21" t="str">
        <f>IF(J2703&lt;&gt;"",VLOOKUP(J2703,HeadCount!A:I,5,0),"")</f>
        <v/>
      </c>
      <c r="P2703" s="19" t="str">
        <f t="shared" si="86"/>
        <v/>
      </c>
    </row>
    <row r="2704" spans="1:16" x14ac:dyDescent="0.3">
      <c r="A2704" s="19" t="str">
        <f t="shared" si="85"/>
        <v/>
      </c>
      <c r="L2704" s="21" t="str">
        <f>IF(J2704&lt;&gt;"",VLOOKUP(J2704,HeadCount!A:I,5,0),"")</f>
        <v/>
      </c>
      <c r="P2704" s="19" t="str">
        <f t="shared" si="86"/>
        <v/>
      </c>
    </row>
    <row r="2705" spans="1:16" x14ac:dyDescent="0.3">
      <c r="A2705" s="19" t="str">
        <f t="shared" si="85"/>
        <v/>
      </c>
      <c r="L2705" s="21" t="str">
        <f>IF(J2705&lt;&gt;"",VLOOKUP(J2705,HeadCount!A:I,5,0),"")</f>
        <v/>
      </c>
      <c r="P2705" s="19" t="str">
        <f t="shared" si="86"/>
        <v/>
      </c>
    </row>
    <row r="2706" spans="1:16" x14ac:dyDescent="0.3">
      <c r="A2706" s="19" t="str">
        <f t="shared" si="85"/>
        <v/>
      </c>
      <c r="L2706" s="21" t="str">
        <f>IF(J2706&lt;&gt;"",VLOOKUP(J2706,HeadCount!A:I,5,0),"")</f>
        <v/>
      </c>
      <c r="P2706" s="19" t="str">
        <f t="shared" si="86"/>
        <v/>
      </c>
    </row>
    <row r="2707" spans="1:16" x14ac:dyDescent="0.3">
      <c r="A2707" s="19" t="str">
        <f t="shared" si="85"/>
        <v/>
      </c>
      <c r="L2707" s="21" t="str">
        <f>IF(J2707&lt;&gt;"",VLOOKUP(J2707,HeadCount!A:I,5,0),"")</f>
        <v/>
      </c>
      <c r="P2707" s="19" t="str">
        <f t="shared" si="86"/>
        <v/>
      </c>
    </row>
    <row r="2708" spans="1:16" x14ac:dyDescent="0.3">
      <c r="A2708" s="19" t="str">
        <f t="shared" si="85"/>
        <v/>
      </c>
      <c r="L2708" s="21" t="str">
        <f>IF(J2708&lt;&gt;"",VLOOKUP(J2708,HeadCount!A:I,5,0),"")</f>
        <v/>
      </c>
      <c r="P2708" s="19" t="str">
        <f t="shared" si="86"/>
        <v/>
      </c>
    </row>
    <row r="2709" spans="1:16" x14ac:dyDescent="0.3">
      <c r="A2709" s="19" t="str">
        <f t="shared" si="85"/>
        <v/>
      </c>
      <c r="L2709" s="21" t="str">
        <f>IF(J2709&lt;&gt;"",VLOOKUP(J2709,HeadCount!A:I,5,0),"")</f>
        <v/>
      </c>
      <c r="P2709" s="19" t="str">
        <f t="shared" si="86"/>
        <v/>
      </c>
    </row>
    <row r="2710" spans="1:16" x14ac:dyDescent="0.3">
      <c r="A2710" s="19" t="str">
        <f t="shared" si="85"/>
        <v/>
      </c>
      <c r="L2710" s="21" t="str">
        <f>IF(J2710&lt;&gt;"",VLOOKUP(J2710,HeadCount!A:I,5,0),"")</f>
        <v/>
      </c>
      <c r="P2710" s="19" t="str">
        <f t="shared" si="86"/>
        <v/>
      </c>
    </row>
    <row r="2711" spans="1:16" x14ac:dyDescent="0.3">
      <c r="A2711" s="19" t="str">
        <f t="shared" si="85"/>
        <v/>
      </c>
      <c r="L2711" s="21" t="str">
        <f>IF(J2711&lt;&gt;"",VLOOKUP(J2711,HeadCount!A:I,5,0),"")</f>
        <v/>
      </c>
      <c r="P2711" s="19" t="str">
        <f t="shared" si="86"/>
        <v/>
      </c>
    </row>
    <row r="2712" spans="1:16" x14ac:dyDescent="0.3">
      <c r="A2712" s="19" t="str">
        <f t="shared" si="85"/>
        <v/>
      </c>
      <c r="L2712" s="21" t="str">
        <f>IF(J2712&lt;&gt;"",VLOOKUP(J2712,HeadCount!A:I,5,0),"")</f>
        <v/>
      </c>
      <c r="P2712" s="19" t="str">
        <f t="shared" si="86"/>
        <v/>
      </c>
    </row>
    <row r="2713" spans="1:16" x14ac:dyDescent="0.3">
      <c r="A2713" s="19" t="str">
        <f t="shared" si="85"/>
        <v/>
      </c>
      <c r="L2713" s="21" t="str">
        <f>IF(J2713&lt;&gt;"",VLOOKUP(J2713,HeadCount!A:I,5,0),"")</f>
        <v/>
      </c>
      <c r="P2713" s="19" t="str">
        <f t="shared" si="86"/>
        <v/>
      </c>
    </row>
    <row r="2714" spans="1:16" x14ac:dyDescent="0.3">
      <c r="A2714" s="19" t="str">
        <f t="shared" si="85"/>
        <v/>
      </c>
      <c r="L2714" s="21" t="str">
        <f>IF(J2714&lt;&gt;"",VLOOKUP(J2714,HeadCount!A:I,5,0),"")</f>
        <v/>
      </c>
      <c r="P2714" s="19" t="str">
        <f t="shared" si="86"/>
        <v/>
      </c>
    </row>
    <row r="2715" spans="1:16" x14ac:dyDescent="0.3">
      <c r="A2715" s="19" t="str">
        <f t="shared" si="85"/>
        <v/>
      </c>
      <c r="L2715" s="21" t="str">
        <f>IF(J2715&lt;&gt;"",VLOOKUP(J2715,HeadCount!A:I,5,0),"")</f>
        <v/>
      </c>
      <c r="P2715" s="19" t="str">
        <f t="shared" si="86"/>
        <v/>
      </c>
    </row>
    <row r="2716" spans="1:16" x14ac:dyDescent="0.3">
      <c r="A2716" s="19" t="str">
        <f t="shared" si="85"/>
        <v/>
      </c>
      <c r="L2716" s="21" t="str">
        <f>IF(J2716&lt;&gt;"",VLOOKUP(J2716,HeadCount!A:I,5,0),"")</f>
        <v/>
      </c>
      <c r="P2716" s="19" t="str">
        <f t="shared" si="86"/>
        <v/>
      </c>
    </row>
    <row r="2717" spans="1:16" x14ac:dyDescent="0.3">
      <c r="A2717" s="19" t="str">
        <f t="shared" si="85"/>
        <v/>
      </c>
      <c r="L2717" s="21" t="str">
        <f>IF(J2717&lt;&gt;"",VLOOKUP(J2717,HeadCount!A:I,5,0),"")</f>
        <v/>
      </c>
      <c r="P2717" s="19" t="str">
        <f t="shared" si="86"/>
        <v/>
      </c>
    </row>
    <row r="2718" spans="1:16" x14ac:dyDescent="0.3">
      <c r="A2718" s="19" t="str">
        <f t="shared" si="85"/>
        <v/>
      </c>
      <c r="L2718" s="21" t="str">
        <f>IF(J2718&lt;&gt;"",VLOOKUP(J2718,HeadCount!A:I,5,0),"")</f>
        <v/>
      </c>
      <c r="P2718" s="19" t="str">
        <f t="shared" si="86"/>
        <v/>
      </c>
    </row>
    <row r="2719" spans="1:16" x14ac:dyDescent="0.3">
      <c r="A2719" s="19" t="str">
        <f t="shared" si="85"/>
        <v/>
      </c>
      <c r="L2719" s="21" t="str">
        <f>IF(J2719&lt;&gt;"",VLOOKUP(J2719,HeadCount!A:I,5,0),"")</f>
        <v/>
      </c>
      <c r="P2719" s="19" t="str">
        <f t="shared" si="86"/>
        <v/>
      </c>
    </row>
    <row r="2720" spans="1:16" x14ac:dyDescent="0.3">
      <c r="A2720" s="19" t="str">
        <f t="shared" si="85"/>
        <v/>
      </c>
      <c r="L2720" s="21" t="str">
        <f>IF(J2720&lt;&gt;"",VLOOKUP(J2720,HeadCount!A:I,5,0),"")</f>
        <v/>
      </c>
      <c r="P2720" s="19" t="str">
        <f t="shared" si="86"/>
        <v/>
      </c>
    </row>
    <row r="2721" spans="1:16" x14ac:dyDescent="0.3">
      <c r="A2721" s="19" t="str">
        <f t="shared" si="85"/>
        <v/>
      </c>
      <c r="L2721" s="21" t="str">
        <f>IF(J2721&lt;&gt;"",VLOOKUP(J2721,HeadCount!A:I,5,0),"")</f>
        <v/>
      </c>
      <c r="P2721" s="19" t="str">
        <f t="shared" si="86"/>
        <v/>
      </c>
    </row>
    <row r="2722" spans="1:16" x14ac:dyDescent="0.3">
      <c r="A2722" s="19" t="str">
        <f t="shared" si="85"/>
        <v/>
      </c>
      <c r="L2722" s="21" t="str">
        <f>IF(J2722&lt;&gt;"",VLOOKUP(J2722,HeadCount!A:I,5,0),"")</f>
        <v/>
      </c>
      <c r="P2722" s="19" t="str">
        <f t="shared" si="86"/>
        <v/>
      </c>
    </row>
    <row r="2723" spans="1:16" x14ac:dyDescent="0.3">
      <c r="A2723" s="19" t="str">
        <f t="shared" si="85"/>
        <v/>
      </c>
      <c r="L2723" s="21" t="str">
        <f>IF(J2723&lt;&gt;"",VLOOKUP(J2723,HeadCount!A:I,5,0),"")</f>
        <v/>
      </c>
      <c r="P2723" s="19" t="str">
        <f t="shared" si="86"/>
        <v/>
      </c>
    </row>
    <row r="2724" spans="1:16" x14ac:dyDescent="0.3">
      <c r="A2724" s="19" t="str">
        <f t="shared" si="85"/>
        <v/>
      </c>
      <c r="L2724" s="21" t="str">
        <f>IF(J2724&lt;&gt;"",VLOOKUP(J2724,HeadCount!A:I,5,0),"")</f>
        <v/>
      </c>
      <c r="P2724" s="19" t="str">
        <f t="shared" si="86"/>
        <v/>
      </c>
    </row>
    <row r="2725" spans="1:16" x14ac:dyDescent="0.3">
      <c r="A2725" s="19" t="str">
        <f t="shared" si="85"/>
        <v/>
      </c>
      <c r="L2725" s="21" t="str">
        <f>IF(J2725&lt;&gt;"",VLOOKUP(J2725,HeadCount!A:I,5,0),"")</f>
        <v/>
      </c>
      <c r="P2725" s="19" t="str">
        <f t="shared" si="86"/>
        <v/>
      </c>
    </row>
    <row r="2726" spans="1:16" x14ac:dyDescent="0.3">
      <c r="A2726" s="19" t="str">
        <f t="shared" si="85"/>
        <v/>
      </c>
      <c r="L2726" s="21" t="str">
        <f>IF(J2726&lt;&gt;"",VLOOKUP(J2726,HeadCount!A:I,5,0),"")</f>
        <v/>
      </c>
      <c r="P2726" s="19" t="str">
        <f t="shared" si="86"/>
        <v/>
      </c>
    </row>
    <row r="2727" spans="1:16" x14ac:dyDescent="0.3">
      <c r="A2727" s="19" t="str">
        <f t="shared" si="85"/>
        <v/>
      </c>
      <c r="L2727" s="21" t="str">
        <f>IF(J2727&lt;&gt;"",VLOOKUP(J2727,HeadCount!A:I,5,0),"")</f>
        <v/>
      </c>
      <c r="P2727" s="19" t="str">
        <f t="shared" si="86"/>
        <v/>
      </c>
    </row>
    <row r="2728" spans="1:16" x14ac:dyDescent="0.3">
      <c r="A2728" s="19" t="str">
        <f t="shared" si="85"/>
        <v/>
      </c>
      <c r="L2728" s="21" t="str">
        <f>IF(J2728&lt;&gt;"",VLOOKUP(J2728,HeadCount!A:I,5,0),"")</f>
        <v/>
      </c>
      <c r="P2728" s="19" t="str">
        <f t="shared" si="86"/>
        <v/>
      </c>
    </row>
    <row r="2729" spans="1:16" x14ac:dyDescent="0.3">
      <c r="A2729" s="19" t="str">
        <f t="shared" si="85"/>
        <v/>
      </c>
      <c r="L2729" s="21" t="str">
        <f>IF(J2729&lt;&gt;"",VLOOKUP(J2729,HeadCount!A:I,5,0),"")</f>
        <v/>
      </c>
      <c r="P2729" s="19" t="str">
        <f t="shared" si="86"/>
        <v/>
      </c>
    </row>
    <row r="2730" spans="1:16" x14ac:dyDescent="0.3">
      <c r="A2730" s="19" t="str">
        <f t="shared" si="85"/>
        <v/>
      </c>
      <c r="L2730" s="21" t="str">
        <f>IF(J2730&lt;&gt;"",VLOOKUP(J2730,HeadCount!A:I,5,0),"")</f>
        <v/>
      </c>
      <c r="P2730" s="19" t="str">
        <f t="shared" si="86"/>
        <v/>
      </c>
    </row>
    <row r="2731" spans="1:16" x14ac:dyDescent="0.3">
      <c r="A2731" s="19" t="str">
        <f t="shared" si="85"/>
        <v/>
      </c>
      <c r="L2731" s="21" t="str">
        <f>IF(J2731&lt;&gt;"",VLOOKUP(J2731,HeadCount!A:I,5,0),"")</f>
        <v/>
      </c>
      <c r="P2731" s="19" t="str">
        <f t="shared" si="86"/>
        <v/>
      </c>
    </row>
    <row r="2732" spans="1:16" x14ac:dyDescent="0.3">
      <c r="A2732" s="19" t="str">
        <f t="shared" si="85"/>
        <v/>
      </c>
      <c r="L2732" s="21" t="str">
        <f>IF(J2732&lt;&gt;"",VLOOKUP(J2732,HeadCount!A:I,5,0),"")</f>
        <v/>
      </c>
      <c r="P2732" s="19" t="str">
        <f t="shared" si="86"/>
        <v/>
      </c>
    </row>
    <row r="2733" spans="1:16" x14ac:dyDescent="0.3">
      <c r="A2733" s="19" t="str">
        <f t="shared" si="85"/>
        <v/>
      </c>
      <c r="L2733" s="21" t="str">
        <f>IF(J2733&lt;&gt;"",VLOOKUP(J2733,HeadCount!A:I,5,0),"")</f>
        <v/>
      </c>
      <c r="P2733" s="19" t="str">
        <f t="shared" si="86"/>
        <v/>
      </c>
    </row>
    <row r="2734" spans="1:16" x14ac:dyDescent="0.3">
      <c r="A2734" s="19" t="str">
        <f t="shared" si="85"/>
        <v/>
      </c>
      <c r="L2734" s="21" t="str">
        <f>IF(J2734&lt;&gt;"",VLOOKUP(J2734,HeadCount!A:I,5,0),"")</f>
        <v/>
      </c>
      <c r="P2734" s="19" t="str">
        <f t="shared" si="86"/>
        <v/>
      </c>
    </row>
    <row r="2735" spans="1:16" x14ac:dyDescent="0.3">
      <c r="A2735" s="19" t="str">
        <f t="shared" si="85"/>
        <v/>
      </c>
      <c r="L2735" s="21" t="str">
        <f>IF(J2735&lt;&gt;"",VLOOKUP(J2735,HeadCount!A:I,5,0),"")</f>
        <v/>
      </c>
      <c r="P2735" s="19" t="str">
        <f t="shared" si="86"/>
        <v/>
      </c>
    </row>
    <row r="2736" spans="1:16" x14ac:dyDescent="0.3">
      <c r="A2736" s="19" t="str">
        <f t="shared" si="85"/>
        <v/>
      </c>
      <c r="L2736" s="21" t="str">
        <f>IF(J2736&lt;&gt;"",VLOOKUP(J2736,HeadCount!A:I,5,0),"")</f>
        <v/>
      </c>
      <c r="P2736" s="19" t="str">
        <f t="shared" si="86"/>
        <v/>
      </c>
    </row>
    <row r="2737" spans="1:16" x14ac:dyDescent="0.3">
      <c r="A2737" s="19" t="str">
        <f t="shared" si="85"/>
        <v/>
      </c>
      <c r="L2737" s="21" t="str">
        <f>IF(J2737&lt;&gt;"",VLOOKUP(J2737,HeadCount!A:I,5,0),"")</f>
        <v/>
      </c>
      <c r="P2737" s="19" t="str">
        <f t="shared" si="86"/>
        <v/>
      </c>
    </row>
    <row r="2738" spans="1:16" x14ac:dyDescent="0.3">
      <c r="A2738" s="19" t="str">
        <f t="shared" si="85"/>
        <v/>
      </c>
      <c r="L2738" s="21" t="str">
        <f>IF(J2738&lt;&gt;"",VLOOKUP(J2738,HeadCount!A:I,5,0),"")</f>
        <v/>
      </c>
      <c r="P2738" s="19" t="str">
        <f t="shared" si="86"/>
        <v/>
      </c>
    </row>
    <row r="2739" spans="1:16" x14ac:dyDescent="0.3">
      <c r="A2739" s="19" t="str">
        <f t="shared" si="85"/>
        <v/>
      </c>
      <c r="L2739" s="21" t="str">
        <f>IF(J2739&lt;&gt;"",VLOOKUP(J2739,HeadCount!A:I,5,0),"")</f>
        <v/>
      </c>
      <c r="P2739" s="19" t="str">
        <f t="shared" si="86"/>
        <v/>
      </c>
    </row>
    <row r="2740" spans="1:16" x14ac:dyDescent="0.3">
      <c r="A2740" s="19" t="str">
        <f t="shared" si="85"/>
        <v/>
      </c>
      <c r="L2740" s="21" t="str">
        <f>IF(J2740&lt;&gt;"",VLOOKUP(J2740,HeadCount!A:I,5,0),"")</f>
        <v/>
      </c>
      <c r="P2740" s="19" t="str">
        <f t="shared" si="86"/>
        <v/>
      </c>
    </row>
    <row r="2741" spans="1:16" x14ac:dyDescent="0.3">
      <c r="A2741" s="19" t="str">
        <f t="shared" si="85"/>
        <v/>
      </c>
      <c r="L2741" s="21" t="str">
        <f>IF(J2741&lt;&gt;"",VLOOKUP(J2741,HeadCount!A:I,5,0),"")</f>
        <v/>
      </c>
      <c r="P2741" s="19" t="str">
        <f t="shared" si="86"/>
        <v/>
      </c>
    </row>
    <row r="2742" spans="1:16" x14ac:dyDescent="0.3">
      <c r="A2742" s="19" t="str">
        <f t="shared" si="85"/>
        <v/>
      </c>
      <c r="L2742" s="21" t="str">
        <f>IF(J2742&lt;&gt;"",VLOOKUP(J2742,HeadCount!A:I,5,0),"")</f>
        <v/>
      </c>
      <c r="P2742" s="19" t="str">
        <f t="shared" si="86"/>
        <v/>
      </c>
    </row>
    <row r="2743" spans="1:16" x14ac:dyDescent="0.3">
      <c r="A2743" s="19" t="str">
        <f t="shared" si="85"/>
        <v/>
      </c>
      <c r="L2743" s="21" t="str">
        <f>IF(J2743&lt;&gt;"",VLOOKUP(J2743,HeadCount!A:I,5,0),"")</f>
        <v/>
      </c>
      <c r="P2743" s="19" t="str">
        <f t="shared" si="86"/>
        <v/>
      </c>
    </row>
    <row r="2744" spans="1:16" x14ac:dyDescent="0.3">
      <c r="A2744" s="19" t="str">
        <f t="shared" si="85"/>
        <v/>
      </c>
      <c r="L2744" s="21" t="str">
        <f>IF(J2744&lt;&gt;"",VLOOKUP(J2744,HeadCount!A:I,5,0),"")</f>
        <v/>
      </c>
      <c r="P2744" s="19" t="str">
        <f t="shared" si="86"/>
        <v/>
      </c>
    </row>
    <row r="2745" spans="1:16" x14ac:dyDescent="0.3">
      <c r="A2745" s="19" t="str">
        <f t="shared" si="85"/>
        <v/>
      </c>
      <c r="L2745" s="21" t="str">
        <f>IF(J2745&lt;&gt;"",VLOOKUP(J2745,HeadCount!A:I,5,0),"")</f>
        <v/>
      </c>
      <c r="P2745" s="19" t="str">
        <f t="shared" si="86"/>
        <v/>
      </c>
    </row>
    <row r="2746" spans="1:16" x14ac:dyDescent="0.3">
      <c r="A2746" s="19" t="str">
        <f t="shared" si="85"/>
        <v/>
      </c>
      <c r="L2746" s="21" t="str">
        <f>IF(J2746&lt;&gt;"",VLOOKUP(J2746,HeadCount!A:I,5,0),"")</f>
        <v/>
      </c>
      <c r="P2746" s="19" t="str">
        <f t="shared" si="86"/>
        <v/>
      </c>
    </row>
    <row r="2747" spans="1:16" x14ac:dyDescent="0.3">
      <c r="A2747" s="19" t="str">
        <f t="shared" si="85"/>
        <v/>
      </c>
      <c r="L2747" s="21" t="str">
        <f>IF(J2747&lt;&gt;"",VLOOKUP(J2747,HeadCount!A:I,5,0),"")</f>
        <v/>
      </c>
      <c r="P2747" s="19" t="str">
        <f t="shared" si="86"/>
        <v/>
      </c>
    </row>
    <row r="2748" spans="1:16" x14ac:dyDescent="0.3">
      <c r="A2748" s="19" t="str">
        <f t="shared" si="85"/>
        <v/>
      </c>
      <c r="L2748" s="21" t="str">
        <f>IF(J2748&lt;&gt;"",VLOOKUP(J2748,HeadCount!A:I,5,0),"")</f>
        <v/>
      </c>
      <c r="P2748" s="19" t="str">
        <f t="shared" si="86"/>
        <v/>
      </c>
    </row>
    <row r="2749" spans="1:16" x14ac:dyDescent="0.3">
      <c r="A2749" s="19" t="str">
        <f t="shared" si="85"/>
        <v/>
      </c>
      <c r="L2749" s="21" t="str">
        <f>IF(J2749&lt;&gt;"",VLOOKUP(J2749,HeadCount!A:I,5,0),"")</f>
        <v/>
      </c>
      <c r="P2749" s="19" t="str">
        <f t="shared" si="86"/>
        <v/>
      </c>
    </row>
    <row r="2750" spans="1:16" x14ac:dyDescent="0.3">
      <c r="A2750" s="19" t="str">
        <f t="shared" si="85"/>
        <v/>
      </c>
      <c r="L2750" s="21" t="str">
        <f>IF(J2750&lt;&gt;"",VLOOKUP(J2750,HeadCount!A:I,5,0),"")</f>
        <v/>
      </c>
      <c r="P2750" s="19" t="str">
        <f t="shared" si="86"/>
        <v/>
      </c>
    </row>
    <row r="2751" spans="1:16" x14ac:dyDescent="0.3">
      <c r="A2751" s="19" t="str">
        <f t="shared" si="85"/>
        <v/>
      </c>
      <c r="L2751" s="21" t="str">
        <f>IF(J2751&lt;&gt;"",VLOOKUP(J2751,HeadCount!A:I,5,0),"")</f>
        <v/>
      </c>
      <c r="P2751" s="19" t="str">
        <f t="shared" si="86"/>
        <v/>
      </c>
    </row>
    <row r="2752" spans="1:16" x14ac:dyDescent="0.3">
      <c r="A2752" s="19" t="str">
        <f t="shared" si="85"/>
        <v/>
      </c>
      <c r="L2752" s="21" t="str">
        <f>IF(J2752&lt;&gt;"",VLOOKUP(J2752,HeadCount!A:I,5,0),"")</f>
        <v/>
      </c>
      <c r="P2752" s="19" t="str">
        <f t="shared" si="86"/>
        <v/>
      </c>
    </row>
    <row r="2753" spans="1:16" x14ac:dyDescent="0.3">
      <c r="A2753" s="19" t="str">
        <f t="shared" si="85"/>
        <v/>
      </c>
      <c r="L2753" s="21" t="str">
        <f>IF(J2753&lt;&gt;"",VLOOKUP(J2753,HeadCount!A:I,5,0),"")</f>
        <v/>
      </c>
      <c r="P2753" s="19" t="str">
        <f t="shared" si="86"/>
        <v/>
      </c>
    </row>
    <row r="2754" spans="1:16" x14ac:dyDescent="0.3">
      <c r="A2754" s="19" t="str">
        <f t="shared" ref="A2754:A2817" si="87">IF(C2754&lt;&gt;"",ROW(A2753),"")</f>
        <v/>
      </c>
      <c r="L2754" s="21" t="str">
        <f>IF(J2754&lt;&gt;"",VLOOKUP(J2754,HeadCount!A:I,5,0),"")</f>
        <v/>
      </c>
      <c r="P2754" s="19" t="str">
        <f t="shared" si="86"/>
        <v/>
      </c>
    </row>
    <row r="2755" spans="1:16" x14ac:dyDescent="0.3">
      <c r="A2755" s="19" t="str">
        <f t="shared" si="87"/>
        <v/>
      </c>
      <c r="L2755" s="21" t="str">
        <f>IF(J2755&lt;&gt;"",VLOOKUP(J2755,HeadCount!A:I,5,0),"")</f>
        <v/>
      </c>
      <c r="P2755" s="19" t="str">
        <f t="shared" ref="P2755:P2818" si="88">IF(N2755="","",(O2755-N2755)+1)</f>
        <v/>
      </c>
    </row>
    <row r="2756" spans="1:16" x14ac:dyDescent="0.3">
      <c r="A2756" s="19" t="str">
        <f t="shared" si="87"/>
        <v/>
      </c>
      <c r="L2756" s="21" t="str">
        <f>IF(J2756&lt;&gt;"",VLOOKUP(J2756,HeadCount!A:I,5,0),"")</f>
        <v/>
      </c>
      <c r="P2756" s="19" t="str">
        <f t="shared" si="88"/>
        <v/>
      </c>
    </row>
    <row r="2757" spans="1:16" x14ac:dyDescent="0.3">
      <c r="A2757" s="19" t="str">
        <f t="shared" si="87"/>
        <v/>
      </c>
      <c r="L2757" s="21" t="str">
        <f>IF(J2757&lt;&gt;"",VLOOKUP(J2757,HeadCount!A:I,5,0),"")</f>
        <v/>
      </c>
      <c r="P2757" s="19" t="str">
        <f t="shared" si="88"/>
        <v/>
      </c>
    </row>
    <row r="2758" spans="1:16" x14ac:dyDescent="0.3">
      <c r="A2758" s="19" t="str">
        <f t="shared" si="87"/>
        <v/>
      </c>
      <c r="L2758" s="21" t="str">
        <f>IF(J2758&lt;&gt;"",VLOOKUP(J2758,HeadCount!A:I,5,0),"")</f>
        <v/>
      </c>
      <c r="P2758" s="19" t="str">
        <f t="shared" si="88"/>
        <v/>
      </c>
    </row>
    <row r="2759" spans="1:16" x14ac:dyDescent="0.3">
      <c r="A2759" s="19" t="str">
        <f t="shared" si="87"/>
        <v/>
      </c>
      <c r="L2759" s="21" t="str">
        <f>IF(J2759&lt;&gt;"",VLOOKUP(J2759,HeadCount!A:I,5,0),"")</f>
        <v/>
      </c>
      <c r="P2759" s="19" t="str">
        <f t="shared" si="88"/>
        <v/>
      </c>
    </row>
    <row r="2760" spans="1:16" x14ac:dyDescent="0.3">
      <c r="A2760" s="19" t="str">
        <f t="shared" si="87"/>
        <v/>
      </c>
      <c r="L2760" s="21" t="str">
        <f>IF(J2760&lt;&gt;"",VLOOKUP(J2760,HeadCount!A:I,5,0),"")</f>
        <v/>
      </c>
      <c r="P2760" s="19" t="str">
        <f t="shared" si="88"/>
        <v/>
      </c>
    </row>
    <row r="2761" spans="1:16" x14ac:dyDescent="0.3">
      <c r="A2761" s="19" t="str">
        <f t="shared" si="87"/>
        <v/>
      </c>
      <c r="L2761" s="21" t="str">
        <f>IF(J2761&lt;&gt;"",VLOOKUP(J2761,HeadCount!A:I,5,0),"")</f>
        <v/>
      </c>
      <c r="P2761" s="19" t="str">
        <f t="shared" si="88"/>
        <v/>
      </c>
    </row>
    <row r="2762" spans="1:16" x14ac:dyDescent="0.3">
      <c r="A2762" s="19" t="str">
        <f t="shared" si="87"/>
        <v/>
      </c>
      <c r="L2762" s="21" t="str">
        <f>IF(J2762&lt;&gt;"",VLOOKUP(J2762,HeadCount!A:I,5,0),"")</f>
        <v/>
      </c>
      <c r="P2762" s="19" t="str">
        <f t="shared" si="88"/>
        <v/>
      </c>
    </row>
    <row r="2763" spans="1:16" x14ac:dyDescent="0.3">
      <c r="A2763" s="19" t="str">
        <f t="shared" si="87"/>
        <v/>
      </c>
      <c r="L2763" s="21" t="str">
        <f>IF(J2763&lt;&gt;"",VLOOKUP(J2763,HeadCount!A:I,5,0),"")</f>
        <v/>
      </c>
      <c r="P2763" s="19" t="str">
        <f t="shared" si="88"/>
        <v/>
      </c>
    </row>
    <row r="2764" spans="1:16" x14ac:dyDescent="0.3">
      <c r="A2764" s="19" t="str">
        <f t="shared" si="87"/>
        <v/>
      </c>
      <c r="L2764" s="21" t="str">
        <f>IF(J2764&lt;&gt;"",VLOOKUP(J2764,HeadCount!A:I,5,0),"")</f>
        <v/>
      </c>
      <c r="P2764" s="19" t="str">
        <f t="shared" si="88"/>
        <v/>
      </c>
    </row>
    <row r="2765" spans="1:16" x14ac:dyDescent="0.3">
      <c r="A2765" s="19" t="str">
        <f t="shared" si="87"/>
        <v/>
      </c>
      <c r="L2765" s="21" t="str">
        <f>IF(J2765&lt;&gt;"",VLOOKUP(J2765,HeadCount!A:I,5,0),"")</f>
        <v/>
      </c>
      <c r="P2765" s="19" t="str">
        <f t="shared" si="88"/>
        <v/>
      </c>
    </row>
    <row r="2766" spans="1:16" x14ac:dyDescent="0.3">
      <c r="A2766" s="19" t="str">
        <f t="shared" si="87"/>
        <v/>
      </c>
      <c r="L2766" s="21" t="str">
        <f>IF(J2766&lt;&gt;"",VLOOKUP(J2766,HeadCount!A:I,5,0),"")</f>
        <v/>
      </c>
      <c r="P2766" s="19" t="str">
        <f t="shared" si="88"/>
        <v/>
      </c>
    </row>
    <row r="2767" spans="1:16" x14ac:dyDescent="0.3">
      <c r="A2767" s="19" t="str">
        <f t="shared" si="87"/>
        <v/>
      </c>
      <c r="L2767" s="21" t="str">
        <f>IF(J2767&lt;&gt;"",VLOOKUP(J2767,HeadCount!A:I,5,0),"")</f>
        <v/>
      </c>
      <c r="P2767" s="19" t="str">
        <f t="shared" si="88"/>
        <v/>
      </c>
    </row>
    <row r="2768" spans="1:16" x14ac:dyDescent="0.3">
      <c r="A2768" s="19" t="str">
        <f t="shared" si="87"/>
        <v/>
      </c>
      <c r="L2768" s="21" t="str">
        <f>IF(J2768&lt;&gt;"",VLOOKUP(J2768,HeadCount!A:I,5,0),"")</f>
        <v/>
      </c>
      <c r="P2768" s="19" t="str">
        <f t="shared" si="88"/>
        <v/>
      </c>
    </row>
    <row r="2769" spans="1:16" x14ac:dyDescent="0.3">
      <c r="A2769" s="19" t="str">
        <f t="shared" si="87"/>
        <v/>
      </c>
      <c r="L2769" s="21" t="str">
        <f>IF(J2769&lt;&gt;"",VLOOKUP(J2769,HeadCount!A:I,5,0),"")</f>
        <v/>
      </c>
      <c r="P2769" s="19" t="str">
        <f t="shared" si="88"/>
        <v/>
      </c>
    </row>
    <row r="2770" spans="1:16" x14ac:dyDescent="0.3">
      <c r="A2770" s="19" t="str">
        <f t="shared" si="87"/>
        <v/>
      </c>
      <c r="L2770" s="21" t="str">
        <f>IF(J2770&lt;&gt;"",VLOOKUP(J2770,HeadCount!A:I,5,0),"")</f>
        <v/>
      </c>
      <c r="P2770" s="19" t="str">
        <f t="shared" si="88"/>
        <v/>
      </c>
    </row>
    <row r="2771" spans="1:16" x14ac:dyDescent="0.3">
      <c r="A2771" s="19" t="str">
        <f t="shared" si="87"/>
        <v/>
      </c>
      <c r="L2771" s="21" t="str">
        <f>IF(J2771&lt;&gt;"",VLOOKUP(J2771,HeadCount!A:I,5,0),"")</f>
        <v/>
      </c>
      <c r="P2771" s="19" t="str">
        <f t="shared" si="88"/>
        <v/>
      </c>
    </row>
    <row r="2772" spans="1:16" x14ac:dyDescent="0.3">
      <c r="A2772" s="19" t="str">
        <f t="shared" si="87"/>
        <v/>
      </c>
      <c r="L2772" s="21" t="str">
        <f>IF(J2772&lt;&gt;"",VLOOKUP(J2772,HeadCount!A:I,5,0),"")</f>
        <v/>
      </c>
      <c r="P2772" s="19" t="str">
        <f t="shared" si="88"/>
        <v/>
      </c>
    </row>
    <row r="2773" spans="1:16" x14ac:dyDescent="0.3">
      <c r="A2773" s="19" t="str">
        <f t="shared" si="87"/>
        <v/>
      </c>
      <c r="L2773" s="21" t="str">
        <f>IF(J2773&lt;&gt;"",VLOOKUP(J2773,HeadCount!A:I,5,0),"")</f>
        <v/>
      </c>
      <c r="P2773" s="19" t="str">
        <f t="shared" si="88"/>
        <v/>
      </c>
    </row>
    <row r="2774" spans="1:16" x14ac:dyDescent="0.3">
      <c r="A2774" s="19" t="str">
        <f t="shared" si="87"/>
        <v/>
      </c>
      <c r="L2774" s="21" t="str">
        <f>IF(J2774&lt;&gt;"",VLOOKUP(J2774,HeadCount!A:I,5,0),"")</f>
        <v/>
      </c>
      <c r="P2774" s="19" t="str">
        <f t="shared" si="88"/>
        <v/>
      </c>
    </row>
    <row r="2775" spans="1:16" x14ac:dyDescent="0.3">
      <c r="A2775" s="19" t="str">
        <f t="shared" si="87"/>
        <v/>
      </c>
      <c r="L2775" s="21" t="str">
        <f>IF(J2775&lt;&gt;"",VLOOKUP(J2775,HeadCount!A:I,5,0),"")</f>
        <v/>
      </c>
      <c r="P2775" s="19" t="str">
        <f t="shared" si="88"/>
        <v/>
      </c>
    </row>
    <row r="2776" spans="1:16" x14ac:dyDescent="0.3">
      <c r="A2776" s="19" t="str">
        <f t="shared" si="87"/>
        <v/>
      </c>
      <c r="L2776" s="21" t="str">
        <f>IF(J2776&lt;&gt;"",VLOOKUP(J2776,HeadCount!A:I,5,0),"")</f>
        <v/>
      </c>
      <c r="P2776" s="19" t="str">
        <f t="shared" si="88"/>
        <v/>
      </c>
    </row>
    <row r="2777" spans="1:16" x14ac:dyDescent="0.3">
      <c r="A2777" s="19" t="str">
        <f t="shared" si="87"/>
        <v/>
      </c>
      <c r="L2777" s="21" t="str">
        <f>IF(J2777&lt;&gt;"",VLOOKUP(J2777,HeadCount!A:I,5,0),"")</f>
        <v/>
      </c>
      <c r="P2777" s="19" t="str">
        <f t="shared" si="88"/>
        <v/>
      </c>
    </row>
    <row r="2778" spans="1:16" x14ac:dyDescent="0.3">
      <c r="A2778" s="19" t="str">
        <f t="shared" si="87"/>
        <v/>
      </c>
      <c r="L2778" s="21" t="str">
        <f>IF(J2778&lt;&gt;"",VLOOKUP(J2778,HeadCount!A:I,5,0),"")</f>
        <v/>
      </c>
      <c r="P2778" s="19" t="str">
        <f t="shared" si="88"/>
        <v/>
      </c>
    </row>
    <row r="2779" spans="1:16" x14ac:dyDescent="0.3">
      <c r="A2779" s="19" t="str">
        <f t="shared" si="87"/>
        <v/>
      </c>
      <c r="L2779" s="21" t="str">
        <f>IF(J2779&lt;&gt;"",VLOOKUP(J2779,HeadCount!A:I,5,0),"")</f>
        <v/>
      </c>
      <c r="P2779" s="19" t="str">
        <f t="shared" si="88"/>
        <v/>
      </c>
    </row>
    <row r="2780" spans="1:16" x14ac:dyDescent="0.3">
      <c r="A2780" s="19" t="str">
        <f t="shared" si="87"/>
        <v/>
      </c>
      <c r="L2780" s="21" t="str">
        <f>IF(J2780&lt;&gt;"",VLOOKUP(J2780,HeadCount!A:I,5,0),"")</f>
        <v/>
      </c>
      <c r="P2780" s="19" t="str">
        <f t="shared" si="88"/>
        <v/>
      </c>
    </row>
    <row r="2781" spans="1:16" x14ac:dyDescent="0.3">
      <c r="A2781" s="19" t="str">
        <f t="shared" si="87"/>
        <v/>
      </c>
      <c r="L2781" s="21" t="str">
        <f>IF(J2781&lt;&gt;"",VLOOKUP(J2781,HeadCount!A:I,5,0),"")</f>
        <v/>
      </c>
      <c r="P2781" s="19" t="str">
        <f t="shared" si="88"/>
        <v/>
      </c>
    </row>
    <row r="2782" spans="1:16" x14ac:dyDescent="0.3">
      <c r="A2782" s="19" t="str">
        <f t="shared" si="87"/>
        <v/>
      </c>
      <c r="L2782" s="21" t="str">
        <f>IF(J2782&lt;&gt;"",VLOOKUP(J2782,HeadCount!A:I,5,0),"")</f>
        <v/>
      </c>
      <c r="P2782" s="19" t="str">
        <f t="shared" si="88"/>
        <v/>
      </c>
    </row>
    <row r="2783" spans="1:16" x14ac:dyDescent="0.3">
      <c r="A2783" s="19" t="str">
        <f t="shared" si="87"/>
        <v/>
      </c>
      <c r="L2783" s="21" t="str">
        <f>IF(J2783&lt;&gt;"",VLOOKUP(J2783,HeadCount!A:I,5,0),"")</f>
        <v/>
      </c>
      <c r="P2783" s="19" t="str">
        <f t="shared" si="88"/>
        <v/>
      </c>
    </row>
    <row r="2784" spans="1:16" x14ac:dyDescent="0.3">
      <c r="A2784" s="19" t="str">
        <f t="shared" si="87"/>
        <v/>
      </c>
      <c r="L2784" s="21" t="str">
        <f>IF(J2784&lt;&gt;"",VLOOKUP(J2784,HeadCount!A:I,5,0),"")</f>
        <v/>
      </c>
      <c r="P2784" s="19" t="str">
        <f t="shared" si="88"/>
        <v/>
      </c>
    </row>
    <row r="2785" spans="1:16" x14ac:dyDescent="0.3">
      <c r="A2785" s="19" t="str">
        <f t="shared" si="87"/>
        <v/>
      </c>
      <c r="L2785" s="21" t="str">
        <f>IF(J2785&lt;&gt;"",VLOOKUP(J2785,HeadCount!A:I,5,0),"")</f>
        <v/>
      </c>
      <c r="P2785" s="19" t="str">
        <f t="shared" si="88"/>
        <v/>
      </c>
    </row>
    <row r="2786" spans="1:16" x14ac:dyDescent="0.3">
      <c r="A2786" s="19" t="str">
        <f t="shared" si="87"/>
        <v/>
      </c>
      <c r="L2786" s="21" t="str">
        <f>IF(J2786&lt;&gt;"",VLOOKUP(J2786,HeadCount!A:I,5,0),"")</f>
        <v/>
      </c>
      <c r="P2786" s="19" t="str">
        <f t="shared" si="88"/>
        <v/>
      </c>
    </row>
    <row r="2787" spans="1:16" x14ac:dyDescent="0.3">
      <c r="A2787" s="19" t="str">
        <f t="shared" si="87"/>
        <v/>
      </c>
      <c r="L2787" s="21" t="str">
        <f>IF(J2787&lt;&gt;"",VLOOKUP(J2787,HeadCount!A:I,5,0),"")</f>
        <v/>
      </c>
      <c r="P2787" s="19" t="str">
        <f t="shared" si="88"/>
        <v/>
      </c>
    </row>
    <row r="2788" spans="1:16" x14ac:dyDescent="0.3">
      <c r="A2788" s="19" t="str">
        <f t="shared" si="87"/>
        <v/>
      </c>
      <c r="L2788" s="21" t="str">
        <f>IF(J2788&lt;&gt;"",VLOOKUP(J2788,HeadCount!A:I,5,0),"")</f>
        <v/>
      </c>
      <c r="P2788" s="19" t="str">
        <f t="shared" si="88"/>
        <v/>
      </c>
    </row>
    <row r="2789" spans="1:16" x14ac:dyDescent="0.3">
      <c r="A2789" s="19" t="str">
        <f t="shared" si="87"/>
        <v/>
      </c>
      <c r="L2789" s="21" t="str">
        <f>IF(J2789&lt;&gt;"",VLOOKUP(J2789,HeadCount!A:I,5,0),"")</f>
        <v/>
      </c>
      <c r="P2789" s="19" t="str">
        <f t="shared" si="88"/>
        <v/>
      </c>
    </row>
    <row r="2790" spans="1:16" x14ac:dyDescent="0.3">
      <c r="A2790" s="19" t="str">
        <f t="shared" si="87"/>
        <v/>
      </c>
      <c r="L2790" s="21" t="str">
        <f>IF(J2790&lt;&gt;"",VLOOKUP(J2790,HeadCount!A:I,5,0),"")</f>
        <v/>
      </c>
      <c r="P2790" s="19" t="str">
        <f t="shared" si="88"/>
        <v/>
      </c>
    </row>
    <row r="2791" spans="1:16" x14ac:dyDescent="0.3">
      <c r="A2791" s="19" t="str">
        <f t="shared" si="87"/>
        <v/>
      </c>
      <c r="L2791" s="21" t="str">
        <f>IF(J2791&lt;&gt;"",VLOOKUP(J2791,HeadCount!A:I,5,0),"")</f>
        <v/>
      </c>
      <c r="P2791" s="19" t="str">
        <f t="shared" si="88"/>
        <v/>
      </c>
    </row>
    <row r="2792" spans="1:16" x14ac:dyDescent="0.3">
      <c r="A2792" s="19" t="str">
        <f t="shared" si="87"/>
        <v/>
      </c>
      <c r="L2792" s="21" t="str">
        <f>IF(J2792&lt;&gt;"",VLOOKUP(J2792,HeadCount!A:I,5,0),"")</f>
        <v/>
      </c>
      <c r="P2792" s="19" t="str">
        <f t="shared" si="88"/>
        <v/>
      </c>
    </row>
    <row r="2793" spans="1:16" x14ac:dyDescent="0.3">
      <c r="A2793" s="19" t="str">
        <f t="shared" si="87"/>
        <v/>
      </c>
      <c r="L2793" s="21" t="str">
        <f>IF(J2793&lt;&gt;"",VLOOKUP(J2793,HeadCount!A:I,5,0),"")</f>
        <v/>
      </c>
      <c r="P2793" s="19" t="str">
        <f t="shared" si="88"/>
        <v/>
      </c>
    </row>
    <row r="2794" spans="1:16" x14ac:dyDescent="0.3">
      <c r="A2794" s="19" t="str">
        <f t="shared" si="87"/>
        <v/>
      </c>
      <c r="L2794" s="21" t="str">
        <f>IF(J2794&lt;&gt;"",VLOOKUP(J2794,HeadCount!A:I,5,0),"")</f>
        <v/>
      </c>
      <c r="P2794" s="19" t="str">
        <f t="shared" si="88"/>
        <v/>
      </c>
    </row>
    <row r="2795" spans="1:16" x14ac:dyDescent="0.3">
      <c r="A2795" s="19" t="str">
        <f t="shared" si="87"/>
        <v/>
      </c>
      <c r="L2795" s="21" t="str">
        <f>IF(J2795&lt;&gt;"",VLOOKUP(J2795,HeadCount!A:I,5,0),"")</f>
        <v/>
      </c>
      <c r="P2795" s="19" t="str">
        <f t="shared" si="88"/>
        <v/>
      </c>
    </row>
    <row r="2796" spans="1:16" x14ac:dyDescent="0.3">
      <c r="A2796" s="19" t="str">
        <f t="shared" si="87"/>
        <v/>
      </c>
      <c r="L2796" s="21" t="str">
        <f>IF(J2796&lt;&gt;"",VLOOKUP(J2796,HeadCount!A:I,5,0),"")</f>
        <v/>
      </c>
      <c r="P2796" s="19" t="str">
        <f t="shared" si="88"/>
        <v/>
      </c>
    </row>
    <row r="2797" spans="1:16" x14ac:dyDescent="0.3">
      <c r="A2797" s="19" t="str">
        <f t="shared" si="87"/>
        <v/>
      </c>
      <c r="L2797" s="21" t="str">
        <f>IF(J2797&lt;&gt;"",VLOOKUP(J2797,HeadCount!A:I,5,0),"")</f>
        <v/>
      </c>
      <c r="P2797" s="19" t="str">
        <f t="shared" si="88"/>
        <v/>
      </c>
    </row>
    <row r="2798" spans="1:16" x14ac:dyDescent="0.3">
      <c r="A2798" s="19" t="str">
        <f t="shared" si="87"/>
        <v/>
      </c>
      <c r="L2798" s="21" t="str">
        <f>IF(J2798&lt;&gt;"",VLOOKUP(J2798,HeadCount!A:I,5,0),"")</f>
        <v/>
      </c>
      <c r="P2798" s="19" t="str">
        <f t="shared" si="88"/>
        <v/>
      </c>
    </row>
    <row r="2799" spans="1:16" x14ac:dyDescent="0.3">
      <c r="A2799" s="19" t="str">
        <f t="shared" si="87"/>
        <v/>
      </c>
      <c r="L2799" s="21" t="str">
        <f>IF(J2799&lt;&gt;"",VLOOKUP(J2799,HeadCount!A:I,5,0),"")</f>
        <v/>
      </c>
      <c r="P2799" s="19" t="str">
        <f t="shared" si="88"/>
        <v/>
      </c>
    </row>
    <row r="2800" spans="1:16" x14ac:dyDescent="0.3">
      <c r="A2800" s="19" t="str">
        <f t="shared" si="87"/>
        <v/>
      </c>
      <c r="L2800" s="21" t="str">
        <f>IF(J2800&lt;&gt;"",VLOOKUP(J2800,HeadCount!A:I,5,0),"")</f>
        <v/>
      </c>
      <c r="P2800" s="19" t="str">
        <f t="shared" si="88"/>
        <v/>
      </c>
    </row>
    <row r="2801" spans="1:16" x14ac:dyDescent="0.3">
      <c r="A2801" s="19" t="str">
        <f t="shared" si="87"/>
        <v/>
      </c>
      <c r="L2801" s="21" t="str">
        <f>IF(J2801&lt;&gt;"",VLOOKUP(J2801,HeadCount!A:I,5,0),"")</f>
        <v/>
      </c>
      <c r="P2801" s="19" t="str">
        <f t="shared" si="88"/>
        <v/>
      </c>
    </row>
    <row r="2802" spans="1:16" x14ac:dyDescent="0.3">
      <c r="A2802" s="19" t="str">
        <f t="shared" si="87"/>
        <v/>
      </c>
      <c r="L2802" s="21" t="str">
        <f>IF(J2802&lt;&gt;"",VLOOKUP(J2802,HeadCount!A:I,5,0),"")</f>
        <v/>
      </c>
      <c r="P2802" s="19" t="str">
        <f t="shared" si="88"/>
        <v/>
      </c>
    </row>
    <row r="2803" spans="1:16" x14ac:dyDescent="0.3">
      <c r="A2803" s="19" t="str">
        <f t="shared" si="87"/>
        <v/>
      </c>
      <c r="L2803" s="21" t="str">
        <f>IF(J2803&lt;&gt;"",VLOOKUP(J2803,HeadCount!A:I,5,0),"")</f>
        <v/>
      </c>
      <c r="P2803" s="19" t="str">
        <f t="shared" si="88"/>
        <v/>
      </c>
    </row>
    <row r="2804" spans="1:16" x14ac:dyDescent="0.3">
      <c r="A2804" s="19" t="str">
        <f t="shared" si="87"/>
        <v/>
      </c>
      <c r="L2804" s="21" t="str">
        <f>IF(J2804&lt;&gt;"",VLOOKUP(J2804,HeadCount!A:I,5,0),"")</f>
        <v/>
      </c>
      <c r="P2804" s="19" t="str">
        <f t="shared" si="88"/>
        <v/>
      </c>
    </row>
    <row r="2805" spans="1:16" x14ac:dyDescent="0.3">
      <c r="A2805" s="19" t="str">
        <f t="shared" si="87"/>
        <v/>
      </c>
      <c r="L2805" s="21" t="str">
        <f>IF(J2805&lt;&gt;"",VLOOKUP(J2805,HeadCount!A:I,5,0),"")</f>
        <v/>
      </c>
      <c r="P2805" s="19" t="str">
        <f t="shared" si="88"/>
        <v/>
      </c>
    </row>
    <row r="2806" spans="1:16" x14ac:dyDescent="0.3">
      <c r="A2806" s="19" t="str">
        <f t="shared" si="87"/>
        <v/>
      </c>
      <c r="L2806" s="21" t="str">
        <f>IF(J2806&lt;&gt;"",VLOOKUP(J2806,HeadCount!A:I,5,0),"")</f>
        <v/>
      </c>
      <c r="P2806" s="19" t="str">
        <f t="shared" si="88"/>
        <v/>
      </c>
    </row>
    <row r="2807" spans="1:16" x14ac:dyDescent="0.3">
      <c r="A2807" s="19" t="str">
        <f t="shared" si="87"/>
        <v/>
      </c>
      <c r="L2807" s="21" t="str">
        <f>IF(J2807&lt;&gt;"",VLOOKUP(J2807,HeadCount!A:I,5,0),"")</f>
        <v/>
      </c>
      <c r="P2807" s="19" t="str">
        <f t="shared" si="88"/>
        <v/>
      </c>
    </row>
    <row r="2808" spans="1:16" x14ac:dyDescent="0.3">
      <c r="A2808" s="19" t="str">
        <f t="shared" si="87"/>
        <v/>
      </c>
      <c r="L2808" s="21" t="str">
        <f>IF(J2808&lt;&gt;"",VLOOKUP(J2808,HeadCount!A:I,5,0),"")</f>
        <v/>
      </c>
      <c r="P2808" s="19" t="str">
        <f t="shared" si="88"/>
        <v/>
      </c>
    </row>
    <row r="2809" spans="1:16" x14ac:dyDescent="0.3">
      <c r="A2809" s="19" t="str">
        <f t="shared" si="87"/>
        <v/>
      </c>
      <c r="L2809" s="21" t="str">
        <f>IF(J2809&lt;&gt;"",VLOOKUP(J2809,HeadCount!A:I,5,0),"")</f>
        <v/>
      </c>
      <c r="P2809" s="19" t="str">
        <f t="shared" si="88"/>
        <v/>
      </c>
    </row>
    <row r="2810" spans="1:16" x14ac:dyDescent="0.3">
      <c r="A2810" s="19" t="str">
        <f t="shared" si="87"/>
        <v/>
      </c>
      <c r="L2810" s="21" t="str">
        <f>IF(J2810&lt;&gt;"",VLOOKUP(J2810,HeadCount!A:I,5,0),"")</f>
        <v/>
      </c>
      <c r="P2810" s="19" t="str">
        <f t="shared" si="88"/>
        <v/>
      </c>
    </row>
    <row r="2811" spans="1:16" x14ac:dyDescent="0.3">
      <c r="A2811" s="19" t="str">
        <f t="shared" si="87"/>
        <v/>
      </c>
      <c r="L2811" s="21" t="str">
        <f>IF(J2811&lt;&gt;"",VLOOKUP(J2811,HeadCount!A:I,5,0),"")</f>
        <v/>
      </c>
      <c r="P2811" s="19" t="str">
        <f t="shared" si="88"/>
        <v/>
      </c>
    </row>
    <row r="2812" spans="1:16" x14ac:dyDescent="0.3">
      <c r="A2812" s="19" t="str">
        <f t="shared" si="87"/>
        <v/>
      </c>
      <c r="L2812" s="21" t="str">
        <f>IF(J2812&lt;&gt;"",VLOOKUP(J2812,HeadCount!A:I,5,0),"")</f>
        <v/>
      </c>
      <c r="P2812" s="19" t="str">
        <f t="shared" si="88"/>
        <v/>
      </c>
    </row>
    <row r="2813" spans="1:16" x14ac:dyDescent="0.3">
      <c r="A2813" s="19" t="str">
        <f t="shared" si="87"/>
        <v/>
      </c>
      <c r="L2813" s="21" t="str">
        <f>IF(J2813&lt;&gt;"",VLOOKUP(J2813,HeadCount!A:I,5,0),"")</f>
        <v/>
      </c>
      <c r="P2813" s="19" t="str">
        <f t="shared" si="88"/>
        <v/>
      </c>
    </row>
    <row r="2814" spans="1:16" x14ac:dyDescent="0.3">
      <c r="A2814" s="19" t="str">
        <f t="shared" si="87"/>
        <v/>
      </c>
      <c r="L2814" s="21" t="str">
        <f>IF(J2814&lt;&gt;"",VLOOKUP(J2814,HeadCount!A:I,5,0),"")</f>
        <v/>
      </c>
      <c r="P2814" s="19" t="str">
        <f t="shared" si="88"/>
        <v/>
      </c>
    </row>
    <row r="2815" spans="1:16" x14ac:dyDescent="0.3">
      <c r="A2815" s="19" t="str">
        <f t="shared" si="87"/>
        <v/>
      </c>
      <c r="L2815" s="21" t="str">
        <f>IF(J2815&lt;&gt;"",VLOOKUP(J2815,HeadCount!A:I,5,0),"")</f>
        <v/>
      </c>
      <c r="P2815" s="19" t="str">
        <f t="shared" si="88"/>
        <v/>
      </c>
    </row>
    <row r="2816" spans="1:16" x14ac:dyDescent="0.3">
      <c r="A2816" s="19" t="str">
        <f t="shared" si="87"/>
        <v/>
      </c>
      <c r="L2816" s="21" t="str">
        <f>IF(J2816&lt;&gt;"",VLOOKUP(J2816,HeadCount!A:I,5,0),"")</f>
        <v/>
      </c>
      <c r="P2816" s="19" t="str">
        <f t="shared" si="88"/>
        <v/>
      </c>
    </row>
    <row r="2817" spans="1:16" x14ac:dyDescent="0.3">
      <c r="A2817" s="19" t="str">
        <f t="shared" si="87"/>
        <v/>
      </c>
      <c r="L2817" s="21" t="str">
        <f>IF(J2817&lt;&gt;"",VLOOKUP(J2817,HeadCount!A:I,5,0),"")</f>
        <v/>
      </c>
      <c r="P2817" s="19" t="str">
        <f t="shared" si="88"/>
        <v/>
      </c>
    </row>
    <row r="2818" spans="1:16" x14ac:dyDescent="0.3">
      <c r="A2818" s="19" t="str">
        <f t="shared" ref="A2818:A2881" si="89">IF(C2818&lt;&gt;"",ROW(A2817),"")</f>
        <v/>
      </c>
      <c r="L2818" s="21" t="str">
        <f>IF(J2818&lt;&gt;"",VLOOKUP(J2818,HeadCount!A:I,5,0),"")</f>
        <v/>
      </c>
      <c r="P2818" s="19" t="str">
        <f t="shared" si="88"/>
        <v/>
      </c>
    </row>
    <row r="2819" spans="1:16" x14ac:dyDescent="0.3">
      <c r="A2819" s="19" t="str">
        <f t="shared" si="89"/>
        <v/>
      </c>
      <c r="L2819" s="21" t="str">
        <f>IF(J2819&lt;&gt;"",VLOOKUP(J2819,HeadCount!A:I,5,0),"")</f>
        <v/>
      </c>
      <c r="P2819" s="19" t="str">
        <f t="shared" ref="P2819:P2882" si="90">IF(N2819="","",(O2819-N2819)+1)</f>
        <v/>
      </c>
    </row>
    <row r="2820" spans="1:16" x14ac:dyDescent="0.3">
      <c r="A2820" s="19" t="str">
        <f t="shared" si="89"/>
        <v/>
      </c>
      <c r="L2820" s="21" t="str">
        <f>IF(J2820&lt;&gt;"",VLOOKUP(J2820,HeadCount!A:I,5,0),"")</f>
        <v/>
      </c>
      <c r="P2820" s="19" t="str">
        <f t="shared" si="90"/>
        <v/>
      </c>
    </row>
    <row r="2821" spans="1:16" x14ac:dyDescent="0.3">
      <c r="A2821" s="19" t="str">
        <f t="shared" si="89"/>
        <v/>
      </c>
      <c r="L2821" s="21" t="str">
        <f>IF(J2821&lt;&gt;"",VLOOKUP(J2821,HeadCount!A:I,5,0),"")</f>
        <v/>
      </c>
      <c r="P2821" s="19" t="str">
        <f t="shared" si="90"/>
        <v/>
      </c>
    </row>
    <row r="2822" spans="1:16" x14ac:dyDescent="0.3">
      <c r="A2822" s="19" t="str">
        <f t="shared" si="89"/>
        <v/>
      </c>
      <c r="L2822" s="21" t="str">
        <f>IF(J2822&lt;&gt;"",VLOOKUP(J2822,HeadCount!A:I,5,0),"")</f>
        <v/>
      </c>
      <c r="P2822" s="19" t="str">
        <f t="shared" si="90"/>
        <v/>
      </c>
    </row>
    <row r="2823" spans="1:16" x14ac:dyDescent="0.3">
      <c r="A2823" s="19" t="str">
        <f t="shared" si="89"/>
        <v/>
      </c>
      <c r="L2823" s="21" t="str">
        <f>IF(J2823&lt;&gt;"",VLOOKUP(J2823,HeadCount!A:I,5,0),"")</f>
        <v/>
      </c>
      <c r="P2823" s="19" t="str">
        <f t="shared" si="90"/>
        <v/>
      </c>
    </row>
    <row r="2824" spans="1:16" x14ac:dyDescent="0.3">
      <c r="A2824" s="19" t="str">
        <f t="shared" si="89"/>
        <v/>
      </c>
      <c r="L2824" s="21" t="str">
        <f>IF(J2824&lt;&gt;"",VLOOKUP(J2824,HeadCount!A:I,5,0),"")</f>
        <v/>
      </c>
      <c r="P2824" s="19" t="str">
        <f t="shared" si="90"/>
        <v/>
      </c>
    </row>
    <row r="2825" spans="1:16" x14ac:dyDescent="0.3">
      <c r="A2825" s="19" t="str">
        <f t="shared" si="89"/>
        <v/>
      </c>
      <c r="L2825" s="21" t="str">
        <f>IF(J2825&lt;&gt;"",VLOOKUP(J2825,HeadCount!A:I,5,0),"")</f>
        <v/>
      </c>
      <c r="P2825" s="19" t="str">
        <f t="shared" si="90"/>
        <v/>
      </c>
    </row>
    <row r="2826" spans="1:16" x14ac:dyDescent="0.3">
      <c r="A2826" s="19" t="str">
        <f t="shared" si="89"/>
        <v/>
      </c>
      <c r="L2826" s="21" t="str">
        <f>IF(J2826&lt;&gt;"",VLOOKUP(J2826,HeadCount!A:I,5,0),"")</f>
        <v/>
      </c>
      <c r="P2826" s="19" t="str">
        <f t="shared" si="90"/>
        <v/>
      </c>
    </row>
    <row r="2827" spans="1:16" x14ac:dyDescent="0.3">
      <c r="A2827" s="19" t="str">
        <f t="shared" si="89"/>
        <v/>
      </c>
      <c r="L2827" s="21" t="str">
        <f>IF(J2827&lt;&gt;"",VLOOKUP(J2827,HeadCount!A:I,5,0),"")</f>
        <v/>
      </c>
      <c r="P2827" s="19" t="str">
        <f t="shared" si="90"/>
        <v/>
      </c>
    </row>
    <row r="2828" spans="1:16" x14ac:dyDescent="0.3">
      <c r="A2828" s="19" t="str">
        <f t="shared" si="89"/>
        <v/>
      </c>
      <c r="L2828" s="21" t="str">
        <f>IF(J2828&lt;&gt;"",VLOOKUP(J2828,HeadCount!A:I,5,0),"")</f>
        <v/>
      </c>
      <c r="P2828" s="19" t="str">
        <f t="shared" si="90"/>
        <v/>
      </c>
    </row>
    <row r="2829" spans="1:16" x14ac:dyDescent="0.3">
      <c r="A2829" s="19" t="str">
        <f t="shared" si="89"/>
        <v/>
      </c>
      <c r="L2829" s="21" t="str">
        <f>IF(J2829&lt;&gt;"",VLOOKUP(J2829,HeadCount!A:I,5,0),"")</f>
        <v/>
      </c>
      <c r="P2829" s="19" t="str">
        <f t="shared" si="90"/>
        <v/>
      </c>
    </row>
    <row r="2830" spans="1:16" x14ac:dyDescent="0.3">
      <c r="A2830" s="19" t="str">
        <f t="shared" si="89"/>
        <v/>
      </c>
      <c r="L2830" s="21" t="str">
        <f>IF(J2830&lt;&gt;"",VLOOKUP(J2830,HeadCount!A:I,5,0),"")</f>
        <v/>
      </c>
      <c r="P2830" s="19" t="str">
        <f t="shared" si="90"/>
        <v/>
      </c>
    </row>
    <row r="2831" spans="1:16" x14ac:dyDescent="0.3">
      <c r="A2831" s="19" t="str">
        <f t="shared" si="89"/>
        <v/>
      </c>
      <c r="L2831" s="21" t="str">
        <f>IF(J2831&lt;&gt;"",VLOOKUP(J2831,HeadCount!A:I,5,0),"")</f>
        <v/>
      </c>
      <c r="P2831" s="19" t="str">
        <f t="shared" si="90"/>
        <v/>
      </c>
    </row>
    <row r="2832" spans="1:16" x14ac:dyDescent="0.3">
      <c r="A2832" s="19" t="str">
        <f t="shared" si="89"/>
        <v/>
      </c>
      <c r="L2832" s="21" t="str">
        <f>IF(J2832&lt;&gt;"",VLOOKUP(J2832,HeadCount!A:I,5,0),"")</f>
        <v/>
      </c>
      <c r="P2832" s="19" t="str">
        <f t="shared" si="90"/>
        <v/>
      </c>
    </row>
    <row r="2833" spans="1:16" x14ac:dyDescent="0.3">
      <c r="A2833" s="19" t="str">
        <f t="shared" si="89"/>
        <v/>
      </c>
      <c r="L2833" s="21" t="str">
        <f>IF(J2833&lt;&gt;"",VLOOKUP(J2833,HeadCount!A:I,5,0),"")</f>
        <v/>
      </c>
      <c r="P2833" s="19" t="str">
        <f t="shared" si="90"/>
        <v/>
      </c>
    </row>
    <row r="2834" spans="1:16" x14ac:dyDescent="0.3">
      <c r="A2834" s="19" t="str">
        <f t="shared" si="89"/>
        <v/>
      </c>
      <c r="L2834" s="21" t="str">
        <f>IF(J2834&lt;&gt;"",VLOOKUP(J2834,HeadCount!A:I,5,0),"")</f>
        <v/>
      </c>
      <c r="P2834" s="19" t="str">
        <f t="shared" si="90"/>
        <v/>
      </c>
    </row>
    <row r="2835" spans="1:16" x14ac:dyDescent="0.3">
      <c r="A2835" s="19" t="str">
        <f t="shared" si="89"/>
        <v/>
      </c>
      <c r="L2835" s="21" t="str">
        <f>IF(J2835&lt;&gt;"",VLOOKUP(J2835,HeadCount!A:I,5,0),"")</f>
        <v/>
      </c>
      <c r="P2835" s="19" t="str">
        <f t="shared" si="90"/>
        <v/>
      </c>
    </row>
    <row r="2836" spans="1:16" x14ac:dyDescent="0.3">
      <c r="A2836" s="19" t="str">
        <f t="shared" si="89"/>
        <v/>
      </c>
      <c r="L2836" s="21" t="str">
        <f>IF(J2836&lt;&gt;"",VLOOKUP(J2836,HeadCount!A:I,5,0),"")</f>
        <v/>
      </c>
      <c r="P2836" s="19" t="str">
        <f t="shared" si="90"/>
        <v/>
      </c>
    </row>
    <row r="2837" spans="1:16" x14ac:dyDescent="0.3">
      <c r="A2837" s="19" t="str">
        <f t="shared" si="89"/>
        <v/>
      </c>
      <c r="L2837" s="21" t="str">
        <f>IF(J2837&lt;&gt;"",VLOOKUP(J2837,HeadCount!A:I,5,0),"")</f>
        <v/>
      </c>
      <c r="P2837" s="19" t="str">
        <f t="shared" si="90"/>
        <v/>
      </c>
    </row>
    <row r="2838" spans="1:16" x14ac:dyDescent="0.3">
      <c r="A2838" s="19" t="str">
        <f t="shared" si="89"/>
        <v/>
      </c>
      <c r="L2838" s="21" t="str">
        <f>IF(J2838&lt;&gt;"",VLOOKUP(J2838,HeadCount!A:I,5,0),"")</f>
        <v/>
      </c>
      <c r="P2838" s="19" t="str">
        <f t="shared" si="90"/>
        <v/>
      </c>
    </row>
    <row r="2839" spans="1:16" x14ac:dyDescent="0.3">
      <c r="A2839" s="19" t="str">
        <f t="shared" si="89"/>
        <v/>
      </c>
      <c r="L2839" s="21" t="str">
        <f>IF(J2839&lt;&gt;"",VLOOKUP(J2839,HeadCount!A:I,5,0),"")</f>
        <v/>
      </c>
      <c r="P2839" s="19" t="str">
        <f t="shared" si="90"/>
        <v/>
      </c>
    </row>
    <row r="2840" spans="1:16" x14ac:dyDescent="0.3">
      <c r="A2840" s="19" t="str">
        <f t="shared" si="89"/>
        <v/>
      </c>
      <c r="L2840" s="21" t="str">
        <f>IF(J2840&lt;&gt;"",VLOOKUP(J2840,HeadCount!A:I,5,0),"")</f>
        <v/>
      </c>
      <c r="P2840" s="19" t="str">
        <f t="shared" si="90"/>
        <v/>
      </c>
    </row>
    <row r="2841" spans="1:16" x14ac:dyDescent="0.3">
      <c r="A2841" s="19" t="str">
        <f t="shared" si="89"/>
        <v/>
      </c>
      <c r="L2841" s="21" t="str">
        <f>IF(J2841&lt;&gt;"",VLOOKUP(J2841,HeadCount!A:I,5,0),"")</f>
        <v/>
      </c>
      <c r="P2841" s="19" t="str">
        <f t="shared" si="90"/>
        <v/>
      </c>
    </row>
    <row r="2842" spans="1:16" x14ac:dyDescent="0.3">
      <c r="A2842" s="19" t="str">
        <f t="shared" si="89"/>
        <v/>
      </c>
      <c r="L2842" s="21" t="str">
        <f>IF(J2842&lt;&gt;"",VLOOKUP(J2842,HeadCount!A:I,5,0),"")</f>
        <v/>
      </c>
      <c r="P2842" s="19" t="str">
        <f t="shared" si="90"/>
        <v/>
      </c>
    </row>
    <row r="2843" spans="1:16" x14ac:dyDescent="0.3">
      <c r="A2843" s="19" t="str">
        <f t="shared" si="89"/>
        <v/>
      </c>
      <c r="L2843" s="21" t="str">
        <f>IF(J2843&lt;&gt;"",VLOOKUP(J2843,HeadCount!A:I,5,0),"")</f>
        <v/>
      </c>
      <c r="P2843" s="19" t="str">
        <f t="shared" si="90"/>
        <v/>
      </c>
    </row>
    <row r="2844" spans="1:16" x14ac:dyDescent="0.3">
      <c r="A2844" s="19" t="str">
        <f t="shared" si="89"/>
        <v/>
      </c>
      <c r="L2844" s="21" t="str">
        <f>IF(J2844&lt;&gt;"",VLOOKUP(J2844,HeadCount!A:I,5,0),"")</f>
        <v/>
      </c>
      <c r="P2844" s="19" t="str">
        <f t="shared" si="90"/>
        <v/>
      </c>
    </row>
    <row r="2845" spans="1:16" x14ac:dyDescent="0.3">
      <c r="A2845" s="19" t="str">
        <f t="shared" si="89"/>
        <v/>
      </c>
      <c r="L2845" s="21" t="str">
        <f>IF(J2845&lt;&gt;"",VLOOKUP(J2845,HeadCount!A:I,5,0),"")</f>
        <v/>
      </c>
      <c r="P2845" s="19" t="str">
        <f t="shared" si="90"/>
        <v/>
      </c>
    </row>
    <row r="2846" spans="1:16" x14ac:dyDescent="0.3">
      <c r="A2846" s="19" t="str">
        <f t="shared" si="89"/>
        <v/>
      </c>
      <c r="L2846" s="21" t="str">
        <f>IF(J2846&lt;&gt;"",VLOOKUP(J2846,HeadCount!A:I,5,0),"")</f>
        <v/>
      </c>
      <c r="P2846" s="19" t="str">
        <f t="shared" si="90"/>
        <v/>
      </c>
    </row>
    <row r="2847" spans="1:16" x14ac:dyDescent="0.3">
      <c r="A2847" s="19" t="str">
        <f t="shared" si="89"/>
        <v/>
      </c>
      <c r="L2847" s="21" t="str">
        <f>IF(J2847&lt;&gt;"",VLOOKUP(J2847,HeadCount!A:I,5,0),"")</f>
        <v/>
      </c>
      <c r="P2847" s="19" t="str">
        <f t="shared" si="90"/>
        <v/>
      </c>
    </row>
    <row r="2848" spans="1:16" x14ac:dyDescent="0.3">
      <c r="A2848" s="19" t="str">
        <f t="shared" si="89"/>
        <v/>
      </c>
      <c r="L2848" s="21" t="str">
        <f>IF(J2848&lt;&gt;"",VLOOKUP(J2848,HeadCount!A:I,5,0),"")</f>
        <v/>
      </c>
      <c r="P2848" s="19" t="str">
        <f t="shared" si="90"/>
        <v/>
      </c>
    </row>
    <row r="2849" spans="1:16" x14ac:dyDescent="0.3">
      <c r="A2849" s="19" t="str">
        <f t="shared" si="89"/>
        <v/>
      </c>
      <c r="L2849" s="21" t="str">
        <f>IF(J2849&lt;&gt;"",VLOOKUP(J2849,HeadCount!A:I,5,0),"")</f>
        <v/>
      </c>
      <c r="P2849" s="19" t="str">
        <f t="shared" si="90"/>
        <v/>
      </c>
    </row>
    <row r="2850" spans="1:16" x14ac:dyDescent="0.3">
      <c r="A2850" s="19" t="str">
        <f t="shared" si="89"/>
        <v/>
      </c>
      <c r="L2850" s="21" t="str">
        <f>IF(J2850&lt;&gt;"",VLOOKUP(J2850,HeadCount!A:I,5,0),"")</f>
        <v/>
      </c>
      <c r="P2850" s="19" t="str">
        <f t="shared" si="90"/>
        <v/>
      </c>
    </row>
    <row r="2851" spans="1:16" x14ac:dyDescent="0.3">
      <c r="A2851" s="19" t="str">
        <f t="shared" si="89"/>
        <v/>
      </c>
      <c r="L2851" s="21" t="str">
        <f>IF(J2851&lt;&gt;"",VLOOKUP(J2851,HeadCount!A:I,5,0),"")</f>
        <v/>
      </c>
      <c r="P2851" s="19" t="str">
        <f t="shared" si="90"/>
        <v/>
      </c>
    </row>
    <row r="2852" spans="1:16" x14ac:dyDescent="0.3">
      <c r="A2852" s="19" t="str">
        <f t="shared" si="89"/>
        <v/>
      </c>
      <c r="L2852" s="21" t="str">
        <f>IF(J2852&lt;&gt;"",VLOOKUP(J2852,HeadCount!A:I,5,0),"")</f>
        <v/>
      </c>
      <c r="P2852" s="19" t="str">
        <f t="shared" si="90"/>
        <v/>
      </c>
    </row>
    <row r="2853" spans="1:16" x14ac:dyDescent="0.3">
      <c r="A2853" s="19" t="str">
        <f t="shared" si="89"/>
        <v/>
      </c>
      <c r="L2853" s="21" t="str">
        <f>IF(J2853&lt;&gt;"",VLOOKUP(J2853,HeadCount!A:I,5,0),"")</f>
        <v/>
      </c>
      <c r="P2853" s="19" t="str">
        <f t="shared" si="90"/>
        <v/>
      </c>
    </row>
    <row r="2854" spans="1:16" x14ac:dyDescent="0.3">
      <c r="A2854" s="19" t="str">
        <f t="shared" si="89"/>
        <v/>
      </c>
      <c r="L2854" s="21" t="str">
        <f>IF(J2854&lt;&gt;"",VLOOKUP(J2854,HeadCount!A:I,5,0),"")</f>
        <v/>
      </c>
      <c r="P2854" s="19" t="str">
        <f t="shared" si="90"/>
        <v/>
      </c>
    </row>
    <row r="2855" spans="1:16" x14ac:dyDescent="0.3">
      <c r="A2855" s="19" t="str">
        <f t="shared" si="89"/>
        <v/>
      </c>
      <c r="L2855" s="21" t="str">
        <f>IF(J2855&lt;&gt;"",VLOOKUP(J2855,HeadCount!A:I,5,0),"")</f>
        <v/>
      </c>
      <c r="P2855" s="19" t="str">
        <f t="shared" si="90"/>
        <v/>
      </c>
    </row>
    <row r="2856" spans="1:16" x14ac:dyDescent="0.3">
      <c r="A2856" s="19" t="str">
        <f t="shared" si="89"/>
        <v/>
      </c>
      <c r="L2856" s="21" t="str">
        <f>IF(J2856&lt;&gt;"",VLOOKUP(J2856,HeadCount!A:I,5,0),"")</f>
        <v/>
      </c>
      <c r="P2856" s="19" t="str">
        <f t="shared" si="90"/>
        <v/>
      </c>
    </row>
    <row r="2857" spans="1:16" x14ac:dyDescent="0.3">
      <c r="A2857" s="19" t="str">
        <f t="shared" si="89"/>
        <v/>
      </c>
      <c r="L2857" s="21" t="str">
        <f>IF(J2857&lt;&gt;"",VLOOKUP(J2857,HeadCount!A:I,5,0),"")</f>
        <v/>
      </c>
      <c r="P2857" s="19" t="str">
        <f t="shared" si="90"/>
        <v/>
      </c>
    </row>
    <row r="2858" spans="1:16" x14ac:dyDescent="0.3">
      <c r="A2858" s="19" t="str">
        <f t="shared" si="89"/>
        <v/>
      </c>
      <c r="L2858" s="21" t="str">
        <f>IF(J2858&lt;&gt;"",VLOOKUP(J2858,HeadCount!A:I,5,0),"")</f>
        <v/>
      </c>
      <c r="P2858" s="19" t="str">
        <f t="shared" si="90"/>
        <v/>
      </c>
    </row>
    <row r="2859" spans="1:16" x14ac:dyDescent="0.3">
      <c r="A2859" s="19" t="str">
        <f t="shared" si="89"/>
        <v/>
      </c>
      <c r="L2859" s="21" t="str">
        <f>IF(J2859&lt;&gt;"",VLOOKUP(J2859,HeadCount!A:I,5,0),"")</f>
        <v/>
      </c>
      <c r="P2859" s="19" t="str">
        <f t="shared" si="90"/>
        <v/>
      </c>
    </row>
    <row r="2860" spans="1:16" x14ac:dyDescent="0.3">
      <c r="A2860" s="19" t="str">
        <f t="shared" si="89"/>
        <v/>
      </c>
      <c r="L2860" s="21" t="str">
        <f>IF(J2860&lt;&gt;"",VLOOKUP(J2860,HeadCount!A:I,5,0),"")</f>
        <v/>
      </c>
      <c r="P2860" s="19" t="str">
        <f t="shared" si="90"/>
        <v/>
      </c>
    </row>
    <row r="2861" spans="1:16" x14ac:dyDescent="0.3">
      <c r="A2861" s="19" t="str">
        <f t="shared" si="89"/>
        <v/>
      </c>
      <c r="L2861" s="21" t="str">
        <f>IF(J2861&lt;&gt;"",VLOOKUP(J2861,HeadCount!A:I,5,0),"")</f>
        <v/>
      </c>
      <c r="P2861" s="19" t="str">
        <f t="shared" si="90"/>
        <v/>
      </c>
    </row>
    <row r="2862" spans="1:16" x14ac:dyDescent="0.3">
      <c r="A2862" s="19" t="str">
        <f t="shared" si="89"/>
        <v/>
      </c>
      <c r="L2862" s="21" t="str">
        <f>IF(J2862&lt;&gt;"",VLOOKUP(J2862,HeadCount!A:I,5,0),"")</f>
        <v/>
      </c>
      <c r="P2862" s="19" t="str">
        <f t="shared" si="90"/>
        <v/>
      </c>
    </row>
    <row r="2863" spans="1:16" x14ac:dyDescent="0.3">
      <c r="A2863" s="19" t="str">
        <f t="shared" si="89"/>
        <v/>
      </c>
      <c r="L2863" s="21" t="str">
        <f>IF(J2863&lt;&gt;"",VLOOKUP(J2863,HeadCount!A:I,5,0),"")</f>
        <v/>
      </c>
      <c r="P2863" s="19" t="str">
        <f t="shared" si="90"/>
        <v/>
      </c>
    </row>
    <row r="2864" spans="1:16" x14ac:dyDescent="0.3">
      <c r="A2864" s="19" t="str">
        <f t="shared" si="89"/>
        <v/>
      </c>
      <c r="L2864" s="21" t="str">
        <f>IF(J2864&lt;&gt;"",VLOOKUP(J2864,HeadCount!A:I,5,0),"")</f>
        <v/>
      </c>
      <c r="P2864" s="19" t="str">
        <f t="shared" si="90"/>
        <v/>
      </c>
    </row>
    <row r="2865" spans="1:16" x14ac:dyDescent="0.3">
      <c r="A2865" s="19" t="str">
        <f t="shared" si="89"/>
        <v/>
      </c>
      <c r="L2865" s="21" t="str">
        <f>IF(J2865&lt;&gt;"",VLOOKUP(J2865,HeadCount!A:I,5,0),"")</f>
        <v/>
      </c>
      <c r="P2865" s="19" t="str">
        <f t="shared" si="90"/>
        <v/>
      </c>
    </row>
    <row r="2866" spans="1:16" x14ac:dyDescent="0.3">
      <c r="A2866" s="19" t="str">
        <f t="shared" si="89"/>
        <v/>
      </c>
      <c r="L2866" s="21" t="str">
        <f>IF(J2866&lt;&gt;"",VLOOKUP(J2866,HeadCount!A:I,5,0),"")</f>
        <v/>
      </c>
      <c r="P2866" s="19" t="str">
        <f t="shared" si="90"/>
        <v/>
      </c>
    </row>
    <row r="2867" spans="1:16" x14ac:dyDescent="0.3">
      <c r="A2867" s="19" t="str">
        <f t="shared" si="89"/>
        <v/>
      </c>
      <c r="L2867" s="21" t="str">
        <f>IF(J2867&lt;&gt;"",VLOOKUP(J2867,HeadCount!A:I,5,0),"")</f>
        <v/>
      </c>
      <c r="P2867" s="19" t="str">
        <f t="shared" si="90"/>
        <v/>
      </c>
    </row>
    <row r="2868" spans="1:16" x14ac:dyDescent="0.3">
      <c r="A2868" s="19" t="str">
        <f t="shared" si="89"/>
        <v/>
      </c>
      <c r="L2868" s="21" t="str">
        <f>IF(J2868&lt;&gt;"",VLOOKUP(J2868,HeadCount!A:I,5,0),"")</f>
        <v/>
      </c>
      <c r="P2868" s="19" t="str">
        <f t="shared" si="90"/>
        <v/>
      </c>
    </row>
    <row r="2869" spans="1:16" x14ac:dyDescent="0.3">
      <c r="A2869" s="19" t="str">
        <f t="shared" si="89"/>
        <v/>
      </c>
      <c r="L2869" s="21" t="str">
        <f>IF(J2869&lt;&gt;"",VLOOKUP(J2869,HeadCount!A:I,5,0),"")</f>
        <v/>
      </c>
      <c r="P2869" s="19" t="str">
        <f t="shared" si="90"/>
        <v/>
      </c>
    </row>
    <row r="2870" spans="1:16" x14ac:dyDescent="0.3">
      <c r="A2870" s="19" t="str">
        <f t="shared" si="89"/>
        <v/>
      </c>
      <c r="L2870" s="21" t="str">
        <f>IF(J2870&lt;&gt;"",VLOOKUP(J2870,HeadCount!A:I,5,0),"")</f>
        <v/>
      </c>
      <c r="P2870" s="19" t="str">
        <f t="shared" si="90"/>
        <v/>
      </c>
    </row>
    <row r="2871" spans="1:16" x14ac:dyDescent="0.3">
      <c r="A2871" s="19" t="str">
        <f t="shared" si="89"/>
        <v/>
      </c>
      <c r="L2871" s="21" t="str">
        <f>IF(J2871&lt;&gt;"",VLOOKUP(J2871,HeadCount!A:I,5,0),"")</f>
        <v/>
      </c>
      <c r="P2871" s="19" t="str">
        <f t="shared" si="90"/>
        <v/>
      </c>
    </row>
    <row r="2872" spans="1:16" x14ac:dyDescent="0.3">
      <c r="A2872" s="19" t="str">
        <f t="shared" si="89"/>
        <v/>
      </c>
      <c r="L2872" s="21" t="str">
        <f>IF(J2872&lt;&gt;"",VLOOKUP(J2872,HeadCount!A:I,5,0),"")</f>
        <v/>
      </c>
      <c r="P2872" s="19" t="str">
        <f t="shared" si="90"/>
        <v/>
      </c>
    </row>
    <row r="2873" spans="1:16" x14ac:dyDescent="0.3">
      <c r="A2873" s="19" t="str">
        <f t="shared" si="89"/>
        <v/>
      </c>
      <c r="L2873" s="21" t="str">
        <f>IF(J2873&lt;&gt;"",VLOOKUP(J2873,HeadCount!A:I,5,0),"")</f>
        <v/>
      </c>
      <c r="P2873" s="19" t="str">
        <f t="shared" si="90"/>
        <v/>
      </c>
    </row>
    <row r="2874" spans="1:16" x14ac:dyDescent="0.3">
      <c r="A2874" s="19" t="str">
        <f t="shared" si="89"/>
        <v/>
      </c>
      <c r="L2874" s="21" t="str">
        <f>IF(J2874&lt;&gt;"",VLOOKUP(J2874,HeadCount!A:I,5,0),"")</f>
        <v/>
      </c>
      <c r="P2874" s="19" t="str">
        <f t="shared" si="90"/>
        <v/>
      </c>
    </row>
    <row r="2875" spans="1:16" x14ac:dyDescent="0.3">
      <c r="A2875" s="19" t="str">
        <f t="shared" si="89"/>
        <v/>
      </c>
      <c r="L2875" s="21" t="str">
        <f>IF(J2875&lt;&gt;"",VLOOKUP(J2875,HeadCount!A:I,5,0),"")</f>
        <v/>
      </c>
      <c r="P2875" s="19" t="str">
        <f t="shared" si="90"/>
        <v/>
      </c>
    </row>
    <row r="2876" spans="1:16" x14ac:dyDescent="0.3">
      <c r="A2876" s="19" t="str">
        <f t="shared" si="89"/>
        <v/>
      </c>
      <c r="L2876" s="21" t="str">
        <f>IF(J2876&lt;&gt;"",VLOOKUP(J2876,HeadCount!A:I,5,0),"")</f>
        <v/>
      </c>
      <c r="P2876" s="19" t="str">
        <f t="shared" si="90"/>
        <v/>
      </c>
    </row>
    <row r="2877" spans="1:16" x14ac:dyDescent="0.3">
      <c r="A2877" s="19" t="str">
        <f t="shared" si="89"/>
        <v/>
      </c>
      <c r="L2877" s="21" t="str">
        <f>IF(J2877&lt;&gt;"",VLOOKUP(J2877,HeadCount!A:I,5,0),"")</f>
        <v/>
      </c>
      <c r="P2877" s="19" t="str">
        <f t="shared" si="90"/>
        <v/>
      </c>
    </row>
    <row r="2878" spans="1:16" x14ac:dyDescent="0.3">
      <c r="A2878" s="19" t="str">
        <f t="shared" si="89"/>
        <v/>
      </c>
      <c r="L2878" s="21" t="str">
        <f>IF(J2878&lt;&gt;"",VLOOKUP(J2878,HeadCount!A:I,5,0),"")</f>
        <v/>
      </c>
      <c r="P2878" s="19" t="str">
        <f t="shared" si="90"/>
        <v/>
      </c>
    </row>
    <row r="2879" spans="1:16" x14ac:dyDescent="0.3">
      <c r="A2879" s="19" t="str">
        <f t="shared" si="89"/>
        <v/>
      </c>
      <c r="L2879" s="21" t="str">
        <f>IF(J2879&lt;&gt;"",VLOOKUP(J2879,HeadCount!A:I,5,0),"")</f>
        <v/>
      </c>
      <c r="P2879" s="19" t="str">
        <f t="shared" si="90"/>
        <v/>
      </c>
    </row>
    <row r="2880" spans="1:16" x14ac:dyDescent="0.3">
      <c r="A2880" s="19" t="str">
        <f t="shared" si="89"/>
        <v/>
      </c>
      <c r="L2880" s="21" t="str">
        <f>IF(J2880&lt;&gt;"",VLOOKUP(J2880,HeadCount!A:I,5,0),"")</f>
        <v/>
      </c>
      <c r="P2880" s="19" t="str">
        <f t="shared" si="90"/>
        <v/>
      </c>
    </row>
    <row r="2881" spans="1:16" x14ac:dyDescent="0.3">
      <c r="A2881" s="19" t="str">
        <f t="shared" si="89"/>
        <v/>
      </c>
      <c r="L2881" s="21" t="str">
        <f>IF(J2881&lt;&gt;"",VLOOKUP(J2881,HeadCount!A:I,5,0),"")</f>
        <v/>
      </c>
      <c r="P2881" s="19" t="str">
        <f t="shared" si="90"/>
        <v/>
      </c>
    </row>
    <row r="2882" spans="1:16" x14ac:dyDescent="0.3">
      <c r="A2882" s="19" t="str">
        <f t="shared" ref="A2882:A2945" si="91">IF(C2882&lt;&gt;"",ROW(A2881),"")</f>
        <v/>
      </c>
      <c r="L2882" s="21" t="str">
        <f>IF(J2882&lt;&gt;"",VLOOKUP(J2882,HeadCount!A:I,5,0),"")</f>
        <v/>
      </c>
      <c r="P2882" s="19" t="str">
        <f t="shared" si="90"/>
        <v/>
      </c>
    </row>
    <row r="2883" spans="1:16" x14ac:dyDescent="0.3">
      <c r="A2883" s="19" t="str">
        <f t="shared" si="91"/>
        <v/>
      </c>
      <c r="L2883" s="21" t="str">
        <f>IF(J2883&lt;&gt;"",VLOOKUP(J2883,HeadCount!A:I,5,0),"")</f>
        <v/>
      </c>
      <c r="P2883" s="19" t="str">
        <f t="shared" ref="P2883:P2946" si="92">IF(N2883="","",(O2883-N2883)+1)</f>
        <v/>
      </c>
    </row>
    <row r="2884" spans="1:16" x14ac:dyDescent="0.3">
      <c r="A2884" s="19" t="str">
        <f t="shared" si="91"/>
        <v/>
      </c>
      <c r="L2884" s="21" t="str">
        <f>IF(J2884&lt;&gt;"",VLOOKUP(J2884,HeadCount!A:I,5,0),"")</f>
        <v/>
      </c>
      <c r="P2884" s="19" t="str">
        <f t="shared" si="92"/>
        <v/>
      </c>
    </row>
    <row r="2885" spans="1:16" x14ac:dyDescent="0.3">
      <c r="A2885" s="19" t="str">
        <f t="shared" si="91"/>
        <v/>
      </c>
      <c r="L2885" s="21" t="str">
        <f>IF(J2885&lt;&gt;"",VLOOKUP(J2885,HeadCount!A:I,5,0),"")</f>
        <v/>
      </c>
      <c r="P2885" s="19" t="str">
        <f t="shared" si="92"/>
        <v/>
      </c>
    </row>
    <row r="2886" spans="1:16" x14ac:dyDescent="0.3">
      <c r="A2886" s="19" t="str">
        <f t="shared" si="91"/>
        <v/>
      </c>
      <c r="L2886" s="21" t="str">
        <f>IF(J2886&lt;&gt;"",VLOOKUP(J2886,HeadCount!A:I,5,0),"")</f>
        <v/>
      </c>
      <c r="P2886" s="19" t="str">
        <f t="shared" si="92"/>
        <v/>
      </c>
    </row>
    <row r="2887" spans="1:16" x14ac:dyDescent="0.3">
      <c r="A2887" s="19" t="str">
        <f t="shared" si="91"/>
        <v/>
      </c>
      <c r="L2887" s="21" t="str">
        <f>IF(J2887&lt;&gt;"",VLOOKUP(J2887,HeadCount!A:I,5,0),"")</f>
        <v/>
      </c>
      <c r="P2887" s="19" t="str">
        <f t="shared" si="92"/>
        <v/>
      </c>
    </row>
    <row r="2888" spans="1:16" x14ac:dyDescent="0.3">
      <c r="A2888" s="19" t="str">
        <f t="shared" si="91"/>
        <v/>
      </c>
      <c r="L2888" s="21" t="str">
        <f>IF(J2888&lt;&gt;"",VLOOKUP(J2888,HeadCount!A:I,5,0),"")</f>
        <v/>
      </c>
      <c r="P2888" s="19" t="str">
        <f t="shared" si="92"/>
        <v/>
      </c>
    </row>
    <row r="2889" spans="1:16" x14ac:dyDescent="0.3">
      <c r="A2889" s="19" t="str">
        <f t="shared" si="91"/>
        <v/>
      </c>
      <c r="L2889" s="21" t="str">
        <f>IF(J2889&lt;&gt;"",VLOOKUP(J2889,HeadCount!A:I,5,0),"")</f>
        <v/>
      </c>
      <c r="P2889" s="19" t="str">
        <f t="shared" si="92"/>
        <v/>
      </c>
    </row>
    <row r="2890" spans="1:16" x14ac:dyDescent="0.3">
      <c r="A2890" s="19" t="str">
        <f t="shared" si="91"/>
        <v/>
      </c>
      <c r="L2890" s="21" t="str">
        <f>IF(J2890&lt;&gt;"",VLOOKUP(J2890,HeadCount!A:I,5,0),"")</f>
        <v/>
      </c>
      <c r="P2890" s="19" t="str">
        <f t="shared" si="92"/>
        <v/>
      </c>
    </row>
    <row r="2891" spans="1:16" x14ac:dyDescent="0.3">
      <c r="A2891" s="19" t="str">
        <f t="shared" si="91"/>
        <v/>
      </c>
      <c r="L2891" s="21" t="str">
        <f>IF(J2891&lt;&gt;"",VLOOKUP(J2891,HeadCount!A:I,5,0),"")</f>
        <v/>
      </c>
      <c r="P2891" s="19" t="str">
        <f t="shared" si="92"/>
        <v/>
      </c>
    </row>
    <row r="2892" spans="1:16" x14ac:dyDescent="0.3">
      <c r="A2892" s="19" t="str">
        <f t="shared" si="91"/>
        <v/>
      </c>
      <c r="L2892" s="21" t="str">
        <f>IF(J2892&lt;&gt;"",VLOOKUP(J2892,HeadCount!A:I,5,0),"")</f>
        <v/>
      </c>
      <c r="P2892" s="19" t="str">
        <f t="shared" si="92"/>
        <v/>
      </c>
    </row>
    <row r="2893" spans="1:16" x14ac:dyDescent="0.3">
      <c r="A2893" s="19" t="str">
        <f t="shared" si="91"/>
        <v/>
      </c>
      <c r="L2893" s="21" t="str">
        <f>IF(J2893&lt;&gt;"",VLOOKUP(J2893,HeadCount!A:I,5,0),"")</f>
        <v/>
      </c>
      <c r="P2893" s="19" t="str">
        <f t="shared" si="92"/>
        <v/>
      </c>
    </row>
    <row r="2894" spans="1:16" x14ac:dyDescent="0.3">
      <c r="A2894" s="19" t="str">
        <f t="shared" si="91"/>
        <v/>
      </c>
      <c r="L2894" s="21" t="str">
        <f>IF(J2894&lt;&gt;"",VLOOKUP(J2894,HeadCount!A:I,5,0),"")</f>
        <v/>
      </c>
      <c r="P2894" s="19" t="str">
        <f t="shared" si="92"/>
        <v/>
      </c>
    </row>
    <row r="2895" spans="1:16" x14ac:dyDescent="0.3">
      <c r="A2895" s="19" t="str">
        <f t="shared" si="91"/>
        <v/>
      </c>
      <c r="L2895" s="21" t="str">
        <f>IF(J2895&lt;&gt;"",VLOOKUP(J2895,HeadCount!A:I,5,0),"")</f>
        <v/>
      </c>
      <c r="P2895" s="19" t="str">
        <f t="shared" si="92"/>
        <v/>
      </c>
    </row>
    <row r="2896" spans="1:16" x14ac:dyDescent="0.3">
      <c r="A2896" s="19" t="str">
        <f t="shared" si="91"/>
        <v/>
      </c>
      <c r="L2896" s="21" t="str">
        <f>IF(J2896&lt;&gt;"",VLOOKUP(J2896,HeadCount!A:I,5,0),"")</f>
        <v/>
      </c>
      <c r="P2896" s="19" t="str">
        <f t="shared" si="92"/>
        <v/>
      </c>
    </row>
    <row r="2897" spans="1:16" x14ac:dyDescent="0.3">
      <c r="A2897" s="19" t="str">
        <f t="shared" si="91"/>
        <v/>
      </c>
      <c r="L2897" s="21" t="str">
        <f>IF(J2897&lt;&gt;"",VLOOKUP(J2897,HeadCount!A:I,5,0),"")</f>
        <v/>
      </c>
      <c r="P2897" s="19" t="str">
        <f t="shared" si="92"/>
        <v/>
      </c>
    </row>
    <row r="2898" spans="1:16" x14ac:dyDescent="0.3">
      <c r="A2898" s="19" t="str">
        <f t="shared" si="91"/>
        <v/>
      </c>
      <c r="L2898" s="21" t="str">
        <f>IF(J2898&lt;&gt;"",VLOOKUP(J2898,HeadCount!A:I,5,0),"")</f>
        <v/>
      </c>
      <c r="P2898" s="19" t="str">
        <f t="shared" si="92"/>
        <v/>
      </c>
    </row>
    <row r="2899" spans="1:16" x14ac:dyDescent="0.3">
      <c r="A2899" s="19" t="str">
        <f t="shared" si="91"/>
        <v/>
      </c>
      <c r="L2899" s="21" t="str">
        <f>IF(J2899&lt;&gt;"",VLOOKUP(J2899,HeadCount!A:I,5,0),"")</f>
        <v/>
      </c>
      <c r="P2899" s="19" t="str">
        <f t="shared" si="92"/>
        <v/>
      </c>
    </row>
    <row r="2900" spans="1:16" x14ac:dyDescent="0.3">
      <c r="A2900" s="19" t="str">
        <f t="shared" si="91"/>
        <v/>
      </c>
      <c r="L2900" s="21" t="str">
        <f>IF(J2900&lt;&gt;"",VLOOKUP(J2900,HeadCount!A:I,5,0),"")</f>
        <v/>
      </c>
      <c r="P2900" s="19" t="str">
        <f t="shared" si="92"/>
        <v/>
      </c>
    </row>
    <row r="2901" spans="1:16" x14ac:dyDescent="0.3">
      <c r="A2901" s="19" t="str">
        <f t="shared" si="91"/>
        <v/>
      </c>
      <c r="L2901" s="21" t="str">
        <f>IF(J2901&lt;&gt;"",VLOOKUP(J2901,HeadCount!A:I,5,0),"")</f>
        <v/>
      </c>
      <c r="P2901" s="19" t="str">
        <f t="shared" si="92"/>
        <v/>
      </c>
    </row>
    <row r="2902" spans="1:16" x14ac:dyDescent="0.3">
      <c r="A2902" s="19" t="str">
        <f t="shared" si="91"/>
        <v/>
      </c>
      <c r="L2902" s="21" t="str">
        <f>IF(J2902&lt;&gt;"",VLOOKUP(J2902,HeadCount!A:I,5,0),"")</f>
        <v/>
      </c>
      <c r="P2902" s="19" t="str">
        <f t="shared" si="92"/>
        <v/>
      </c>
    </row>
    <row r="2903" spans="1:16" x14ac:dyDescent="0.3">
      <c r="A2903" s="19" t="str">
        <f t="shared" si="91"/>
        <v/>
      </c>
      <c r="L2903" s="21" t="str">
        <f>IF(J2903&lt;&gt;"",VLOOKUP(J2903,HeadCount!A:I,5,0),"")</f>
        <v/>
      </c>
      <c r="P2903" s="19" t="str">
        <f t="shared" si="92"/>
        <v/>
      </c>
    </row>
    <row r="2904" spans="1:16" x14ac:dyDescent="0.3">
      <c r="A2904" s="19" t="str">
        <f t="shared" si="91"/>
        <v/>
      </c>
      <c r="L2904" s="21" t="str">
        <f>IF(J2904&lt;&gt;"",VLOOKUP(J2904,HeadCount!A:I,5,0),"")</f>
        <v/>
      </c>
      <c r="P2904" s="19" t="str">
        <f t="shared" si="92"/>
        <v/>
      </c>
    </row>
    <row r="2905" spans="1:16" x14ac:dyDescent="0.3">
      <c r="A2905" s="19" t="str">
        <f t="shared" si="91"/>
        <v/>
      </c>
      <c r="L2905" s="21" t="str">
        <f>IF(J2905&lt;&gt;"",VLOOKUP(J2905,HeadCount!A:I,5,0),"")</f>
        <v/>
      </c>
      <c r="P2905" s="19" t="str">
        <f t="shared" si="92"/>
        <v/>
      </c>
    </row>
    <row r="2906" spans="1:16" x14ac:dyDescent="0.3">
      <c r="A2906" s="19" t="str">
        <f t="shared" si="91"/>
        <v/>
      </c>
      <c r="L2906" s="21" t="str">
        <f>IF(J2906&lt;&gt;"",VLOOKUP(J2906,HeadCount!A:I,5,0),"")</f>
        <v/>
      </c>
      <c r="P2906" s="19" t="str">
        <f t="shared" si="92"/>
        <v/>
      </c>
    </row>
    <row r="2907" spans="1:16" x14ac:dyDescent="0.3">
      <c r="A2907" s="19" t="str">
        <f t="shared" si="91"/>
        <v/>
      </c>
      <c r="L2907" s="21" t="str">
        <f>IF(J2907&lt;&gt;"",VLOOKUP(J2907,HeadCount!A:I,5,0),"")</f>
        <v/>
      </c>
      <c r="P2907" s="19" t="str">
        <f t="shared" si="92"/>
        <v/>
      </c>
    </row>
    <row r="2908" spans="1:16" x14ac:dyDescent="0.3">
      <c r="A2908" s="19" t="str">
        <f t="shared" si="91"/>
        <v/>
      </c>
      <c r="L2908" s="21" t="str">
        <f>IF(J2908&lt;&gt;"",VLOOKUP(J2908,HeadCount!A:I,5,0),"")</f>
        <v/>
      </c>
      <c r="P2908" s="19" t="str">
        <f t="shared" si="92"/>
        <v/>
      </c>
    </row>
    <row r="2909" spans="1:16" x14ac:dyDescent="0.3">
      <c r="A2909" s="19" t="str">
        <f t="shared" si="91"/>
        <v/>
      </c>
      <c r="L2909" s="21" t="str">
        <f>IF(J2909&lt;&gt;"",VLOOKUP(J2909,HeadCount!A:I,5,0),"")</f>
        <v/>
      </c>
      <c r="P2909" s="19" t="str">
        <f t="shared" si="92"/>
        <v/>
      </c>
    </row>
    <row r="2910" spans="1:16" x14ac:dyDescent="0.3">
      <c r="A2910" s="19" t="str">
        <f t="shared" si="91"/>
        <v/>
      </c>
      <c r="L2910" s="21" t="str">
        <f>IF(J2910&lt;&gt;"",VLOOKUP(J2910,HeadCount!A:I,5,0),"")</f>
        <v/>
      </c>
      <c r="P2910" s="19" t="str">
        <f t="shared" si="92"/>
        <v/>
      </c>
    </row>
    <row r="2911" spans="1:16" x14ac:dyDescent="0.3">
      <c r="A2911" s="19" t="str">
        <f t="shared" si="91"/>
        <v/>
      </c>
      <c r="L2911" s="21" t="str">
        <f>IF(J2911&lt;&gt;"",VLOOKUP(J2911,HeadCount!A:I,5,0),"")</f>
        <v/>
      </c>
      <c r="P2911" s="19" t="str">
        <f t="shared" si="92"/>
        <v/>
      </c>
    </row>
    <row r="2912" spans="1:16" x14ac:dyDescent="0.3">
      <c r="A2912" s="19" t="str">
        <f t="shared" si="91"/>
        <v/>
      </c>
      <c r="L2912" s="21" t="str">
        <f>IF(J2912&lt;&gt;"",VLOOKUP(J2912,HeadCount!A:I,5,0),"")</f>
        <v/>
      </c>
      <c r="P2912" s="19" t="str">
        <f t="shared" si="92"/>
        <v/>
      </c>
    </row>
    <row r="2913" spans="1:16" x14ac:dyDescent="0.3">
      <c r="A2913" s="19" t="str">
        <f t="shared" si="91"/>
        <v/>
      </c>
      <c r="L2913" s="21" t="str">
        <f>IF(J2913&lt;&gt;"",VLOOKUP(J2913,HeadCount!A:I,5,0),"")</f>
        <v/>
      </c>
      <c r="P2913" s="19" t="str">
        <f t="shared" si="92"/>
        <v/>
      </c>
    </row>
    <row r="2914" spans="1:16" x14ac:dyDescent="0.3">
      <c r="A2914" s="19" t="str">
        <f t="shared" si="91"/>
        <v/>
      </c>
      <c r="L2914" s="21" t="str">
        <f>IF(J2914&lt;&gt;"",VLOOKUP(J2914,HeadCount!A:I,5,0),"")</f>
        <v/>
      </c>
      <c r="P2914" s="19" t="str">
        <f t="shared" si="92"/>
        <v/>
      </c>
    </row>
    <row r="2915" spans="1:16" x14ac:dyDescent="0.3">
      <c r="A2915" s="19" t="str">
        <f t="shared" si="91"/>
        <v/>
      </c>
      <c r="L2915" s="21" t="str">
        <f>IF(J2915&lt;&gt;"",VLOOKUP(J2915,HeadCount!A:I,5,0),"")</f>
        <v/>
      </c>
      <c r="P2915" s="19" t="str">
        <f t="shared" si="92"/>
        <v/>
      </c>
    </row>
    <row r="2916" spans="1:16" x14ac:dyDescent="0.3">
      <c r="A2916" s="19" t="str">
        <f t="shared" si="91"/>
        <v/>
      </c>
      <c r="L2916" s="21" t="str">
        <f>IF(J2916&lt;&gt;"",VLOOKUP(J2916,HeadCount!A:I,5,0),"")</f>
        <v/>
      </c>
      <c r="P2916" s="19" t="str">
        <f t="shared" si="92"/>
        <v/>
      </c>
    </row>
    <row r="2917" spans="1:16" x14ac:dyDescent="0.3">
      <c r="A2917" s="19" t="str">
        <f t="shared" si="91"/>
        <v/>
      </c>
      <c r="L2917" s="21" t="str">
        <f>IF(J2917&lt;&gt;"",VLOOKUP(J2917,HeadCount!A:I,5,0),"")</f>
        <v/>
      </c>
      <c r="P2917" s="19" t="str">
        <f t="shared" si="92"/>
        <v/>
      </c>
    </row>
    <row r="2918" spans="1:16" x14ac:dyDescent="0.3">
      <c r="A2918" s="19" t="str">
        <f t="shared" si="91"/>
        <v/>
      </c>
      <c r="L2918" s="21" t="str">
        <f>IF(J2918&lt;&gt;"",VLOOKUP(J2918,HeadCount!A:I,5,0),"")</f>
        <v/>
      </c>
      <c r="P2918" s="19" t="str">
        <f t="shared" si="92"/>
        <v/>
      </c>
    </row>
    <row r="2919" spans="1:16" x14ac:dyDescent="0.3">
      <c r="A2919" s="19" t="str">
        <f t="shared" si="91"/>
        <v/>
      </c>
      <c r="L2919" s="21" t="str">
        <f>IF(J2919&lt;&gt;"",VLOOKUP(J2919,HeadCount!A:I,5,0),"")</f>
        <v/>
      </c>
      <c r="P2919" s="19" t="str">
        <f t="shared" si="92"/>
        <v/>
      </c>
    </row>
    <row r="2920" spans="1:16" x14ac:dyDescent="0.3">
      <c r="A2920" s="19" t="str">
        <f t="shared" si="91"/>
        <v/>
      </c>
      <c r="L2920" s="21" t="str">
        <f>IF(J2920&lt;&gt;"",VLOOKUP(J2920,HeadCount!A:I,5,0),"")</f>
        <v/>
      </c>
      <c r="P2920" s="19" t="str">
        <f t="shared" si="92"/>
        <v/>
      </c>
    </row>
    <row r="2921" spans="1:16" x14ac:dyDescent="0.3">
      <c r="A2921" s="19" t="str">
        <f t="shared" si="91"/>
        <v/>
      </c>
      <c r="L2921" s="21" t="str">
        <f>IF(J2921&lt;&gt;"",VLOOKUP(J2921,HeadCount!A:I,5,0),"")</f>
        <v/>
      </c>
      <c r="P2921" s="19" t="str">
        <f t="shared" si="92"/>
        <v/>
      </c>
    </row>
    <row r="2922" spans="1:16" x14ac:dyDescent="0.3">
      <c r="A2922" s="19" t="str">
        <f t="shared" si="91"/>
        <v/>
      </c>
      <c r="L2922" s="21" t="str">
        <f>IF(J2922&lt;&gt;"",VLOOKUP(J2922,HeadCount!A:I,5,0),"")</f>
        <v/>
      </c>
      <c r="P2922" s="19" t="str">
        <f t="shared" si="92"/>
        <v/>
      </c>
    </row>
    <row r="2923" spans="1:16" x14ac:dyDescent="0.3">
      <c r="A2923" s="19" t="str">
        <f t="shared" si="91"/>
        <v/>
      </c>
      <c r="L2923" s="21" t="str">
        <f>IF(J2923&lt;&gt;"",VLOOKUP(J2923,HeadCount!A:I,5,0),"")</f>
        <v/>
      </c>
      <c r="P2923" s="19" t="str">
        <f t="shared" si="92"/>
        <v/>
      </c>
    </row>
    <row r="2924" spans="1:16" x14ac:dyDescent="0.3">
      <c r="A2924" s="19" t="str">
        <f t="shared" si="91"/>
        <v/>
      </c>
      <c r="L2924" s="21" t="str">
        <f>IF(J2924&lt;&gt;"",VLOOKUP(J2924,HeadCount!A:I,5,0),"")</f>
        <v/>
      </c>
      <c r="P2924" s="19" t="str">
        <f t="shared" si="92"/>
        <v/>
      </c>
    </row>
    <row r="2925" spans="1:16" x14ac:dyDescent="0.3">
      <c r="A2925" s="19" t="str">
        <f t="shared" si="91"/>
        <v/>
      </c>
      <c r="L2925" s="21" t="str">
        <f>IF(J2925&lt;&gt;"",VLOOKUP(J2925,HeadCount!A:I,5,0),"")</f>
        <v/>
      </c>
      <c r="P2925" s="19" t="str">
        <f t="shared" si="92"/>
        <v/>
      </c>
    </row>
    <row r="2926" spans="1:16" x14ac:dyDescent="0.3">
      <c r="A2926" s="19" t="str">
        <f t="shared" si="91"/>
        <v/>
      </c>
      <c r="L2926" s="21" t="str">
        <f>IF(J2926&lt;&gt;"",VLOOKUP(J2926,HeadCount!A:I,5,0),"")</f>
        <v/>
      </c>
      <c r="P2926" s="19" t="str">
        <f t="shared" si="92"/>
        <v/>
      </c>
    </row>
    <row r="2927" spans="1:16" x14ac:dyDescent="0.3">
      <c r="A2927" s="19" t="str">
        <f t="shared" si="91"/>
        <v/>
      </c>
      <c r="L2927" s="21" t="str">
        <f>IF(J2927&lt;&gt;"",VLOOKUP(J2927,HeadCount!A:I,5,0),"")</f>
        <v/>
      </c>
      <c r="P2927" s="19" t="str">
        <f t="shared" si="92"/>
        <v/>
      </c>
    </row>
    <row r="2928" spans="1:16" x14ac:dyDescent="0.3">
      <c r="A2928" s="19" t="str">
        <f t="shared" si="91"/>
        <v/>
      </c>
      <c r="L2928" s="21" t="str">
        <f>IF(J2928&lt;&gt;"",VLOOKUP(J2928,HeadCount!A:I,5,0),"")</f>
        <v/>
      </c>
      <c r="P2928" s="19" t="str">
        <f t="shared" si="92"/>
        <v/>
      </c>
    </row>
    <row r="2929" spans="1:16" x14ac:dyDescent="0.3">
      <c r="A2929" s="19" t="str">
        <f t="shared" si="91"/>
        <v/>
      </c>
      <c r="L2929" s="21" t="str">
        <f>IF(J2929&lt;&gt;"",VLOOKUP(J2929,HeadCount!A:I,5,0),"")</f>
        <v/>
      </c>
      <c r="P2929" s="19" t="str">
        <f t="shared" si="92"/>
        <v/>
      </c>
    </row>
    <row r="2930" spans="1:16" x14ac:dyDescent="0.3">
      <c r="A2930" s="19" t="str">
        <f t="shared" si="91"/>
        <v/>
      </c>
      <c r="L2930" s="21" t="str">
        <f>IF(J2930&lt;&gt;"",VLOOKUP(J2930,HeadCount!A:I,5,0),"")</f>
        <v/>
      </c>
      <c r="P2930" s="19" t="str">
        <f t="shared" si="92"/>
        <v/>
      </c>
    </row>
    <row r="2931" spans="1:16" x14ac:dyDescent="0.3">
      <c r="A2931" s="19" t="str">
        <f t="shared" si="91"/>
        <v/>
      </c>
      <c r="L2931" s="21" t="str">
        <f>IF(J2931&lt;&gt;"",VLOOKUP(J2931,HeadCount!A:I,5,0),"")</f>
        <v/>
      </c>
      <c r="P2931" s="19" t="str">
        <f t="shared" si="92"/>
        <v/>
      </c>
    </row>
    <row r="2932" spans="1:16" x14ac:dyDescent="0.3">
      <c r="A2932" s="19" t="str">
        <f t="shared" si="91"/>
        <v/>
      </c>
      <c r="L2932" s="21" t="str">
        <f>IF(J2932&lt;&gt;"",VLOOKUP(J2932,HeadCount!A:I,5,0),"")</f>
        <v/>
      </c>
      <c r="P2932" s="19" t="str">
        <f t="shared" si="92"/>
        <v/>
      </c>
    </row>
    <row r="2933" spans="1:16" x14ac:dyDescent="0.3">
      <c r="A2933" s="19" t="str">
        <f t="shared" si="91"/>
        <v/>
      </c>
      <c r="L2933" s="21" t="str">
        <f>IF(J2933&lt;&gt;"",VLOOKUP(J2933,HeadCount!A:I,5,0),"")</f>
        <v/>
      </c>
      <c r="P2933" s="19" t="str">
        <f t="shared" si="92"/>
        <v/>
      </c>
    </row>
    <row r="2934" spans="1:16" x14ac:dyDescent="0.3">
      <c r="A2934" s="19" t="str">
        <f t="shared" si="91"/>
        <v/>
      </c>
      <c r="L2934" s="21" t="str">
        <f>IF(J2934&lt;&gt;"",VLOOKUP(J2934,HeadCount!A:I,5,0),"")</f>
        <v/>
      </c>
      <c r="P2934" s="19" t="str">
        <f t="shared" si="92"/>
        <v/>
      </c>
    </row>
    <row r="2935" spans="1:16" x14ac:dyDescent="0.3">
      <c r="A2935" s="19" t="str">
        <f t="shared" si="91"/>
        <v/>
      </c>
      <c r="L2935" s="21" t="str">
        <f>IF(J2935&lt;&gt;"",VLOOKUP(J2935,HeadCount!A:I,5,0),"")</f>
        <v/>
      </c>
      <c r="P2935" s="19" t="str">
        <f t="shared" si="92"/>
        <v/>
      </c>
    </row>
    <row r="2936" spans="1:16" x14ac:dyDescent="0.3">
      <c r="A2936" s="19" t="str">
        <f t="shared" si="91"/>
        <v/>
      </c>
      <c r="L2936" s="21" t="str">
        <f>IF(J2936&lt;&gt;"",VLOOKUP(J2936,HeadCount!A:I,5,0),"")</f>
        <v/>
      </c>
      <c r="P2936" s="19" t="str">
        <f t="shared" si="92"/>
        <v/>
      </c>
    </row>
    <row r="2937" spans="1:16" x14ac:dyDescent="0.3">
      <c r="A2937" s="19" t="str">
        <f t="shared" si="91"/>
        <v/>
      </c>
      <c r="L2937" s="21" t="str">
        <f>IF(J2937&lt;&gt;"",VLOOKUP(J2937,HeadCount!A:I,5,0),"")</f>
        <v/>
      </c>
      <c r="P2937" s="19" t="str">
        <f t="shared" si="92"/>
        <v/>
      </c>
    </row>
    <row r="2938" spans="1:16" x14ac:dyDescent="0.3">
      <c r="A2938" s="19" t="str">
        <f t="shared" si="91"/>
        <v/>
      </c>
      <c r="L2938" s="21" t="str">
        <f>IF(J2938&lt;&gt;"",VLOOKUP(J2938,HeadCount!A:I,5,0),"")</f>
        <v/>
      </c>
      <c r="P2938" s="19" t="str">
        <f t="shared" si="92"/>
        <v/>
      </c>
    </row>
    <row r="2939" spans="1:16" x14ac:dyDescent="0.3">
      <c r="A2939" s="19" t="str">
        <f t="shared" si="91"/>
        <v/>
      </c>
      <c r="L2939" s="21" t="str">
        <f>IF(J2939&lt;&gt;"",VLOOKUP(J2939,HeadCount!A:I,5,0),"")</f>
        <v/>
      </c>
      <c r="P2939" s="19" t="str">
        <f t="shared" si="92"/>
        <v/>
      </c>
    </row>
    <row r="2940" spans="1:16" x14ac:dyDescent="0.3">
      <c r="A2940" s="19" t="str">
        <f t="shared" si="91"/>
        <v/>
      </c>
      <c r="L2940" s="21" t="str">
        <f>IF(J2940&lt;&gt;"",VLOOKUP(J2940,HeadCount!A:I,5,0),"")</f>
        <v/>
      </c>
      <c r="P2940" s="19" t="str">
        <f t="shared" si="92"/>
        <v/>
      </c>
    </row>
    <row r="2941" spans="1:16" x14ac:dyDescent="0.3">
      <c r="A2941" s="19" t="str">
        <f t="shared" si="91"/>
        <v/>
      </c>
      <c r="L2941" s="21" t="str">
        <f>IF(J2941&lt;&gt;"",VLOOKUP(J2941,HeadCount!A:I,5,0),"")</f>
        <v/>
      </c>
      <c r="P2941" s="19" t="str">
        <f t="shared" si="92"/>
        <v/>
      </c>
    </row>
    <row r="2942" spans="1:16" x14ac:dyDescent="0.3">
      <c r="A2942" s="19" t="str">
        <f t="shared" si="91"/>
        <v/>
      </c>
      <c r="L2942" s="21" t="str">
        <f>IF(J2942&lt;&gt;"",VLOOKUP(J2942,HeadCount!A:I,5,0),"")</f>
        <v/>
      </c>
      <c r="P2942" s="19" t="str">
        <f t="shared" si="92"/>
        <v/>
      </c>
    </row>
    <row r="2943" spans="1:16" x14ac:dyDescent="0.3">
      <c r="A2943" s="19" t="str">
        <f t="shared" si="91"/>
        <v/>
      </c>
      <c r="L2943" s="21" t="str">
        <f>IF(J2943&lt;&gt;"",VLOOKUP(J2943,HeadCount!A:I,5,0),"")</f>
        <v/>
      </c>
      <c r="P2943" s="19" t="str">
        <f t="shared" si="92"/>
        <v/>
      </c>
    </row>
    <row r="2944" spans="1:16" x14ac:dyDescent="0.3">
      <c r="A2944" s="19" t="str">
        <f t="shared" si="91"/>
        <v/>
      </c>
      <c r="L2944" s="21" t="str">
        <f>IF(J2944&lt;&gt;"",VLOOKUP(J2944,HeadCount!A:I,5,0),"")</f>
        <v/>
      </c>
      <c r="P2944" s="19" t="str">
        <f t="shared" si="92"/>
        <v/>
      </c>
    </row>
    <row r="2945" spans="1:16" x14ac:dyDescent="0.3">
      <c r="A2945" s="19" t="str">
        <f t="shared" si="91"/>
        <v/>
      </c>
      <c r="L2945" s="21" t="str">
        <f>IF(J2945&lt;&gt;"",VLOOKUP(J2945,HeadCount!A:I,5,0),"")</f>
        <v/>
      </c>
      <c r="P2945" s="19" t="str">
        <f t="shared" si="92"/>
        <v/>
      </c>
    </row>
    <row r="2946" spans="1:16" x14ac:dyDescent="0.3">
      <c r="A2946" s="19" t="str">
        <f t="shared" ref="A2946:A3009" si="93">IF(C2946&lt;&gt;"",ROW(A2945),"")</f>
        <v/>
      </c>
      <c r="L2946" s="21" t="str">
        <f>IF(J2946&lt;&gt;"",VLOOKUP(J2946,HeadCount!A:I,5,0),"")</f>
        <v/>
      </c>
      <c r="P2946" s="19" t="str">
        <f t="shared" si="92"/>
        <v/>
      </c>
    </row>
    <row r="2947" spans="1:16" x14ac:dyDescent="0.3">
      <c r="A2947" s="19" t="str">
        <f t="shared" si="93"/>
        <v/>
      </c>
      <c r="L2947" s="21" t="str">
        <f>IF(J2947&lt;&gt;"",VLOOKUP(J2947,HeadCount!A:I,5,0),"")</f>
        <v/>
      </c>
      <c r="P2947" s="19" t="str">
        <f t="shared" ref="P2947:P3010" si="94">IF(N2947="","",(O2947-N2947)+1)</f>
        <v/>
      </c>
    </row>
    <row r="2948" spans="1:16" x14ac:dyDescent="0.3">
      <c r="A2948" s="19" t="str">
        <f t="shared" si="93"/>
        <v/>
      </c>
      <c r="L2948" s="21" t="str">
        <f>IF(J2948&lt;&gt;"",VLOOKUP(J2948,HeadCount!A:I,5,0),"")</f>
        <v/>
      </c>
      <c r="P2948" s="19" t="str">
        <f t="shared" si="94"/>
        <v/>
      </c>
    </row>
    <row r="2949" spans="1:16" x14ac:dyDescent="0.3">
      <c r="A2949" s="19" t="str">
        <f t="shared" si="93"/>
        <v/>
      </c>
      <c r="L2949" s="21" t="str">
        <f>IF(J2949&lt;&gt;"",VLOOKUP(J2949,HeadCount!A:I,5,0),"")</f>
        <v/>
      </c>
      <c r="P2949" s="19" t="str">
        <f t="shared" si="94"/>
        <v/>
      </c>
    </row>
    <row r="2950" spans="1:16" x14ac:dyDescent="0.3">
      <c r="A2950" s="19" t="str">
        <f t="shared" si="93"/>
        <v/>
      </c>
      <c r="L2950" s="21" t="str">
        <f>IF(J2950&lt;&gt;"",VLOOKUP(J2950,HeadCount!A:I,5,0),"")</f>
        <v/>
      </c>
      <c r="P2950" s="19" t="str">
        <f t="shared" si="94"/>
        <v/>
      </c>
    </row>
    <row r="2951" spans="1:16" x14ac:dyDescent="0.3">
      <c r="A2951" s="19" t="str">
        <f t="shared" si="93"/>
        <v/>
      </c>
      <c r="L2951" s="21" t="str">
        <f>IF(J2951&lt;&gt;"",VLOOKUP(J2951,HeadCount!A:I,5,0),"")</f>
        <v/>
      </c>
      <c r="P2951" s="19" t="str">
        <f t="shared" si="94"/>
        <v/>
      </c>
    </row>
    <row r="2952" spans="1:16" x14ac:dyDescent="0.3">
      <c r="A2952" s="19" t="str">
        <f t="shared" si="93"/>
        <v/>
      </c>
      <c r="L2952" s="21" t="str">
        <f>IF(J2952&lt;&gt;"",VLOOKUP(J2952,HeadCount!A:I,5,0),"")</f>
        <v/>
      </c>
      <c r="P2952" s="19" t="str">
        <f t="shared" si="94"/>
        <v/>
      </c>
    </row>
    <row r="2953" spans="1:16" x14ac:dyDescent="0.3">
      <c r="A2953" s="19" t="str">
        <f t="shared" si="93"/>
        <v/>
      </c>
      <c r="L2953" s="21" t="str">
        <f>IF(J2953&lt;&gt;"",VLOOKUP(J2953,HeadCount!A:I,5,0),"")</f>
        <v/>
      </c>
      <c r="P2953" s="19" t="str">
        <f t="shared" si="94"/>
        <v/>
      </c>
    </row>
    <row r="2954" spans="1:16" x14ac:dyDescent="0.3">
      <c r="A2954" s="19" t="str">
        <f t="shared" si="93"/>
        <v/>
      </c>
      <c r="L2954" s="21" t="str">
        <f>IF(J2954&lt;&gt;"",VLOOKUP(J2954,HeadCount!A:I,5,0),"")</f>
        <v/>
      </c>
      <c r="P2954" s="19" t="str">
        <f t="shared" si="94"/>
        <v/>
      </c>
    </row>
    <row r="2955" spans="1:16" x14ac:dyDescent="0.3">
      <c r="A2955" s="19" t="str">
        <f t="shared" si="93"/>
        <v/>
      </c>
      <c r="L2955" s="21" t="str">
        <f>IF(J2955&lt;&gt;"",VLOOKUP(J2955,HeadCount!A:I,5,0),"")</f>
        <v/>
      </c>
      <c r="P2955" s="19" t="str">
        <f t="shared" si="94"/>
        <v/>
      </c>
    </row>
    <row r="2956" spans="1:16" x14ac:dyDescent="0.3">
      <c r="A2956" s="19" t="str">
        <f t="shared" si="93"/>
        <v/>
      </c>
      <c r="L2956" s="21" t="str">
        <f>IF(J2956&lt;&gt;"",VLOOKUP(J2956,HeadCount!A:I,5,0),"")</f>
        <v/>
      </c>
      <c r="P2956" s="19" t="str">
        <f t="shared" si="94"/>
        <v/>
      </c>
    </row>
    <row r="2957" spans="1:16" x14ac:dyDescent="0.3">
      <c r="A2957" s="19" t="str">
        <f t="shared" si="93"/>
        <v/>
      </c>
      <c r="L2957" s="21" t="str">
        <f>IF(J2957&lt;&gt;"",VLOOKUP(J2957,HeadCount!A:I,5,0),"")</f>
        <v/>
      </c>
      <c r="P2957" s="19" t="str">
        <f t="shared" si="94"/>
        <v/>
      </c>
    </row>
    <row r="2958" spans="1:16" x14ac:dyDescent="0.3">
      <c r="A2958" s="19" t="str">
        <f t="shared" si="93"/>
        <v/>
      </c>
      <c r="L2958" s="21" t="str">
        <f>IF(J2958&lt;&gt;"",VLOOKUP(J2958,HeadCount!A:I,5,0),"")</f>
        <v/>
      </c>
      <c r="P2958" s="19" t="str">
        <f t="shared" si="94"/>
        <v/>
      </c>
    </row>
    <row r="2959" spans="1:16" x14ac:dyDescent="0.3">
      <c r="A2959" s="19" t="str">
        <f t="shared" si="93"/>
        <v/>
      </c>
      <c r="L2959" s="21" t="str">
        <f>IF(J2959&lt;&gt;"",VLOOKUP(J2959,HeadCount!A:I,5,0),"")</f>
        <v/>
      </c>
      <c r="P2959" s="19" t="str">
        <f t="shared" si="94"/>
        <v/>
      </c>
    </row>
    <row r="2960" spans="1:16" x14ac:dyDescent="0.3">
      <c r="A2960" s="19" t="str">
        <f t="shared" si="93"/>
        <v/>
      </c>
      <c r="L2960" s="21" t="str">
        <f>IF(J2960&lt;&gt;"",VLOOKUP(J2960,HeadCount!A:I,5,0),"")</f>
        <v/>
      </c>
      <c r="P2960" s="19" t="str">
        <f t="shared" si="94"/>
        <v/>
      </c>
    </row>
    <row r="2961" spans="1:16" x14ac:dyDescent="0.3">
      <c r="A2961" s="19" t="str">
        <f t="shared" si="93"/>
        <v/>
      </c>
      <c r="L2961" s="21" t="str">
        <f>IF(J2961&lt;&gt;"",VLOOKUP(J2961,HeadCount!A:I,5,0),"")</f>
        <v/>
      </c>
      <c r="P2961" s="19" t="str">
        <f t="shared" si="94"/>
        <v/>
      </c>
    </row>
    <row r="2962" spans="1:16" x14ac:dyDescent="0.3">
      <c r="A2962" s="19" t="str">
        <f t="shared" si="93"/>
        <v/>
      </c>
      <c r="L2962" s="21" t="str">
        <f>IF(J2962&lt;&gt;"",VLOOKUP(J2962,HeadCount!A:I,5,0),"")</f>
        <v/>
      </c>
      <c r="P2962" s="19" t="str">
        <f t="shared" si="94"/>
        <v/>
      </c>
    </row>
    <row r="2963" spans="1:16" x14ac:dyDescent="0.3">
      <c r="A2963" s="19" t="str">
        <f t="shared" si="93"/>
        <v/>
      </c>
      <c r="L2963" s="21" t="str">
        <f>IF(J2963&lt;&gt;"",VLOOKUP(J2963,HeadCount!A:I,5,0),"")</f>
        <v/>
      </c>
      <c r="P2963" s="19" t="str">
        <f t="shared" si="94"/>
        <v/>
      </c>
    </row>
    <row r="2964" spans="1:16" x14ac:dyDescent="0.3">
      <c r="A2964" s="19" t="str">
        <f t="shared" si="93"/>
        <v/>
      </c>
      <c r="L2964" s="21" t="str">
        <f>IF(J2964&lt;&gt;"",VLOOKUP(J2964,HeadCount!A:I,5,0),"")</f>
        <v/>
      </c>
      <c r="P2964" s="19" t="str">
        <f t="shared" si="94"/>
        <v/>
      </c>
    </row>
    <row r="2965" spans="1:16" x14ac:dyDescent="0.3">
      <c r="A2965" s="19" t="str">
        <f t="shared" si="93"/>
        <v/>
      </c>
      <c r="L2965" s="21" t="str">
        <f>IF(J2965&lt;&gt;"",VLOOKUP(J2965,HeadCount!A:I,5,0),"")</f>
        <v/>
      </c>
      <c r="P2965" s="19" t="str">
        <f t="shared" si="94"/>
        <v/>
      </c>
    </row>
    <row r="2966" spans="1:16" x14ac:dyDescent="0.3">
      <c r="A2966" s="19" t="str">
        <f t="shared" si="93"/>
        <v/>
      </c>
      <c r="L2966" s="21" t="str">
        <f>IF(J2966&lt;&gt;"",VLOOKUP(J2966,HeadCount!A:I,5,0),"")</f>
        <v/>
      </c>
      <c r="P2966" s="19" t="str">
        <f t="shared" si="94"/>
        <v/>
      </c>
    </row>
    <row r="2967" spans="1:16" x14ac:dyDescent="0.3">
      <c r="A2967" s="19" t="str">
        <f t="shared" si="93"/>
        <v/>
      </c>
      <c r="L2967" s="21" t="str">
        <f>IF(J2967&lt;&gt;"",VLOOKUP(J2967,HeadCount!A:I,5,0),"")</f>
        <v/>
      </c>
      <c r="P2967" s="19" t="str">
        <f t="shared" si="94"/>
        <v/>
      </c>
    </row>
    <row r="2968" spans="1:16" x14ac:dyDescent="0.3">
      <c r="A2968" s="19" t="str">
        <f t="shared" si="93"/>
        <v/>
      </c>
      <c r="L2968" s="21" t="str">
        <f>IF(J2968&lt;&gt;"",VLOOKUP(J2968,HeadCount!A:I,5,0),"")</f>
        <v/>
      </c>
      <c r="P2968" s="19" t="str">
        <f t="shared" si="94"/>
        <v/>
      </c>
    </row>
    <row r="2969" spans="1:16" x14ac:dyDescent="0.3">
      <c r="A2969" s="19" t="str">
        <f t="shared" si="93"/>
        <v/>
      </c>
      <c r="L2969" s="21" t="str">
        <f>IF(J2969&lt;&gt;"",VLOOKUP(J2969,HeadCount!A:I,5,0),"")</f>
        <v/>
      </c>
      <c r="P2969" s="19" t="str">
        <f t="shared" si="94"/>
        <v/>
      </c>
    </row>
    <row r="2970" spans="1:16" x14ac:dyDescent="0.3">
      <c r="A2970" s="19" t="str">
        <f t="shared" si="93"/>
        <v/>
      </c>
      <c r="L2970" s="21" t="str">
        <f>IF(J2970&lt;&gt;"",VLOOKUP(J2970,HeadCount!A:I,5,0),"")</f>
        <v/>
      </c>
      <c r="P2970" s="19" t="str">
        <f t="shared" si="94"/>
        <v/>
      </c>
    </row>
    <row r="2971" spans="1:16" x14ac:dyDescent="0.3">
      <c r="A2971" s="19" t="str">
        <f t="shared" si="93"/>
        <v/>
      </c>
      <c r="L2971" s="21" t="str">
        <f>IF(J2971&lt;&gt;"",VLOOKUP(J2971,HeadCount!A:I,5,0),"")</f>
        <v/>
      </c>
      <c r="P2971" s="19" t="str">
        <f t="shared" si="94"/>
        <v/>
      </c>
    </row>
    <row r="2972" spans="1:16" x14ac:dyDescent="0.3">
      <c r="A2972" s="19" t="str">
        <f t="shared" si="93"/>
        <v/>
      </c>
      <c r="L2972" s="21" t="str">
        <f>IF(J2972&lt;&gt;"",VLOOKUP(J2972,HeadCount!A:I,5,0),"")</f>
        <v/>
      </c>
      <c r="P2972" s="19" t="str">
        <f t="shared" si="94"/>
        <v/>
      </c>
    </row>
    <row r="2973" spans="1:16" x14ac:dyDescent="0.3">
      <c r="A2973" s="19" t="str">
        <f t="shared" si="93"/>
        <v/>
      </c>
      <c r="L2973" s="21" t="str">
        <f>IF(J2973&lt;&gt;"",VLOOKUP(J2973,HeadCount!A:I,5,0),"")</f>
        <v/>
      </c>
      <c r="P2973" s="19" t="str">
        <f t="shared" si="94"/>
        <v/>
      </c>
    </row>
    <row r="2974" spans="1:16" x14ac:dyDescent="0.3">
      <c r="A2974" s="19" t="str">
        <f t="shared" si="93"/>
        <v/>
      </c>
      <c r="L2974" s="21" t="str">
        <f>IF(J2974&lt;&gt;"",VLOOKUP(J2974,HeadCount!A:I,5,0),"")</f>
        <v/>
      </c>
      <c r="P2974" s="19" t="str">
        <f t="shared" si="94"/>
        <v/>
      </c>
    </row>
    <row r="2975" spans="1:16" x14ac:dyDescent="0.3">
      <c r="A2975" s="19" t="str">
        <f t="shared" si="93"/>
        <v/>
      </c>
      <c r="L2975" s="21" t="str">
        <f>IF(J2975&lt;&gt;"",VLOOKUP(J2975,HeadCount!A:I,5,0),"")</f>
        <v/>
      </c>
      <c r="P2975" s="19" t="str">
        <f t="shared" si="94"/>
        <v/>
      </c>
    </row>
    <row r="2976" spans="1:16" x14ac:dyDescent="0.3">
      <c r="A2976" s="19" t="str">
        <f t="shared" si="93"/>
        <v/>
      </c>
      <c r="L2976" s="21" t="str">
        <f>IF(J2976&lt;&gt;"",VLOOKUP(J2976,HeadCount!A:I,5,0),"")</f>
        <v/>
      </c>
      <c r="P2976" s="19" t="str">
        <f t="shared" si="94"/>
        <v/>
      </c>
    </row>
    <row r="2977" spans="1:16" x14ac:dyDescent="0.3">
      <c r="A2977" s="19" t="str">
        <f t="shared" si="93"/>
        <v/>
      </c>
      <c r="L2977" s="21" t="str">
        <f>IF(J2977&lt;&gt;"",VLOOKUP(J2977,HeadCount!A:I,5,0),"")</f>
        <v/>
      </c>
      <c r="P2977" s="19" t="str">
        <f t="shared" si="94"/>
        <v/>
      </c>
    </row>
    <row r="2978" spans="1:16" x14ac:dyDescent="0.3">
      <c r="A2978" s="19" t="str">
        <f t="shared" si="93"/>
        <v/>
      </c>
      <c r="L2978" s="21" t="str">
        <f>IF(J2978&lt;&gt;"",VLOOKUP(J2978,HeadCount!A:I,5,0),"")</f>
        <v/>
      </c>
      <c r="P2978" s="19" t="str">
        <f t="shared" si="94"/>
        <v/>
      </c>
    </row>
    <row r="2979" spans="1:16" x14ac:dyDescent="0.3">
      <c r="A2979" s="19" t="str">
        <f t="shared" si="93"/>
        <v/>
      </c>
      <c r="L2979" s="21" t="str">
        <f>IF(J2979&lt;&gt;"",VLOOKUP(J2979,HeadCount!A:I,5,0),"")</f>
        <v/>
      </c>
      <c r="P2979" s="19" t="str">
        <f t="shared" si="94"/>
        <v/>
      </c>
    </row>
    <row r="2980" spans="1:16" x14ac:dyDescent="0.3">
      <c r="A2980" s="19" t="str">
        <f t="shared" si="93"/>
        <v/>
      </c>
      <c r="L2980" s="21" t="str">
        <f>IF(J2980&lt;&gt;"",VLOOKUP(J2980,HeadCount!A:I,5,0),"")</f>
        <v/>
      </c>
      <c r="P2980" s="19" t="str">
        <f t="shared" si="94"/>
        <v/>
      </c>
    </row>
    <row r="2981" spans="1:16" x14ac:dyDescent="0.3">
      <c r="A2981" s="19" t="str">
        <f t="shared" si="93"/>
        <v/>
      </c>
      <c r="L2981" s="21" t="str">
        <f>IF(J2981&lt;&gt;"",VLOOKUP(J2981,HeadCount!A:I,5,0),"")</f>
        <v/>
      </c>
      <c r="P2981" s="19" t="str">
        <f t="shared" si="94"/>
        <v/>
      </c>
    </row>
    <row r="2982" spans="1:16" x14ac:dyDescent="0.3">
      <c r="A2982" s="19" t="str">
        <f t="shared" si="93"/>
        <v/>
      </c>
      <c r="L2982" s="21" t="str">
        <f>IF(J2982&lt;&gt;"",VLOOKUP(J2982,HeadCount!A:I,5,0),"")</f>
        <v/>
      </c>
      <c r="P2982" s="19" t="str">
        <f t="shared" si="94"/>
        <v/>
      </c>
    </row>
    <row r="2983" spans="1:16" x14ac:dyDescent="0.3">
      <c r="A2983" s="19" t="str">
        <f t="shared" si="93"/>
        <v/>
      </c>
      <c r="L2983" s="21" t="str">
        <f>IF(J2983&lt;&gt;"",VLOOKUP(J2983,HeadCount!A:I,5,0),"")</f>
        <v/>
      </c>
      <c r="P2983" s="19" t="str">
        <f t="shared" si="94"/>
        <v/>
      </c>
    </row>
    <row r="2984" spans="1:16" x14ac:dyDescent="0.3">
      <c r="A2984" s="19" t="str">
        <f t="shared" si="93"/>
        <v/>
      </c>
      <c r="L2984" s="21" t="str">
        <f>IF(J2984&lt;&gt;"",VLOOKUP(J2984,HeadCount!A:I,5,0),"")</f>
        <v/>
      </c>
      <c r="P2984" s="19" t="str">
        <f t="shared" si="94"/>
        <v/>
      </c>
    </row>
    <row r="2985" spans="1:16" x14ac:dyDescent="0.3">
      <c r="A2985" s="19" t="str">
        <f t="shared" si="93"/>
        <v/>
      </c>
      <c r="L2985" s="21" t="str">
        <f>IF(J2985&lt;&gt;"",VLOOKUP(J2985,HeadCount!A:I,5,0),"")</f>
        <v/>
      </c>
      <c r="P2985" s="19" t="str">
        <f t="shared" si="94"/>
        <v/>
      </c>
    </row>
    <row r="2986" spans="1:16" x14ac:dyDescent="0.3">
      <c r="A2986" s="19" t="str">
        <f t="shared" si="93"/>
        <v/>
      </c>
      <c r="L2986" s="21" t="str">
        <f>IF(J2986&lt;&gt;"",VLOOKUP(J2986,HeadCount!A:I,5,0),"")</f>
        <v/>
      </c>
      <c r="P2986" s="19" t="str">
        <f t="shared" si="94"/>
        <v/>
      </c>
    </row>
    <row r="2987" spans="1:16" x14ac:dyDescent="0.3">
      <c r="A2987" s="19" t="str">
        <f t="shared" si="93"/>
        <v/>
      </c>
      <c r="L2987" s="21" t="str">
        <f>IF(J2987&lt;&gt;"",VLOOKUP(J2987,HeadCount!A:I,5,0),"")</f>
        <v/>
      </c>
      <c r="P2987" s="19" t="str">
        <f t="shared" si="94"/>
        <v/>
      </c>
    </row>
    <row r="2988" spans="1:16" x14ac:dyDescent="0.3">
      <c r="A2988" s="19" t="str">
        <f t="shared" si="93"/>
        <v/>
      </c>
      <c r="L2988" s="21" t="str">
        <f>IF(J2988&lt;&gt;"",VLOOKUP(J2988,HeadCount!A:I,5,0),"")</f>
        <v/>
      </c>
      <c r="P2988" s="19" t="str">
        <f t="shared" si="94"/>
        <v/>
      </c>
    </row>
    <row r="2989" spans="1:16" x14ac:dyDescent="0.3">
      <c r="A2989" s="19" t="str">
        <f t="shared" si="93"/>
        <v/>
      </c>
      <c r="L2989" s="21" t="str">
        <f>IF(J2989&lt;&gt;"",VLOOKUP(J2989,HeadCount!A:I,5,0),"")</f>
        <v/>
      </c>
      <c r="P2989" s="19" t="str">
        <f t="shared" si="94"/>
        <v/>
      </c>
    </row>
    <row r="2990" spans="1:16" x14ac:dyDescent="0.3">
      <c r="A2990" s="19" t="str">
        <f t="shared" si="93"/>
        <v/>
      </c>
      <c r="L2990" s="21" t="str">
        <f>IF(J2990&lt;&gt;"",VLOOKUP(J2990,HeadCount!A:I,5,0),"")</f>
        <v/>
      </c>
      <c r="P2990" s="19" t="str">
        <f t="shared" si="94"/>
        <v/>
      </c>
    </row>
    <row r="2991" spans="1:16" x14ac:dyDescent="0.3">
      <c r="A2991" s="19" t="str">
        <f t="shared" si="93"/>
        <v/>
      </c>
      <c r="L2991" s="21" t="str">
        <f>IF(J2991&lt;&gt;"",VLOOKUP(J2991,HeadCount!A:I,5,0),"")</f>
        <v/>
      </c>
      <c r="P2991" s="19" t="str">
        <f t="shared" si="94"/>
        <v/>
      </c>
    </row>
    <row r="2992" spans="1:16" x14ac:dyDescent="0.3">
      <c r="A2992" s="19" t="str">
        <f t="shared" si="93"/>
        <v/>
      </c>
      <c r="L2992" s="21" t="str">
        <f>IF(J2992&lt;&gt;"",VLOOKUP(J2992,HeadCount!A:I,5,0),"")</f>
        <v/>
      </c>
      <c r="P2992" s="19" t="str">
        <f t="shared" si="94"/>
        <v/>
      </c>
    </row>
    <row r="2993" spans="1:16" x14ac:dyDescent="0.3">
      <c r="A2993" s="19" t="str">
        <f t="shared" si="93"/>
        <v/>
      </c>
      <c r="L2993" s="21" t="str">
        <f>IF(J2993&lt;&gt;"",VLOOKUP(J2993,HeadCount!A:I,5,0),"")</f>
        <v/>
      </c>
      <c r="P2993" s="19" t="str">
        <f t="shared" si="94"/>
        <v/>
      </c>
    </row>
    <row r="2994" spans="1:16" x14ac:dyDescent="0.3">
      <c r="A2994" s="19" t="str">
        <f t="shared" si="93"/>
        <v/>
      </c>
      <c r="L2994" s="21" t="str">
        <f>IF(J2994&lt;&gt;"",VLOOKUP(J2994,HeadCount!A:I,5,0),"")</f>
        <v/>
      </c>
      <c r="P2994" s="19" t="str">
        <f t="shared" si="94"/>
        <v/>
      </c>
    </row>
    <row r="2995" spans="1:16" x14ac:dyDescent="0.3">
      <c r="A2995" s="19" t="str">
        <f t="shared" si="93"/>
        <v/>
      </c>
      <c r="L2995" s="21" t="str">
        <f>IF(J2995&lt;&gt;"",VLOOKUP(J2995,HeadCount!A:I,5,0),"")</f>
        <v/>
      </c>
      <c r="P2995" s="19" t="str">
        <f t="shared" si="94"/>
        <v/>
      </c>
    </row>
    <row r="2996" spans="1:16" x14ac:dyDescent="0.3">
      <c r="A2996" s="19" t="str">
        <f t="shared" si="93"/>
        <v/>
      </c>
      <c r="L2996" s="21" t="str">
        <f>IF(J2996&lt;&gt;"",VLOOKUP(J2996,HeadCount!A:I,5,0),"")</f>
        <v/>
      </c>
      <c r="P2996" s="19" t="str">
        <f t="shared" si="94"/>
        <v/>
      </c>
    </row>
    <row r="2997" spans="1:16" x14ac:dyDescent="0.3">
      <c r="A2997" s="19" t="str">
        <f t="shared" si="93"/>
        <v/>
      </c>
      <c r="L2997" s="21" t="str">
        <f>IF(J2997&lt;&gt;"",VLOOKUP(J2997,HeadCount!A:I,5,0),"")</f>
        <v/>
      </c>
      <c r="P2997" s="19" t="str">
        <f t="shared" si="94"/>
        <v/>
      </c>
    </row>
    <row r="2998" spans="1:16" x14ac:dyDescent="0.3">
      <c r="A2998" s="19" t="str">
        <f t="shared" si="93"/>
        <v/>
      </c>
      <c r="L2998" s="21" t="str">
        <f>IF(J2998&lt;&gt;"",VLOOKUP(J2998,HeadCount!A:I,5,0),"")</f>
        <v/>
      </c>
      <c r="P2998" s="19" t="str">
        <f t="shared" si="94"/>
        <v/>
      </c>
    </row>
    <row r="2999" spans="1:16" x14ac:dyDescent="0.3">
      <c r="A2999" s="19" t="str">
        <f t="shared" si="93"/>
        <v/>
      </c>
      <c r="L2999" s="21" t="str">
        <f>IF(J2999&lt;&gt;"",VLOOKUP(J2999,HeadCount!A:I,5,0),"")</f>
        <v/>
      </c>
      <c r="P2999" s="19" t="str">
        <f t="shared" si="94"/>
        <v/>
      </c>
    </row>
    <row r="3000" spans="1:16" x14ac:dyDescent="0.3">
      <c r="A3000" s="19" t="str">
        <f t="shared" si="93"/>
        <v/>
      </c>
      <c r="L3000" s="21" t="str">
        <f>IF(J3000&lt;&gt;"",VLOOKUP(J3000,HeadCount!A:I,5,0),"")</f>
        <v/>
      </c>
      <c r="P3000" s="19" t="str">
        <f t="shared" si="94"/>
        <v/>
      </c>
    </row>
    <row r="3001" spans="1:16" x14ac:dyDescent="0.3">
      <c r="A3001" s="19" t="str">
        <f t="shared" si="93"/>
        <v/>
      </c>
      <c r="L3001" s="21" t="str">
        <f>IF(J3001&lt;&gt;"",VLOOKUP(J3001,HeadCount!A:I,5,0),"")</f>
        <v/>
      </c>
      <c r="P3001" s="19" t="str">
        <f t="shared" si="94"/>
        <v/>
      </c>
    </row>
    <row r="3002" spans="1:16" x14ac:dyDescent="0.3">
      <c r="A3002" s="19" t="str">
        <f t="shared" si="93"/>
        <v/>
      </c>
      <c r="L3002" s="21" t="str">
        <f>IF(J3002&lt;&gt;"",VLOOKUP(J3002,HeadCount!A:I,5,0),"")</f>
        <v/>
      </c>
      <c r="P3002" s="19" t="str">
        <f t="shared" si="94"/>
        <v/>
      </c>
    </row>
    <row r="3003" spans="1:16" x14ac:dyDescent="0.3">
      <c r="A3003" s="19" t="str">
        <f t="shared" si="93"/>
        <v/>
      </c>
      <c r="L3003" s="21" t="str">
        <f>IF(J3003&lt;&gt;"",VLOOKUP(J3003,HeadCount!A:I,5,0),"")</f>
        <v/>
      </c>
      <c r="P3003" s="19" t="str">
        <f t="shared" si="94"/>
        <v/>
      </c>
    </row>
    <row r="3004" spans="1:16" x14ac:dyDescent="0.3">
      <c r="A3004" s="19" t="str">
        <f t="shared" si="93"/>
        <v/>
      </c>
      <c r="L3004" s="21" t="str">
        <f>IF(J3004&lt;&gt;"",VLOOKUP(J3004,HeadCount!A:I,5,0),"")</f>
        <v/>
      </c>
      <c r="P3004" s="19" t="str">
        <f t="shared" si="94"/>
        <v/>
      </c>
    </row>
    <row r="3005" spans="1:16" x14ac:dyDescent="0.3">
      <c r="A3005" s="19" t="str">
        <f t="shared" si="93"/>
        <v/>
      </c>
      <c r="L3005" s="21" t="str">
        <f>IF(J3005&lt;&gt;"",VLOOKUP(J3005,HeadCount!A:I,5,0),"")</f>
        <v/>
      </c>
      <c r="P3005" s="19" t="str">
        <f t="shared" si="94"/>
        <v/>
      </c>
    </row>
    <row r="3006" spans="1:16" x14ac:dyDescent="0.3">
      <c r="A3006" s="19" t="str">
        <f t="shared" si="93"/>
        <v/>
      </c>
      <c r="L3006" s="21" t="str">
        <f>IF(J3006&lt;&gt;"",VLOOKUP(J3006,HeadCount!A:I,5,0),"")</f>
        <v/>
      </c>
      <c r="P3006" s="19" t="str">
        <f t="shared" si="94"/>
        <v/>
      </c>
    </row>
    <row r="3007" spans="1:16" x14ac:dyDescent="0.3">
      <c r="A3007" s="19" t="str">
        <f t="shared" si="93"/>
        <v/>
      </c>
      <c r="L3007" s="21" t="str">
        <f>IF(J3007&lt;&gt;"",VLOOKUP(J3007,HeadCount!A:I,5,0),"")</f>
        <v/>
      </c>
      <c r="P3007" s="19" t="str">
        <f t="shared" si="94"/>
        <v/>
      </c>
    </row>
    <row r="3008" spans="1:16" x14ac:dyDescent="0.3">
      <c r="A3008" s="19" t="str">
        <f t="shared" si="93"/>
        <v/>
      </c>
      <c r="L3008" s="21" t="str">
        <f>IF(J3008&lt;&gt;"",VLOOKUP(J3008,HeadCount!A:I,5,0),"")</f>
        <v/>
      </c>
      <c r="P3008" s="19" t="str">
        <f t="shared" si="94"/>
        <v/>
      </c>
    </row>
    <row r="3009" spans="1:16" x14ac:dyDescent="0.3">
      <c r="A3009" s="19" t="str">
        <f t="shared" si="93"/>
        <v/>
      </c>
      <c r="L3009" s="21" t="str">
        <f>IF(J3009&lt;&gt;"",VLOOKUP(J3009,HeadCount!A:I,5,0),"")</f>
        <v/>
      </c>
      <c r="P3009" s="19" t="str">
        <f t="shared" si="94"/>
        <v/>
      </c>
    </row>
    <row r="3010" spans="1:16" x14ac:dyDescent="0.3">
      <c r="A3010" s="19" t="str">
        <f t="shared" ref="A3010:A3073" si="95">IF(C3010&lt;&gt;"",ROW(A3009),"")</f>
        <v/>
      </c>
      <c r="L3010" s="21" t="str">
        <f>IF(J3010&lt;&gt;"",VLOOKUP(J3010,HeadCount!A:I,5,0),"")</f>
        <v/>
      </c>
      <c r="P3010" s="19" t="str">
        <f t="shared" si="94"/>
        <v/>
      </c>
    </row>
    <row r="3011" spans="1:16" x14ac:dyDescent="0.3">
      <c r="A3011" s="19" t="str">
        <f t="shared" si="95"/>
        <v/>
      </c>
      <c r="L3011" s="21" t="str">
        <f>IF(J3011&lt;&gt;"",VLOOKUP(J3011,HeadCount!A:I,5,0),"")</f>
        <v/>
      </c>
      <c r="P3011" s="19" t="str">
        <f t="shared" ref="P3011:P3074" si="96">IF(N3011="","",(O3011-N3011)+1)</f>
        <v/>
      </c>
    </row>
    <row r="3012" spans="1:16" x14ac:dyDescent="0.3">
      <c r="A3012" s="19" t="str">
        <f t="shared" si="95"/>
        <v/>
      </c>
      <c r="L3012" s="21" t="str">
        <f>IF(J3012&lt;&gt;"",VLOOKUP(J3012,HeadCount!A:I,5,0),"")</f>
        <v/>
      </c>
      <c r="P3012" s="19" t="str">
        <f t="shared" si="96"/>
        <v/>
      </c>
    </row>
    <row r="3013" spans="1:16" x14ac:dyDescent="0.3">
      <c r="A3013" s="19" t="str">
        <f t="shared" si="95"/>
        <v/>
      </c>
      <c r="L3013" s="21" t="str">
        <f>IF(J3013&lt;&gt;"",VLOOKUP(J3013,HeadCount!A:I,5,0),"")</f>
        <v/>
      </c>
      <c r="P3013" s="19" t="str">
        <f t="shared" si="96"/>
        <v/>
      </c>
    </row>
    <row r="3014" spans="1:16" x14ac:dyDescent="0.3">
      <c r="A3014" s="19" t="str">
        <f t="shared" si="95"/>
        <v/>
      </c>
      <c r="L3014" s="21" t="str">
        <f>IF(J3014&lt;&gt;"",VLOOKUP(J3014,HeadCount!A:I,5,0),"")</f>
        <v/>
      </c>
      <c r="P3014" s="19" t="str">
        <f t="shared" si="96"/>
        <v/>
      </c>
    </row>
    <row r="3015" spans="1:16" x14ac:dyDescent="0.3">
      <c r="A3015" s="19" t="str">
        <f t="shared" si="95"/>
        <v/>
      </c>
      <c r="L3015" s="21" t="str">
        <f>IF(J3015&lt;&gt;"",VLOOKUP(J3015,HeadCount!A:I,5,0),"")</f>
        <v/>
      </c>
      <c r="P3015" s="19" t="str">
        <f t="shared" si="96"/>
        <v/>
      </c>
    </row>
    <row r="3016" spans="1:16" x14ac:dyDescent="0.3">
      <c r="A3016" s="19" t="str">
        <f t="shared" si="95"/>
        <v/>
      </c>
      <c r="L3016" s="21" t="str">
        <f>IF(J3016&lt;&gt;"",VLOOKUP(J3016,HeadCount!A:I,5,0),"")</f>
        <v/>
      </c>
      <c r="P3016" s="19" t="str">
        <f t="shared" si="96"/>
        <v/>
      </c>
    </row>
    <row r="3017" spans="1:16" x14ac:dyDescent="0.3">
      <c r="A3017" s="19" t="str">
        <f t="shared" si="95"/>
        <v/>
      </c>
      <c r="L3017" s="21" t="str">
        <f>IF(J3017&lt;&gt;"",VLOOKUP(J3017,HeadCount!A:I,5,0),"")</f>
        <v/>
      </c>
      <c r="P3017" s="19" t="str">
        <f t="shared" si="96"/>
        <v/>
      </c>
    </row>
    <row r="3018" spans="1:16" x14ac:dyDescent="0.3">
      <c r="A3018" s="19" t="str">
        <f t="shared" si="95"/>
        <v/>
      </c>
      <c r="L3018" s="21" t="str">
        <f>IF(J3018&lt;&gt;"",VLOOKUP(J3018,HeadCount!A:I,5,0),"")</f>
        <v/>
      </c>
      <c r="P3018" s="19" t="str">
        <f t="shared" si="96"/>
        <v/>
      </c>
    </row>
    <row r="3019" spans="1:16" x14ac:dyDescent="0.3">
      <c r="A3019" s="19" t="str">
        <f t="shared" si="95"/>
        <v/>
      </c>
      <c r="L3019" s="21" t="str">
        <f>IF(J3019&lt;&gt;"",VLOOKUP(J3019,HeadCount!A:I,5,0),"")</f>
        <v/>
      </c>
      <c r="P3019" s="19" t="str">
        <f t="shared" si="96"/>
        <v/>
      </c>
    </row>
    <row r="3020" spans="1:16" x14ac:dyDescent="0.3">
      <c r="A3020" s="19" t="str">
        <f t="shared" si="95"/>
        <v/>
      </c>
      <c r="L3020" s="21" t="str">
        <f>IF(J3020&lt;&gt;"",VLOOKUP(J3020,HeadCount!A:I,5,0),"")</f>
        <v/>
      </c>
      <c r="P3020" s="19" t="str">
        <f t="shared" si="96"/>
        <v/>
      </c>
    </row>
    <row r="3021" spans="1:16" x14ac:dyDescent="0.3">
      <c r="A3021" s="19" t="str">
        <f t="shared" si="95"/>
        <v/>
      </c>
      <c r="L3021" s="21" t="str">
        <f>IF(J3021&lt;&gt;"",VLOOKUP(J3021,HeadCount!A:I,5,0),"")</f>
        <v/>
      </c>
      <c r="P3021" s="19" t="str">
        <f t="shared" si="96"/>
        <v/>
      </c>
    </row>
    <row r="3022" spans="1:16" x14ac:dyDescent="0.3">
      <c r="A3022" s="19" t="str">
        <f t="shared" si="95"/>
        <v/>
      </c>
      <c r="L3022" s="21" t="str">
        <f>IF(J3022&lt;&gt;"",VLOOKUP(J3022,HeadCount!A:I,5,0),"")</f>
        <v/>
      </c>
      <c r="P3022" s="19" t="str">
        <f t="shared" si="96"/>
        <v/>
      </c>
    </row>
    <row r="3023" spans="1:16" x14ac:dyDescent="0.3">
      <c r="A3023" s="19" t="str">
        <f t="shared" si="95"/>
        <v/>
      </c>
      <c r="L3023" s="21" t="str">
        <f>IF(J3023&lt;&gt;"",VLOOKUP(J3023,HeadCount!A:I,5,0),"")</f>
        <v/>
      </c>
      <c r="P3023" s="19" t="str">
        <f t="shared" si="96"/>
        <v/>
      </c>
    </row>
    <row r="3024" spans="1:16" x14ac:dyDescent="0.3">
      <c r="A3024" s="19" t="str">
        <f t="shared" si="95"/>
        <v/>
      </c>
      <c r="L3024" s="21" t="str">
        <f>IF(J3024&lt;&gt;"",VLOOKUP(J3024,HeadCount!A:I,5,0),"")</f>
        <v/>
      </c>
      <c r="P3024" s="19" t="str">
        <f t="shared" si="96"/>
        <v/>
      </c>
    </row>
    <row r="3025" spans="1:16" x14ac:dyDescent="0.3">
      <c r="A3025" s="19" t="str">
        <f t="shared" si="95"/>
        <v/>
      </c>
      <c r="L3025" s="21" t="str">
        <f>IF(J3025&lt;&gt;"",VLOOKUP(J3025,HeadCount!A:I,5,0),"")</f>
        <v/>
      </c>
      <c r="P3025" s="19" t="str">
        <f t="shared" si="96"/>
        <v/>
      </c>
    </row>
    <row r="3026" spans="1:16" x14ac:dyDescent="0.3">
      <c r="A3026" s="19" t="str">
        <f t="shared" si="95"/>
        <v/>
      </c>
      <c r="L3026" s="21" t="str">
        <f>IF(J3026&lt;&gt;"",VLOOKUP(J3026,HeadCount!A:I,5,0),"")</f>
        <v/>
      </c>
      <c r="P3026" s="19" t="str">
        <f t="shared" si="96"/>
        <v/>
      </c>
    </row>
    <row r="3027" spans="1:16" x14ac:dyDescent="0.3">
      <c r="A3027" s="19" t="str">
        <f t="shared" si="95"/>
        <v/>
      </c>
      <c r="L3027" s="21" t="str">
        <f>IF(J3027&lt;&gt;"",VLOOKUP(J3027,HeadCount!A:I,5,0),"")</f>
        <v/>
      </c>
      <c r="P3027" s="19" t="str">
        <f t="shared" si="96"/>
        <v/>
      </c>
    </row>
    <row r="3028" spans="1:16" x14ac:dyDescent="0.3">
      <c r="A3028" s="19" t="str">
        <f t="shared" si="95"/>
        <v/>
      </c>
      <c r="L3028" s="21" t="str">
        <f>IF(J3028&lt;&gt;"",VLOOKUP(J3028,HeadCount!A:I,5,0),"")</f>
        <v/>
      </c>
      <c r="P3028" s="19" t="str">
        <f t="shared" si="96"/>
        <v/>
      </c>
    </row>
    <row r="3029" spans="1:16" x14ac:dyDescent="0.3">
      <c r="A3029" s="19" t="str">
        <f t="shared" si="95"/>
        <v/>
      </c>
      <c r="L3029" s="21" t="str">
        <f>IF(J3029&lt;&gt;"",VLOOKUP(J3029,HeadCount!A:I,5,0),"")</f>
        <v/>
      </c>
      <c r="P3029" s="19" t="str">
        <f t="shared" si="96"/>
        <v/>
      </c>
    </row>
    <row r="3030" spans="1:16" x14ac:dyDescent="0.3">
      <c r="A3030" s="19" t="str">
        <f t="shared" si="95"/>
        <v/>
      </c>
      <c r="L3030" s="21" t="str">
        <f>IF(J3030&lt;&gt;"",VLOOKUP(J3030,HeadCount!A:I,5,0),"")</f>
        <v/>
      </c>
      <c r="P3030" s="19" t="str">
        <f t="shared" si="96"/>
        <v/>
      </c>
    </row>
    <row r="3031" spans="1:16" x14ac:dyDescent="0.3">
      <c r="A3031" s="19" t="str">
        <f t="shared" si="95"/>
        <v/>
      </c>
      <c r="L3031" s="21" t="str">
        <f>IF(J3031&lt;&gt;"",VLOOKUP(J3031,HeadCount!A:I,5,0),"")</f>
        <v/>
      </c>
      <c r="P3031" s="19" t="str">
        <f t="shared" si="96"/>
        <v/>
      </c>
    </row>
    <row r="3032" spans="1:16" x14ac:dyDescent="0.3">
      <c r="A3032" s="19" t="str">
        <f t="shared" si="95"/>
        <v/>
      </c>
      <c r="L3032" s="21" t="str">
        <f>IF(J3032&lt;&gt;"",VLOOKUP(J3032,HeadCount!A:I,5,0),"")</f>
        <v/>
      </c>
      <c r="P3032" s="19" t="str">
        <f t="shared" si="96"/>
        <v/>
      </c>
    </row>
    <row r="3033" spans="1:16" x14ac:dyDescent="0.3">
      <c r="A3033" s="19" t="str">
        <f t="shared" si="95"/>
        <v/>
      </c>
      <c r="L3033" s="21" t="str">
        <f>IF(J3033&lt;&gt;"",VLOOKUP(J3033,HeadCount!A:I,5,0),"")</f>
        <v/>
      </c>
      <c r="P3033" s="19" t="str">
        <f t="shared" si="96"/>
        <v/>
      </c>
    </row>
    <row r="3034" spans="1:16" x14ac:dyDescent="0.3">
      <c r="A3034" s="19" t="str">
        <f t="shared" si="95"/>
        <v/>
      </c>
      <c r="L3034" s="21" t="str">
        <f>IF(J3034&lt;&gt;"",VLOOKUP(J3034,HeadCount!A:I,5,0),"")</f>
        <v/>
      </c>
      <c r="P3034" s="19" t="str">
        <f t="shared" si="96"/>
        <v/>
      </c>
    </row>
    <row r="3035" spans="1:16" x14ac:dyDescent="0.3">
      <c r="A3035" s="19" t="str">
        <f t="shared" si="95"/>
        <v/>
      </c>
      <c r="L3035" s="21" t="str">
        <f>IF(J3035&lt;&gt;"",VLOOKUP(J3035,HeadCount!A:I,5,0),"")</f>
        <v/>
      </c>
      <c r="P3035" s="19" t="str">
        <f t="shared" si="96"/>
        <v/>
      </c>
    </row>
    <row r="3036" spans="1:16" x14ac:dyDescent="0.3">
      <c r="A3036" s="19" t="str">
        <f t="shared" si="95"/>
        <v/>
      </c>
      <c r="L3036" s="21" t="str">
        <f>IF(J3036&lt;&gt;"",VLOOKUP(J3036,HeadCount!A:I,5,0),"")</f>
        <v/>
      </c>
      <c r="P3036" s="19" t="str">
        <f t="shared" si="96"/>
        <v/>
      </c>
    </row>
    <row r="3037" spans="1:16" x14ac:dyDescent="0.3">
      <c r="A3037" s="19" t="str">
        <f t="shared" si="95"/>
        <v/>
      </c>
      <c r="L3037" s="21" t="str">
        <f>IF(J3037&lt;&gt;"",VLOOKUP(J3037,HeadCount!A:I,5,0),"")</f>
        <v/>
      </c>
      <c r="P3037" s="19" t="str">
        <f t="shared" si="96"/>
        <v/>
      </c>
    </row>
    <row r="3038" spans="1:16" x14ac:dyDescent="0.3">
      <c r="A3038" s="19" t="str">
        <f t="shared" si="95"/>
        <v/>
      </c>
      <c r="L3038" s="21" t="str">
        <f>IF(J3038&lt;&gt;"",VLOOKUP(J3038,HeadCount!A:I,5,0),"")</f>
        <v/>
      </c>
      <c r="P3038" s="19" t="str">
        <f t="shared" si="96"/>
        <v/>
      </c>
    </row>
    <row r="3039" spans="1:16" x14ac:dyDescent="0.3">
      <c r="A3039" s="19" t="str">
        <f t="shared" si="95"/>
        <v/>
      </c>
      <c r="L3039" s="21" t="str">
        <f>IF(J3039&lt;&gt;"",VLOOKUP(J3039,HeadCount!A:I,5,0),"")</f>
        <v/>
      </c>
      <c r="P3039" s="19" t="str">
        <f t="shared" si="96"/>
        <v/>
      </c>
    </row>
    <row r="3040" spans="1:16" x14ac:dyDescent="0.3">
      <c r="A3040" s="19" t="str">
        <f t="shared" si="95"/>
        <v/>
      </c>
      <c r="L3040" s="21" t="str">
        <f>IF(J3040&lt;&gt;"",VLOOKUP(J3040,HeadCount!A:I,5,0),"")</f>
        <v/>
      </c>
      <c r="P3040" s="19" t="str">
        <f t="shared" si="96"/>
        <v/>
      </c>
    </row>
    <row r="3041" spans="1:16" x14ac:dyDescent="0.3">
      <c r="A3041" s="19" t="str">
        <f t="shared" si="95"/>
        <v/>
      </c>
      <c r="L3041" s="21" t="str">
        <f>IF(J3041&lt;&gt;"",VLOOKUP(J3041,HeadCount!A:I,5,0),"")</f>
        <v/>
      </c>
      <c r="P3041" s="19" t="str">
        <f t="shared" si="96"/>
        <v/>
      </c>
    </row>
    <row r="3042" spans="1:16" x14ac:dyDescent="0.3">
      <c r="A3042" s="19" t="str">
        <f t="shared" si="95"/>
        <v/>
      </c>
      <c r="L3042" s="21" t="str">
        <f>IF(J3042&lt;&gt;"",VLOOKUP(J3042,HeadCount!A:I,5,0),"")</f>
        <v/>
      </c>
      <c r="P3042" s="19" t="str">
        <f t="shared" si="96"/>
        <v/>
      </c>
    </row>
    <row r="3043" spans="1:16" x14ac:dyDescent="0.3">
      <c r="A3043" s="19" t="str">
        <f t="shared" si="95"/>
        <v/>
      </c>
      <c r="L3043" s="21" t="str">
        <f>IF(J3043&lt;&gt;"",VLOOKUP(J3043,HeadCount!A:I,5,0),"")</f>
        <v/>
      </c>
      <c r="P3043" s="19" t="str">
        <f t="shared" si="96"/>
        <v/>
      </c>
    </row>
    <row r="3044" spans="1:16" x14ac:dyDescent="0.3">
      <c r="A3044" s="19" t="str">
        <f t="shared" si="95"/>
        <v/>
      </c>
      <c r="L3044" s="21" t="str">
        <f>IF(J3044&lt;&gt;"",VLOOKUP(J3044,HeadCount!A:I,5,0),"")</f>
        <v/>
      </c>
      <c r="P3044" s="19" t="str">
        <f t="shared" si="96"/>
        <v/>
      </c>
    </row>
    <row r="3045" spans="1:16" x14ac:dyDescent="0.3">
      <c r="A3045" s="19" t="str">
        <f t="shared" si="95"/>
        <v/>
      </c>
      <c r="L3045" s="21" t="str">
        <f>IF(J3045&lt;&gt;"",VLOOKUP(J3045,HeadCount!A:I,5,0),"")</f>
        <v/>
      </c>
      <c r="P3045" s="19" t="str">
        <f t="shared" si="96"/>
        <v/>
      </c>
    </row>
    <row r="3046" spans="1:16" x14ac:dyDescent="0.3">
      <c r="A3046" s="19" t="str">
        <f t="shared" si="95"/>
        <v/>
      </c>
      <c r="L3046" s="21" t="str">
        <f>IF(J3046&lt;&gt;"",VLOOKUP(J3046,HeadCount!A:I,5,0),"")</f>
        <v/>
      </c>
      <c r="P3046" s="19" t="str">
        <f t="shared" si="96"/>
        <v/>
      </c>
    </row>
    <row r="3047" spans="1:16" x14ac:dyDescent="0.3">
      <c r="A3047" s="19" t="str">
        <f t="shared" si="95"/>
        <v/>
      </c>
      <c r="L3047" s="21" t="str">
        <f>IF(J3047&lt;&gt;"",VLOOKUP(J3047,HeadCount!A:I,5,0),"")</f>
        <v/>
      </c>
      <c r="P3047" s="19" t="str">
        <f t="shared" si="96"/>
        <v/>
      </c>
    </row>
    <row r="3048" spans="1:16" x14ac:dyDescent="0.3">
      <c r="A3048" s="19" t="str">
        <f t="shared" si="95"/>
        <v/>
      </c>
      <c r="L3048" s="21" t="str">
        <f>IF(J3048&lt;&gt;"",VLOOKUP(J3048,HeadCount!A:I,5,0),"")</f>
        <v/>
      </c>
      <c r="P3048" s="19" t="str">
        <f t="shared" si="96"/>
        <v/>
      </c>
    </row>
    <row r="3049" spans="1:16" x14ac:dyDescent="0.3">
      <c r="A3049" s="19" t="str">
        <f t="shared" si="95"/>
        <v/>
      </c>
      <c r="L3049" s="21" t="str">
        <f>IF(J3049&lt;&gt;"",VLOOKUP(J3049,HeadCount!A:I,5,0),"")</f>
        <v/>
      </c>
      <c r="P3049" s="19" t="str">
        <f t="shared" si="96"/>
        <v/>
      </c>
    </row>
    <row r="3050" spans="1:16" x14ac:dyDescent="0.3">
      <c r="A3050" s="19" t="str">
        <f t="shared" si="95"/>
        <v/>
      </c>
      <c r="L3050" s="21" t="str">
        <f>IF(J3050&lt;&gt;"",VLOOKUP(J3050,HeadCount!A:I,5,0),"")</f>
        <v/>
      </c>
      <c r="P3050" s="19" t="str">
        <f t="shared" si="96"/>
        <v/>
      </c>
    </row>
    <row r="3051" spans="1:16" x14ac:dyDescent="0.3">
      <c r="A3051" s="19" t="str">
        <f t="shared" si="95"/>
        <v/>
      </c>
      <c r="L3051" s="21" t="str">
        <f>IF(J3051&lt;&gt;"",VLOOKUP(J3051,HeadCount!A:I,5,0),"")</f>
        <v/>
      </c>
      <c r="P3051" s="19" t="str">
        <f t="shared" si="96"/>
        <v/>
      </c>
    </row>
    <row r="3052" spans="1:16" x14ac:dyDescent="0.3">
      <c r="A3052" s="19" t="str">
        <f t="shared" si="95"/>
        <v/>
      </c>
      <c r="L3052" s="21" t="str">
        <f>IF(J3052&lt;&gt;"",VLOOKUP(J3052,HeadCount!A:I,5,0),"")</f>
        <v/>
      </c>
      <c r="P3052" s="19" t="str">
        <f t="shared" si="96"/>
        <v/>
      </c>
    </row>
    <row r="3053" spans="1:16" x14ac:dyDescent="0.3">
      <c r="A3053" s="19" t="str">
        <f t="shared" si="95"/>
        <v/>
      </c>
      <c r="L3053" s="21" t="str">
        <f>IF(J3053&lt;&gt;"",VLOOKUP(J3053,HeadCount!A:I,5,0),"")</f>
        <v/>
      </c>
      <c r="P3053" s="19" t="str">
        <f t="shared" si="96"/>
        <v/>
      </c>
    </row>
    <row r="3054" spans="1:16" x14ac:dyDescent="0.3">
      <c r="A3054" s="19" t="str">
        <f t="shared" si="95"/>
        <v/>
      </c>
      <c r="L3054" s="21" t="str">
        <f>IF(J3054&lt;&gt;"",VLOOKUP(J3054,HeadCount!A:I,5,0),"")</f>
        <v/>
      </c>
      <c r="P3054" s="19" t="str">
        <f t="shared" si="96"/>
        <v/>
      </c>
    </row>
    <row r="3055" spans="1:16" x14ac:dyDescent="0.3">
      <c r="A3055" s="19" t="str">
        <f t="shared" si="95"/>
        <v/>
      </c>
      <c r="L3055" s="21" t="str">
        <f>IF(J3055&lt;&gt;"",VLOOKUP(J3055,HeadCount!A:I,5,0),"")</f>
        <v/>
      </c>
      <c r="P3055" s="19" t="str">
        <f t="shared" si="96"/>
        <v/>
      </c>
    </row>
    <row r="3056" spans="1:16" x14ac:dyDescent="0.3">
      <c r="A3056" s="19" t="str">
        <f t="shared" si="95"/>
        <v/>
      </c>
      <c r="L3056" s="21" t="str">
        <f>IF(J3056&lt;&gt;"",VLOOKUP(J3056,HeadCount!A:I,5,0),"")</f>
        <v/>
      </c>
      <c r="P3056" s="19" t="str">
        <f t="shared" si="96"/>
        <v/>
      </c>
    </row>
    <row r="3057" spans="1:16" x14ac:dyDescent="0.3">
      <c r="A3057" s="19" t="str">
        <f t="shared" si="95"/>
        <v/>
      </c>
      <c r="L3057" s="21" t="str">
        <f>IF(J3057&lt;&gt;"",VLOOKUP(J3057,HeadCount!A:I,5,0),"")</f>
        <v/>
      </c>
      <c r="P3057" s="19" t="str">
        <f t="shared" si="96"/>
        <v/>
      </c>
    </row>
    <row r="3058" spans="1:16" x14ac:dyDescent="0.3">
      <c r="A3058" s="19" t="str">
        <f t="shared" si="95"/>
        <v/>
      </c>
      <c r="L3058" s="21" t="str">
        <f>IF(J3058&lt;&gt;"",VLOOKUP(J3058,HeadCount!A:I,5,0),"")</f>
        <v/>
      </c>
      <c r="P3058" s="19" t="str">
        <f t="shared" si="96"/>
        <v/>
      </c>
    </row>
    <row r="3059" spans="1:16" x14ac:dyDescent="0.3">
      <c r="A3059" s="19" t="str">
        <f t="shared" si="95"/>
        <v/>
      </c>
      <c r="L3059" s="21" t="str">
        <f>IF(J3059&lt;&gt;"",VLOOKUP(J3059,HeadCount!A:I,5,0),"")</f>
        <v/>
      </c>
      <c r="P3059" s="19" t="str">
        <f t="shared" si="96"/>
        <v/>
      </c>
    </row>
    <row r="3060" spans="1:16" x14ac:dyDescent="0.3">
      <c r="A3060" s="19" t="str">
        <f t="shared" si="95"/>
        <v/>
      </c>
      <c r="L3060" s="21" t="str">
        <f>IF(J3060&lt;&gt;"",VLOOKUP(J3060,HeadCount!A:I,5,0),"")</f>
        <v/>
      </c>
      <c r="P3060" s="19" t="str">
        <f t="shared" si="96"/>
        <v/>
      </c>
    </row>
    <row r="3061" spans="1:16" x14ac:dyDescent="0.3">
      <c r="A3061" s="19" t="str">
        <f t="shared" si="95"/>
        <v/>
      </c>
      <c r="L3061" s="21" t="str">
        <f>IF(J3061&lt;&gt;"",VLOOKUP(J3061,HeadCount!A:I,5,0),"")</f>
        <v/>
      </c>
      <c r="P3061" s="19" t="str">
        <f t="shared" si="96"/>
        <v/>
      </c>
    </row>
    <row r="3062" spans="1:16" x14ac:dyDescent="0.3">
      <c r="A3062" s="19" t="str">
        <f t="shared" si="95"/>
        <v/>
      </c>
      <c r="L3062" s="21" t="str">
        <f>IF(J3062&lt;&gt;"",VLOOKUP(J3062,HeadCount!A:I,5,0),"")</f>
        <v/>
      </c>
      <c r="P3062" s="19" t="str">
        <f t="shared" si="96"/>
        <v/>
      </c>
    </row>
    <row r="3063" spans="1:16" x14ac:dyDescent="0.3">
      <c r="A3063" s="19" t="str">
        <f t="shared" si="95"/>
        <v/>
      </c>
      <c r="L3063" s="21" t="str">
        <f>IF(J3063&lt;&gt;"",VLOOKUP(J3063,HeadCount!A:I,5,0),"")</f>
        <v/>
      </c>
      <c r="P3063" s="19" t="str">
        <f t="shared" si="96"/>
        <v/>
      </c>
    </row>
    <row r="3064" spans="1:16" x14ac:dyDescent="0.3">
      <c r="A3064" s="19" t="str">
        <f t="shared" si="95"/>
        <v/>
      </c>
      <c r="L3064" s="21" t="str">
        <f>IF(J3064&lt;&gt;"",VLOOKUP(J3064,HeadCount!A:I,5,0),"")</f>
        <v/>
      </c>
      <c r="P3064" s="19" t="str">
        <f t="shared" si="96"/>
        <v/>
      </c>
    </row>
    <row r="3065" spans="1:16" x14ac:dyDescent="0.3">
      <c r="A3065" s="19" t="str">
        <f t="shared" si="95"/>
        <v/>
      </c>
      <c r="L3065" s="21" t="str">
        <f>IF(J3065&lt;&gt;"",VLOOKUP(J3065,HeadCount!A:I,5,0),"")</f>
        <v/>
      </c>
      <c r="P3065" s="19" t="str">
        <f t="shared" si="96"/>
        <v/>
      </c>
    </row>
    <row r="3066" spans="1:16" x14ac:dyDescent="0.3">
      <c r="A3066" s="19" t="str">
        <f t="shared" si="95"/>
        <v/>
      </c>
      <c r="L3066" s="21" t="str">
        <f>IF(J3066&lt;&gt;"",VLOOKUP(J3066,HeadCount!A:I,5,0),"")</f>
        <v/>
      </c>
      <c r="P3066" s="19" t="str">
        <f t="shared" si="96"/>
        <v/>
      </c>
    </row>
    <row r="3067" spans="1:16" x14ac:dyDescent="0.3">
      <c r="A3067" s="19" t="str">
        <f t="shared" si="95"/>
        <v/>
      </c>
      <c r="L3067" s="21" t="str">
        <f>IF(J3067&lt;&gt;"",VLOOKUP(J3067,HeadCount!A:I,5,0),"")</f>
        <v/>
      </c>
      <c r="P3067" s="19" t="str">
        <f t="shared" si="96"/>
        <v/>
      </c>
    </row>
    <row r="3068" spans="1:16" x14ac:dyDescent="0.3">
      <c r="A3068" s="19" t="str">
        <f t="shared" si="95"/>
        <v/>
      </c>
      <c r="L3068" s="21" t="str">
        <f>IF(J3068&lt;&gt;"",VLOOKUP(J3068,HeadCount!A:I,5,0),"")</f>
        <v/>
      </c>
      <c r="P3068" s="19" t="str">
        <f t="shared" si="96"/>
        <v/>
      </c>
    </row>
    <row r="3069" spans="1:16" x14ac:dyDescent="0.3">
      <c r="A3069" s="19" t="str">
        <f t="shared" si="95"/>
        <v/>
      </c>
      <c r="L3069" s="21" t="str">
        <f>IF(J3069&lt;&gt;"",VLOOKUP(J3069,HeadCount!A:I,5,0),"")</f>
        <v/>
      </c>
      <c r="P3069" s="19" t="str">
        <f t="shared" si="96"/>
        <v/>
      </c>
    </row>
    <row r="3070" spans="1:16" x14ac:dyDescent="0.3">
      <c r="A3070" s="19" t="str">
        <f t="shared" si="95"/>
        <v/>
      </c>
      <c r="L3070" s="21" t="str">
        <f>IF(J3070&lt;&gt;"",VLOOKUP(J3070,HeadCount!A:I,5,0),"")</f>
        <v/>
      </c>
      <c r="P3070" s="19" t="str">
        <f t="shared" si="96"/>
        <v/>
      </c>
    </row>
    <row r="3071" spans="1:16" x14ac:dyDescent="0.3">
      <c r="A3071" s="19" t="str">
        <f t="shared" si="95"/>
        <v/>
      </c>
      <c r="L3071" s="21" t="str">
        <f>IF(J3071&lt;&gt;"",VLOOKUP(J3071,HeadCount!A:I,5,0),"")</f>
        <v/>
      </c>
      <c r="P3071" s="19" t="str">
        <f t="shared" si="96"/>
        <v/>
      </c>
    </row>
    <row r="3072" spans="1:16" x14ac:dyDescent="0.3">
      <c r="A3072" s="19" t="str">
        <f t="shared" si="95"/>
        <v/>
      </c>
      <c r="L3072" s="21" t="str">
        <f>IF(J3072&lt;&gt;"",VLOOKUP(J3072,HeadCount!A:I,5,0),"")</f>
        <v/>
      </c>
      <c r="P3072" s="19" t="str">
        <f t="shared" si="96"/>
        <v/>
      </c>
    </row>
    <row r="3073" spans="1:16" x14ac:dyDescent="0.3">
      <c r="A3073" s="19" t="str">
        <f t="shared" si="95"/>
        <v/>
      </c>
      <c r="L3073" s="21" t="str">
        <f>IF(J3073&lt;&gt;"",VLOOKUP(J3073,HeadCount!A:I,5,0),"")</f>
        <v/>
      </c>
      <c r="P3073" s="19" t="str">
        <f t="shared" si="96"/>
        <v/>
      </c>
    </row>
    <row r="3074" spans="1:16" x14ac:dyDescent="0.3">
      <c r="A3074" s="19" t="str">
        <f t="shared" ref="A3074:A3137" si="97">IF(C3074&lt;&gt;"",ROW(A3073),"")</f>
        <v/>
      </c>
      <c r="L3074" s="21" t="str">
        <f>IF(J3074&lt;&gt;"",VLOOKUP(J3074,HeadCount!A:I,5,0),"")</f>
        <v/>
      </c>
      <c r="P3074" s="19" t="str">
        <f t="shared" si="96"/>
        <v/>
      </c>
    </row>
    <row r="3075" spans="1:16" x14ac:dyDescent="0.3">
      <c r="A3075" s="19" t="str">
        <f t="shared" si="97"/>
        <v/>
      </c>
      <c r="L3075" s="21" t="str">
        <f>IF(J3075&lt;&gt;"",VLOOKUP(J3075,HeadCount!A:I,5,0),"")</f>
        <v/>
      </c>
      <c r="P3075" s="19" t="str">
        <f t="shared" ref="P3075:P3138" si="98">IF(N3075="","",(O3075-N3075)+1)</f>
        <v/>
      </c>
    </row>
    <row r="3076" spans="1:16" x14ac:dyDescent="0.3">
      <c r="A3076" s="19" t="str">
        <f t="shared" si="97"/>
        <v/>
      </c>
      <c r="L3076" s="21" t="str">
        <f>IF(J3076&lt;&gt;"",VLOOKUP(J3076,HeadCount!A:I,5,0),"")</f>
        <v/>
      </c>
      <c r="P3076" s="19" t="str">
        <f t="shared" si="98"/>
        <v/>
      </c>
    </row>
    <row r="3077" spans="1:16" x14ac:dyDescent="0.3">
      <c r="A3077" s="19" t="str">
        <f t="shared" si="97"/>
        <v/>
      </c>
      <c r="L3077" s="21" t="str">
        <f>IF(J3077&lt;&gt;"",VLOOKUP(J3077,HeadCount!A:I,5,0),"")</f>
        <v/>
      </c>
      <c r="P3077" s="19" t="str">
        <f t="shared" si="98"/>
        <v/>
      </c>
    </row>
    <row r="3078" spans="1:16" x14ac:dyDescent="0.3">
      <c r="A3078" s="19" t="str">
        <f t="shared" si="97"/>
        <v/>
      </c>
      <c r="L3078" s="21" t="str">
        <f>IF(J3078&lt;&gt;"",VLOOKUP(J3078,HeadCount!A:I,5,0),"")</f>
        <v/>
      </c>
      <c r="P3078" s="19" t="str">
        <f t="shared" si="98"/>
        <v/>
      </c>
    </row>
    <row r="3079" spans="1:16" x14ac:dyDescent="0.3">
      <c r="A3079" s="19" t="str">
        <f t="shared" si="97"/>
        <v/>
      </c>
      <c r="L3079" s="21" t="str">
        <f>IF(J3079&lt;&gt;"",VLOOKUP(J3079,HeadCount!A:I,5,0),"")</f>
        <v/>
      </c>
      <c r="P3079" s="19" t="str">
        <f t="shared" si="98"/>
        <v/>
      </c>
    </row>
    <row r="3080" spans="1:16" x14ac:dyDescent="0.3">
      <c r="A3080" s="19" t="str">
        <f t="shared" si="97"/>
        <v/>
      </c>
      <c r="L3080" s="21" t="str">
        <f>IF(J3080&lt;&gt;"",VLOOKUP(J3080,HeadCount!A:I,5,0),"")</f>
        <v/>
      </c>
      <c r="P3080" s="19" t="str">
        <f t="shared" si="98"/>
        <v/>
      </c>
    </row>
    <row r="3081" spans="1:16" x14ac:dyDescent="0.3">
      <c r="A3081" s="19" t="str">
        <f t="shared" si="97"/>
        <v/>
      </c>
      <c r="L3081" s="21" t="str">
        <f>IF(J3081&lt;&gt;"",VLOOKUP(J3081,HeadCount!A:I,5,0),"")</f>
        <v/>
      </c>
      <c r="P3081" s="19" t="str">
        <f t="shared" si="98"/>
        <v/>
      </c>
    </row>
    <row r="3082" spans="1:16" x14ac:dyDescent="0.3">
      <c r="A3082" s="19" t="str">
        <f t="shared" si="97"/>
        <v/>
      </c>
      <c r="L3082" s="21" t="str">
        <f>IF(J3082&lt;&gt;"",VLOOKUP(J3082,HeadCount!A:I,5,0),"")</f>
        <v/>
      </c>
      <c r="P3082" s="19" t="str">
        <f t="shared" si="98"/>
        <v/>
      </c>
    </row>
    <row r="3083" spans="1:16" x14ac:dyDescent="0.3">
      <c r="A3083" s="19" t="str">
        <f t="shared" si="97"/>
        <v/>
      </c>
      <c r="L3083" s="21" t="str">
        <f>IF(J3083&lt;&gt;"",VLOOKUP(J3083,HeadCount!A:I,5,0),"")</f>
        <v/>
      </c>
      <c r="P3083" s="19" t="str">
        <f t="shared" si="98"/>
        <v/>
      </c>
    </row>
    <row r="3084" spans="1:16" x14ac:dyDescent="0.3">
      <c r="A3084" s="19" t="str">
        <f t="shared" si="97"/>
        <v/>
      </c>
      <c r="L3084" s="21" t="str">
        <f>IF(J3084&lt;&gt;"",VLOOKUP(J3084,HeadCount!A:I,5,0),"")</f>
        <v/>
      </c>
      <c r="P3084" s="19" t="str">
        <f t="shared" si="98"/>
        <v/>
      </c>
    </row>
    <row r="3085" spans="1:16" x14ac:dyDescent="0.3">
      <c r="A3085" s="19" t="str">
        <f t="shared" si="97"/>
        <v/>
      </c>
      <c r="L3085" s="21" t="str">
        <f>IF(J3085&lt;&gt;"",VLOOKUP(J3085,HeadCount!A:I,5,0),"")</f>
        <v/>
      </c>
      <c r="P3085" s="19" t="str">
        <f t="shared" si="98"/>
        <v/>
      </c>
    </row>
    <row r="3086" spans="1:16" x14ac:dyDescent="0.3">
      <c r="A3086" s="19" t="str">
        <f t="shared" si="97"/>
        <v/>
      </c>
      <c r="L3086" s="21" t="str">
        <f>IF(J3086&lt;&gt;"",VLOOKUP(J3086,HeadCount!A:I,5,0),"")</f>
        <v/>
      </c>
      <c r="P3086" s="19" t="str">
        <f t="shared" si="98"/>
        <v/>
      </c>
    </row>
    <row r="3087" spans="1:16" x14ac:dyDescent="0.3">
      <c r="A3087" s="19" t="str">
        <f t="shared" si="97"/>
        <v/>
      </c>
      <c r="L3087" s="21" t="str">
        <f>IF(J3087&lt;&gt;"",VLOOKUP(J3087,HeadCount!A:I,5,0),"")</f>
        <v/>
      </c>
      <c r="P3087" s="19" t="str">
        <f t="shared" si="98"/>
        <v/>
      </c>
    </row>
    <row r="3088" spans="1:16" x14ac:dyDescent="0.3">
      <c r="A3088" s="19" t="str">
        <f t="shared" si="97"/>
        <v/>
      </c>
      <c r="L3088" s="21" t="str">
        <f>IF(J3088&lt;&gt;"",VLOOKUP(J3088,HeadCount!A:I,5,0),"")</f>
        <v/>
      </c>
      <c r="P3088" s="19" t="str">
        <f t="shared" si="98"/>
        <v/>
      </c>
    </row>
    <row r="3089" spans="1:16" x14ac:dyDescent="0.3">
      <c r="A3089" s="19" t="str">
        <f t="shared" si="97"/>
        <v/>
      </c>
      <c r="L3089" s="21" t="str">
        <f>IF(J3089&lt;&gt;"",VLOOKUP(J3089,HeadCount!A:I,5,0),"")</f>
        <v/>
      </c>
      <c r="P3089" s="19" t="str">
        <f t="shared" si="98"/>
        <v/>
      </c>
    </row>
    <row r="3090" spans="1:16" x14ac:dyDescent="0.3">
      <c r="A3090" s="19" t="str">
        <f t="shared" si="97"/>
        <v/>
      </c>
      <c r="L3090" s="21" t="str">
        <f>IF(J3090&lt;&gt;"",VLOOKUP(J3090,HeadCount!A:I,5,0),"")</f>
        <v/>
      </c>
      <c r="P3090" s="19" t="str">
        <f t="shared" si="98"/>
        <v/>
      </c>
    </row>
    <row r="3091" spans="1:16" x14ac:dyDescent="0.3">
      <c r="A3091" s="19" t="str">
        <f t="shared" si="97"/>
        <v/>
      </c>
      <c r="L3091" s="21" t="str">
        <f>IF(J3091&lt;&gt;"",VLOOKUP(J3091,HeadCount!A:I,5,0),"")</f>
        <v/>
      </c>
      <c r="P3091" s="19" t="str">
        <f t="shared" si="98"/>
        <v/>
      </c>
    </row>
    <row r="3092" spans="1:16" x14ac:dyDescent="0.3">
      <c r="A3092" s="19" t="str">
        <f t="shared" si="97"/>
        <v/>
      </c>
      <c r="L3092" s="21" t="str">
        <f>IF(J3092&lt;&gt;"",VLOOKUP(J3092,HeadCount!A:I,5,0),"")</f>
        <v/>
      </c>
      <c r="P3092" s="19" t="str">
        <f t="shared" si="98"/>
        <v/>
      </c>
    </row>
    <row r="3093" spans="1:16" x14ac:dyDescent="0.3">
      <c r="A3093" s="19" t="str">
        <f t="shared" si="97"/>
        <v/>
      </c>
      <c r="L3093" s="21" t="str">
        <f>IF(J3093&lt;&gt;"",VLOOKUP(J3093,HeadCount!A:I,5,0),"")</f>
        <v/>
      </c>
      <c r="P3093" s="19" t="str">
        <f t="shared" si="98"/>
        <v/>
      </c>
    </row>
    <row r="3094" spans="1:16" x14ac:dyDescent="0.3">
      <c r="A3094" s="19" t="str">
        <f t="shared" si="97"/>
        <v/>
      </c>
      <c r="L3094" s="21" t="str">
        <f>IF(J3094&lt;&gt;"",VLOOKUP(J3094,HeadCount!A:I,5,0),"")</f>
        <v/>
      </c>
      <c r="P3094" s="19" t="str">
        <f t="shared" si="98"/>
        <v/>
      </c>
    </row>
    <row r="3095" spans="1:16" x14ac:dyDescent="0.3">
      <c r="A3095" s="19" t="str">
        <f t="shared" si="97"/>
        <v/>
      </c>
      <c r="L3095" s="21" t="str">
        <f>IF(J3095&lt;&gt;"",VLOOKUP(J3095,HeadCount!A:I,5,0),"")</f>
        <v/>
      </c>
      <c r="P3095" s="19" t="str">
        <f t="shared" si="98"/>
        <v/>
      </c>
    </row>
    <row r="3096" spans="1:16" x14ac:dyDescent="0.3">
      <c r="A3096" s="19" t="str">
        <f t="shared" si="97"/>
        <v/>
      </c>
      <c r="L3096" s="21" t="str">
        <f>IF(J3096&lt;&gt;"",VLOOKUP(J3096,HeadCount!A:I,5,0),"")</f>
        <v/>
      </c>
      <c r="P3096" s="19" t="str">
        <f t="shared" si="98"/>
        <v/>
      </c>
    </row>
    <row r="3097" spans="1:16" x14ac:dyDescent="0.3">
      <c r="A3097" s="19" t="str">
        <f t="shared" si="97"/>
        <v/>
      </c>
      <c r="L3097" s="21" t="str">
        <f>IF(J3097&lt;&gt;"",VLOOKUP(J3097,HeadCount!A:I,5,0),"")</f>
        <v/>
      </c>
      <c r="P3097" s="19" t="str">
        <f t="shared" si="98"/>
        <v/>
      </c>
    </row>
    <row r="3098" spans="1:16" x14ac:dyDescent="0.3">
      <c r="A3098" s="19" t="str">
        <f t="shared" si="97"/>
        <v/>
      </c>
      <c r="L3098" s="21" t="str">
        <f>IF(J3098&lt;&gt;"",VLOOKUP(J3098,HeadCount!A:I,5,0),"")</f>
        <v/>
      </c>
      <c r="P3098" s="19" t="str">
        <f t="shared" si="98"/>
        <v/>
      </c>
    </row>
    <row r="3099" spans="1:16" x14ac:dyDescent="0.3">
      <c r="A3099" s="19" t="str">
        <f t="shared" si="97"/>
        <v/>
      </c>
      <c r="L3099" s="21" t="str">
        <f>IF(J3099&lt;&gt;"",VLOOKUP(J3099,HeadCount!A:I,5,0),"")</f>
        <v/>
      </c>
      <c r="P3099" s="19" t="str">
        <f t="shared" si="98"/>
        <v/>
      </c>
    </row>
    <row r="3100" spans="1:16" x14ac:dyDescent="0.3">
      <c r="A3100" s="19" t="str">
        <f t="shared" si="97"/>
        <v/>
      </c>
      <c r="L3100" s="21" t="str">
        <f>IF(J3100&lt;&gt;"",VLOOKUP(J3100,HeadCount!A:I,5,0),"")</f>
        <v/>
      </c>
      <c r="P3100" s="19" t="str">
        <f t="shared" si="98"/>
        <v/>
      </c>
    </row>
    <row r="3101" spans="1:16" x14ac:dyDescent="0.3">
      <c r="A3101" s="19" t="str">
        <f t="shared" si="97"/>
        <v/>
      </c>
      <c r="L3101" s="21" t="str">
        <f>IF(J3101&lt;&gt;"",VLOOKUP(J3101,HeadCount!A:I,5,0),"")</f>
        <v/>
      </c>
      <c r="P3101" s="19" t="str">
        <f t="shared" si="98"/>
        <v/>
      </c>
    </row>
    <row r="3102" spans="1:16" x14ac:dyDescent="0.3">
      <c r="A3102" s="19" t="str">
        <f t="shared" si="97"/>
        <v/>
      </c>
      <c r="L3102" s="21" t="str">
        <f>IF(J3102&lt;&gt;"",VLOOKUP(J3102,HeadCount!A:I,5,0),"")</f>
        <v/>
      </c>
      <c r="P3102" s="19" t="str">
        <f t="shared" si="98"/>
        <v/>
      </c>
    </row>
    <row r="3103" spans="1:16" x14ac:dyDescent="0.3">
      <c r="A3103" s="19" t="str">
        <f t="shared" si="97"/>
        <v/>
      </c>
      <c r="L3103" s="21" t="str">
        <f>IF(J3103&lt;&gt;"",VLOOKUP(J3103,HeadCount!A:I,5,0),"")</f>
        <v/>
      </c>
      <c r="P3103" s="19" t="str">
        <f t="shared" si="98"/>
        <v/>
      </c>
    </row>
    <row r="3104" spans="1:16" x14ac:dyDescent="0.3">
      <c r="A3104" s="19" t="str">
        <f t="shared" si="97"/>
        <v/>
      </c>
      <c r="L3104" s="21" t="str">
        <f>IF(J3104&lt;&gt;"",VLOOKUP(J3104,HeadCount!A:I,5,0),"")</f>
        <v/>
      </c>
      <c r="P3104" s="19" t="str">
        <f t="shared" si="98"/>
        <v/>
      </c>
    </row>
    <row r="3105" spans="1:16" x14ac:dyDescent="0.3">
      <c r="A3105" s="19" t="str">
        <f t="shared" si="97"/>
        <v/>
      </c>
      <c r="L3105" s="21" t="str">
        <f>IF(J3105&lt;&gt;"",VLOOKUP(J3105,HeadCount!A:I,5,0),"")</f>
        <v/>
      </c>
      <c r="P3105" s="19" t="str">
        <f t="shared" si="98"/>
        <v/>
      </c>
    </row>
    <row r="3106" spans="1:16" x14ac:dyDescent="0.3">
      <c r="A3106" s="19" t="str">
        <f t="shared" si="97"/>
        <v/>
      </c>
      <c r="L3106" s="21" t="str">
        <f>IF(J3106&lt;&gt;"",VLOOKUP(J3106,HeadCount!A:I,5,0),"")</f>
        <v/>
      </c>
      <c r="P3106" s="19" t="str">
        <f t="shared" si="98"/>
        <v/>
      </c>
    </row>
    <row r="3107" spans="1:16" x14ac:dyDescent="0.3">
      <c r="A3107" s="19" t="str">
        <f t="shared" si="97"/>
        <v/>
      </c>
      <c r="L3107" s="21" t="str">
        <f>IF(J3107&lt;&gt;"",VLOOKUP(J3107,HeadCount!A:I,5,0),"")</f>
        <v/>
      </c>
      <c r="P3107" s="19" t="str">
        <f t="shared" si="98"/>
        <v/>
      </c>
    </row>
    <row r="3108" spans="1:16" x14ac:dyDescent="0.3">
      <c r="A3108" s="19" t="str">
        <f t="shared" si="97"/>
        <v/>
      </c>
      <c r="L3108" s="21" t="str">
        <f>IF(J3108&lt;&gt;"",VLOOKUP(J3108,HeadCount!A:I,5,0),"")</f>
        <v/>
      </c>
      <c r="P3108" s="19" t="str">
        <f t="shared" si="98"/>
        <v/>
      </c>
    </row>
    <row r="3109" spans="1:16" x14ac:dyDescent="0.3">
      <c r="A3109" s="19" t="str">
        <f t="shared" si="97"/>
        <v/>
      </c>
      <c r="L3109" s="21" t="str">
        <f>IF(J3109&lt;&gt;"",VLOOKUP(J3109,HeadCount!A:I,5,0),"")</f>
        <v/>
      </c>
      <c r="P3109" s="19" t="str">
        <f t="shared" si="98"/>
        <v/>
      </c>
    </row>
    <row r="3110" spans="1:16" x14ac:dyDescent="0.3">
      <c r="A3110" s="19" t="str">
        <f t="shared" si="97"/>
        <v/>
      </c>
      <c r="L3110" s="21" t="str">
        <f>IF(J3110&lt;&gt;"",VLOOKUP(J3110,HeadCount!A:I,5,0),"")</f>
        <v/>
      </c>
      <c r="P3110" s="19" t="str">
        <f t="shared" si="98"/>
        <v/>
      </c>
    </row>
    <row r="3111" spans="1:16" x14ac:dyDescent="0.3">
      <c r="A3111" s="19" t="str">
        <f t="shared" si="97"/>
        <v/>
      </c>
      <c r="L3111" s="21" t="str">
        <f>IF(J3111&lt;&gt;"",VLOOKUP(J3111,HeadCount!A:I,5,0),"")</f>
        <v/>
      </c>
      <c r="P3111" s="19" t="str">
        <f t="shared" si="98"/>
        <v/>
      </c>
    </row>
    <row r="3112" spans="1:16" x14ac:dyDescent="0.3">
      <c r="A3112" s="19" t="str">
        <f t="shared" si="97"/>
        <v/>
      </c>
      <c r="L3112" s="21" t="str">
        <f>IF(J3112&lt;&gt;"",VLOOKUP(J3112,HeadCount!A:I,5,0),"")</f>
        <v/>
      </c>
      <c r="P3112" s="19" t="str">
        <f t="shared" si="98"/>
        <v/>
      </c>
    </row>
    <row r="3113" spans="1:16" x14ac:dyDescent="0.3">
      <c r="A3113" s="19" t="str">
        <f t="shared" si="97"/>
        <v/>
      </c>
      <c r="L3113" s="21" t="str">
        <f>IF(J3113&lt;&gt;"",VLOOKUP(J3113,HeadCount!A:I,5,0),"")</f>
        <v/>
      </c>
      <c r="P3113" s="19" t="str">
        <f t="shared" si="98"/>
        <v/>
      </c>
    </row>
    <row r="3114" spans="1:16" x14ac:dyDescent="0.3">
      <c r="A3114" s="19" t="str">
        <f t="shared" si="97"/>
        <v/>
      </c>
      <c r="L3114" s="21" t="str">
        <f>IF(J3114&lt;&gt;"",VLOOKUP(J3114,HeadCount!A:I,5,0),"")</f>
        <v/>
      </c>
      <c r="P3114" s="19" t="str">
        <f t="shared" si="98"/>
        <v/>
      </c>
    </row>
    <row r="3115" spans="1:16" x14ac:dyDescent="0.3">
      <c r="A3115" s="19" t="str">
        <f t="shared" si="97"/>
        <v/>
      </c>
      <c r="L3115" s="21" t="str">
        <f>IF(J3115&lt;&gt;"",VLOOKUP(J3115,HeadCount!A:I,5,0),"")</f>
        <v/>
      </c>
      <c r="P3115" s="19" t="str">
        <f t="shared" si="98"/>
        <v/>
      </c>
    </row>
    <row r="3116" spans="1:16" x14ac:dyDescent="0.3">
      <c r="A3116" s="19" t="str">
        <f t="shared" si="97"/>
        <v/>
      </c>
      <c r="L3116" s="21" t="str">
        <f>IF(J3116&lt;&gt;"",VLOOKUP(J3116,HeadCount!A:I,5,0),"")</f>
        <v/>
      </c>
      <c r="P3116" s="19" t="str">
        <f t="shared" si="98"/>
        <v/>
      </c>
    </row>
    <row r="3117" spans="1:16" x14ac:dyDescent="0.3">
      <c r="A3117" s="19" t="str">
        <f t="shared" si="97"/>
        <v/>
      </c>
      <c r="L3117" s="21" t="str">
        <f>IF(J3117&lt;&gt;"",VLOOKUP(J3117,HeadCount!A:I,5,0),"")</f>
        <v/>
      </c>
      <c r="P3117" s="19" t="str">
        <f t="shared" si="98"/>
        <v/>
      </c>
    </row>
    <row r="3118" spans="1:16" x14ac:dyDescent="0.3">
      <c r="A3118" s="19" t="str">
        <f t="shared" si="97"/>
        <v/>
      </c>
      <c r="L3118" s="21" t="str">
        <f>IF(J3118&lt;&gt;"",VLOOKUP(J3118,HeadCount!A:I,5,0),"")</f>
        <v/>
      </c>
      <c r="P3118" s="19" t="str">
        <f t="shared" si="98"/>
        <v/>
      </c>
    </row>
    <row r="3119" spans="1:16" x14ac:dyDescent="0.3">
      <c r="A3119" s="19" t="str">
        <f t="shared" si="97"/>
        <v/>
      </c>
      <c r="L3119" s="21" t="str">
        <f>IF(J3119&lt;&gt;"",VLOOKUP(J3119,HeadCount!A:I,5,0),"")</f>
        <v/>
      </c>
      <c r="P3119" s="19" t="str">
        <f t="shared" si="98"/>
        <v/>
      </c>
    </row>
    <row r="3120" spans="1:16" x14ac:dyDescent="0.3">
      <c r="A3120" s="19" t="str">
        <f t="shared" si="97"/>
        <v/>
      </c>
      <c r="L3120" s="21" t="str">
        <f>IF(J3120&lt;&gt;"",VLOOKUP(J3120,HeadCount!A:I,5,0),"")</f>
        <v/>
      </c>
      <c r="P3120" s="19" t="str">
        <f t="shared" si="98"/>
        <v/>
      </c>
    </row>
    <row r="3121" spans="1:16" x14ac:dyDescent="0.3">
      <c r="A3121" s="19" t="str">
        <f t="shared" si="97"/>
        <v/>
      </c>
      <c r="L3121" s="21" t="str">
        <f>IF(J3121&lt;&gt;"",VLOOKUP(J3121,HeadCount!A:I,5,0),"")</f>
        <v/>
      </c>
      <c r="P3121" s="19" t="str">
        <f t="shared" si="98"/>
        <v/>
      </c>
    </row>
    <row r="3122" spans="1:16" x14ac:dyDescent="0.3">
      <c r="A3122" s="19" t="str">
        <f t="shared" si="97"/>
        <v/>
      </c>
      <c r="L3122" s="21" t="str">
        <f>IF(J3122&lt;&gt;"",VLOOKUP(J3122,HeadCount!A:I,5,0),"")</f>
        <v/>
      </c>
      <c r="P3122" s="19" t="str">
        <f t="shared" si="98"/>
        <v/>
      </c>
    </row>
    <row r="3123" spans="1:16" x14ac:dyDescent="0.3">
      <c r="A3123" s="19" t="str">
        <f t="shared" si="97"/>
        <v/>
      </c>
      <c r="L3123" s="21" t="str">
        <f>IF(J3123&lt;&gt;"",VLOOKUP(J3123,HeadCount!A:I,5,0),"")</f>
        <v/>
      </c>
      <c r="P3123" s="19" t="str">
        <f t="shared" si="98"/>
        <v/>
      </c>
    </row>
    <row r="3124" spans="1:16" x14ac:dyDescent="0.3">
      <c r="A3124" s="19" t="str">
        <f t="shared" si="97"/>
        <v/>
      </c>
      <c r="L3124" s="21" t="str">
        <f>IF(J3124&lt;&gt;"",VLOOKUP(J3124,HeadCount!A:I,5,0),"")</f>
        <v/>
      </c>
      <c r="P3124" s="19" t="str">
        <f t="shared" si="98"/>
        <v/>
      </c>
    </row>
    <row r="3125" spans="1:16" x14ac:dyDescent="0.3">
      <c r="A3125" s="19" t="str">
        <f t="shared" si="97"/>
        <v/>
      </c>
      <c r="L3125" s="21" t="str">
        <f>IF(J3125&lt;&gt;"",VLOOKUP(J3125,HeadCount!A:I,5,0),"")</f>
        <v/>
      </c>
      <c r="P3125" s="19" t="str">
        <f t="shared" si="98"/>
        <v/>
      </c>
    </row>
    <row r="3126" spans="1:16" x14ac:dyDescent="0.3">
      <c r="A3126" s="19" t="str">
        <f t="shared" si="97"/>
        <v/>
      </c>
      <c r="L3126" s="21" t="str">
        <f>IF(J3126&lt;&gt;"",VLOOKUP(J3126,HeadCount!A:I,5,0),"")</f>
        <v/>
      </c>
      <c r="P3126" s="19" t="str">
        <f t="shared" si="98"/>
        <v/>
      </c>
    </row>
    <row r="3127" spans="1:16" x14ac:dyDescent="0.3">
      <c r="A3127" s="19" t="str">
        <f t="shared" si="97"/>
        <v/>
      </c>
      <c r="L3127" s="21" t="str">
        <f>IF(J3127&lt;&gt;"",VLOOKUP(J3127,HeadCount!A:I,5,0),"")</f>
        <v/>
      </c>
      <c r="P3127" s="19" t="str">
        <f t="shared" si="98"/>
        <v/>
      </c>
    </row>
    <row r="3128" spans="1:16" x14ac:dyDescent="0.3">
      <c r="A3128" s="19" t="str">
        <f t="shared" si="97"/>
        <v/>
      </c>
      <c r="L3128" s="21" t="str">
        <f>IF(J3128&lt;&gt;"",VLOOKUP(J3128,HeadCount!A:I,5,0),"")</f>
        <v/>
      </c>
      <c r="P3128" s="19" t="str">
        <f t="shared" si="98"/>
        <v/>
      </c>
    </row>
    <row r="3129" spans="1:16" x14ac:dyDescent="0.3">
      <c r="A3129" s="19" t="str">
        <f t="shared" si="97"/>
        <v/>
      </c>
      <c r="L3129" s="21" t="str">
        <f>IF(J3129&lt;&gt;"",VLOOKUP(J3129,HeadCount!A:I,5,0),"")</f>
        <v/>
      </c>
      <c r="P3129" s="19" t="str">
        <f t="shared" si="98"/>
        <v/>
      </c>
    </row>
    <row r="3130" spans="1:16" x14ac:dyDescent="0.3">
      <c r="A3130" s="19" t="str">
        <f t="shared" si="97"/>
        <v/>
      </c>
      <c r="L3130" s="21" t="str">
        <f>IF(J3130&lt;&gt;"",VLOOKUP(J3130,HeadCount!A:I,5,0),"")</f>
        <v/>
      </c>
      <c r="P3130" s="19" t="str">
        <f t="shared" si="98"/>
        <v/>
      </c>
    </row>
    <row r="3131" spans="1:16" x14ac:dyDescent="0.3">
      <c r="A3131" s="19" t="str">
        <f t="shared" si="97"/>
        <v/>
      </c>
      <c r="L3131" s="21" t="str">
        <f>IF(J3131&lt;&gt;"",VLOOKUP(J3131,HeadCount!A:I,5,0),"")</f>
        <v/>
      </c>
      <c r="P3131" s="19" t="str">
        <f t="shared" si="98"/>
        <v/>
      </c>
    </row>
    <row r="3132" spans="1:16" x14ac:dyDescent="0.3">
      <c r="A3132" s="19" t="str">
        <f t="shared" si="97"/>
        <v/>
      </c>
      <c r="L3132" s="21" t="str">
        <f>IF(J3132&lt;&gt;"",VLOOKUP(J3132,HeadCount!A:I,5,0),"")</f>
        <v/>
      </c>
      <c r="P3132" s="19" t="str">
        <f t="shared" si="98"/>
        <v/>
      </c>
    </row>
    <row r="3133" spans="1:16" x14ac:dyDescent="0.3">
      <c r="A3133" s="19" t="str">
        <f t="shared" si="97"/>
        <v/>
      </c>
      <c r="L3133" s="21" t="str">
        <f>IF(J3133&lt;&gt;"",VLOOKUP(J3133,HeadCount!A:I,5,0),"")</f>
        <v/>
      </c>
      <c r="P3133" s="19" t="str">
        <f t="shared" si="98"/>
        <v/>
      </c>
    </row>
    <row r="3134" spans="1:16" x14ac:dyDescent="0.3">
      <c r="A3134" s="19" t="str">
        <f t="shared" si="97"/>
        <v/>
      </c>
      <c r="L3134" s="21" t="str">
        <f>IF(J3134&lt;&gt;"",VLOOKUP(J3134,HeadCount!A:I,5,0),"")</f>
        <v/>
      </c>
      <c r="P3134" s="19" t="str">
        <f t="shared" si="98"/>
        <v/>
      </c>
    </row>
    <row r="3135" spans="1:16" x14ac:dyDescent="0.3">
      <c r="A3135" s="19" t="str">
        <f t="shared" si="97"/>
        <v/>
      </c>
      <c r="L3135" s="21" t="str">
        <f>IF(J3135&lt;&gt;"",VLOOKUP(J3135,HeadCount!A:I,5,0),"")</f>
        <v/>
      </c>
      <c r="P3135" s="19" t="str">
        <f t="shared" si="98"/>
        <v/>
      </c>
    </row>
    <row r="3136" spans="1:16" x14ac:dyDescent="0.3">
      <c r="A3136" s="19" t="str">
        <f t="shared" si="97"/>
        <v/>
      </c>
      <c r="L3136" s="21" t="str">
        <f>IF(J3136&lt;&gt;"",VLOOKUP(J3136,HeadCount!A:I,5,0),"")</f>
        <v/>
      </c>
      <c r="P3136" s="19" t="str">
        <f t="shared" si="98"/>
        <v/>
      </c>
    </row>
    <row r="3137" spans="1:16" x14ac:dyDescent="0.3">
      <c r="A3137" s="19" t="str">
        <f t="shared" si="97"/>
        <v/>
      </c>
      <c r="L3137" s="21" t="str">
        <f>IF(J3137&lt;&gt;"",VLOOKUP(J3137,HeadCount!A:I,5,0),"")</f>
        <v/>
      </c>
      <c r="P3137" s="19" t="str">
        <f t="shared" si="98"/>
        <v/>
      </c>
    </row>
    <row r="3138" spans="1:16" x14ac:dyDescent="0.3">
      <c r="A3138" s="19" t="str">
        <f t="shared" ref="A3138:A3201" si="99">IF(C3138&lt;&gt;"",ROW(A3137),"")</f>
        <v/>
      </c>
      <c r="L3138" s="21" t="str">
        <f>IF(J3138&lt;&gt;"",VLOOKUP(J3138,HeadCount!A:I,5,0),"")</f>
        <v/>
      </c>
      <c r="P3138" s="19" t="str">
        <f t="shared" si="98"/>
        <v/>
      </c>
    </row>
    <row r="3139" spans="1:16" x14ac:dyDescent="0.3">
      <c r="A3139" s="19" t="str">
        <f t="shared" si="99"/>
        <v/>
      </c>
      <c r="L3139" s="21" t="str">
        <f>IF(J3139&lt;&gt;"",VLOOKUP(J3139,HeadCount!A:I,5,0),"")</f>
        <v/>
      </c>
      <c r="P3139" s="19" t="str">
        <f t="shared" ref="P3139:P3202" si="100">IF(N3139="","",(O3139-N3139)+1)</f>
        <v/>
      </c>
    </row>
    <row r="3140" spans="1:16" x14ac:dyDescent="0.3">
      <c r="A3140" s="19" t="str">
        <f t="shared" si="99"/>
        <v/>
      </c>
      <c r="L3140" s="21" t="str">
        <f>IF(J3140&lt;&gt;"",VLOOKUP(J3140,HeadCount!A:I,5,0),"")</f>
        <v/>
      </c>
      <c r="P3140" s="19" t="str">
        <f t="shared" si="100"/>
        <v/>
      </c>
    </row>
    <row r="3141" spans="1:16" x14ac:dyDescent="0.3">
      <c r="A3141" s="19" t="str">
        <f t="shared" si="99"/>
        <v/>
      </c>
      <c r="L3141" s="21" t="str">
        <f>IF(J3141&lt;&gt;"",VLOOKUP(J3141,HeadCount!A:I,5,0),"")</f>
        <v/>
      </c>
      <c r="P3141" s="19" t="str">
        <f t="shared" si="100"/>
        <v/>
      </c>
    </row>
    <row r="3142" spans="1:16" x14ac:dyDescent="0.3">
      <c r="A3142" s="19" t="str">
        <f t="shared" si="99"/>
        <v/>
      </c>
      <c r="L3142" s="21" t="str">
        <f>IF(J3142&lt;&gt;"",VLOOKUP(J3142,HeadCount!A:I,5,0),"")</f>
        <v/>
      </c>
      <c r="P3142" s="19" t="str">
        <f t="shared" si="100"/>
        <v/>
      </c>
    </row>
    <row r="3143" spans="1:16" x14ac:dyDescent="0.3">
      <c r="A3143" s="19" t="str">
        <f t="shared" si="99"/>
        <v/>
      </c>
      <c r="L3143" s="21" t="str">
        <f>IF(J3143&lt;&gt;"",VLOOKUP(J3143,HeadCount!A:I,5,0),"")</f>
        <v/>
      </c>
      <c r="P3143" s="19" t="str">
        <f t="shared" si="100"/>
        <v/>
      </c>
    </row>
    <row r="3144" spans="1:16" x14ac:dyDescent="0.3">
      <c r="A3144" s="19" t="str">
        <f t="shared" si="99"/>
        <v/>
      </c>
      <c r="L3144" s="21" t="str">
        <f>IF(J3144&lt;&gt;"",VLOOKUP(J3144,HeadCount!A:I,5,0),"")</f>
        <v/>
      </c>
      <c r="P3144" s="19" t="str">
        <f t="shared" si="100"/>
        <v/>
      </c>
    </row>
    <row r="3145" spans="1:16" x14ac:dyDescent="0.3">
      <c r="A3145" s="19" t="str">
        <f t="shared" si="99"/>
        <v/>
      </c>
      <c r="L3145" s="21" t="str">
        <f>IF(J3145&lt;&gt;"",VLOOKUP(J3145,HeadCount!A:I,5,0),"")</f>
        <v/>
      </c>
      <c r="P3145" s="19" t="str">
        <f t="shared" si="100"/>
        <v/>
      </c>
    </row>
    <row r="3146" spans="1:16" x14ac:dyDescent="0.3">
      <c r="A3146" s="19" t="str">
        <f t="shared" si="99"/>
        <v/>
      </c>
      <c r="L3146" s="21" t="str">
        <f>IF(J3146&lt;&gt;"",VLOOKUP(J3146,HeadCount!A:I,5,0),"")</f>
        <v/>
      </c>
      <c r="P3146" s="19" t="str">
        <f t="shared" si="100"/>
        <v/>
      </c>
    </row>
    <row r="3147" spans="1:16" x14ac:dyDescent="0.3">
      <c r="A3147" s="19" t="str">
        <f t="shared" si="99"/>
        <v/>
      </c>
      <c r="L3147" s="21" t="str">
        <f>IF(J3147&lt;&gt;"",VLOOKUP(J3147,HeadCount!A:I,5,0),"")</f>
        <v/>
      </c>
      <c r="P3147" s="19" t="str">
        <f t="shared" si="100"/>
        <v/>
      </c>
    </row>
    <row r="3148" spans="1:16" x14ac:dyDescent="0.3">
      <c r="A3148" s="19" t="str">
        <f t="shared" si="99"/>
        <v/>
      </c>
      <c r="L3148" s="21" t="str">
        <f>IF(J3148&lt;&gt;"",VLOOKUP(J3148,HeadCount!A:I,5,0),"")</f>
        <v/>
      </c>
      <c r="P3148" s="19" t="str">
        <f t="shared" si="100"/>
        <v/>
      </c>
    </row>
    <row r="3149" spans="1:16" x14ac:dyDescent="0.3">
      <c r="A3149" s="19" t="str">
        <f t="shared" si="99"/>
        <v/>
      </c>
      <c r="L3149" s="21" t="str">
        <f>IF(J3149&lt;&gt;"",VLOOKUP(J3149,HeadCount!A:I,5,0),"")</f>
        <v/>
      </c>
      <c r="P3149" s="19" t="str">
        <f t="shared" si="100"/>
        <v/>
      </c>
    </row>
    <row r="3150" spans="1:16" x14ac:dyDescent="0.3">
      <c r="A3150" s="19" t="str">
        <f t="shared" si="99"/>
        <v/>
      </c>
      <c r="L3150" s="21" t="str">
        <f>IF(J3150&lt;&gt;"",VLOOKUP(J3150,HeadCount!A:I,5,0),"")</f>
        <v/>
      </c>
      <c r="P3150" s="19" t="str">
        <f t="shared" si="100"/>
        <v/>
      </c>
    </row>
    <row r="3151" spans="1:16" x14ac:dyDescent="0.3">
      <c r="A3151" s="19" t="str">
        <f t="shared" si="99"/>
        <v/>
      </c>
      <c r="L3151" s="21" t="str">
        <f>IF(J3151&lt;&gt;"",VLOOKUP(J3151,HeadCount!A:I,5,0),"")</f>
        <v/>
      </c>
      <c r="P3151" s="19" t="str">
        <f t="shared" si="100"/>
        <v/>
      </c>
    </row>
    <row r="3152" spans="1:16" x14ac:dyDescent="0.3">
      <c r="A3152" s="19" t="str">
        <f t="shared" si="99"/>
        <v/>
      </c>
      <c r="L3152" s="21" t="str">
        <f>IF(J3152&lt;&gt;"",VLOOKUP(J3152,HeadCount!A:I,5,0),"")</f>
        <v/>
      </c>
      <c r="P3152" s="19" t="str">
        <f t="shared" si="100"/>
        <v/>
      </c>
    </row>
    <row r="3153" spans="1:16" x14ac:dyDescent="0.3">
      <c r="A3153" s="19" t="str">
        <f t="shared" si="99"/>
        <v/>
      </c>
      <c r="L3153" s="21" t="str">
        <f>IF(J3153&lt;&gt;"",VLOOKUP(J3153,HeadCount!A:I,5,0),"")</f>
        <v/>
      </c>
      <c r="P3153" s="19" t="str">
        <f t="shared" si="100"/>
        <v/>
      </c>
    </row>
    <row r="3154" spans="1:16" x14ac:dyDescent="0.3">
      <c r="A3154" s="19" t="str">
        <f t="shared" si="99"/>
        <v/>
      </c>
      <c r="L3154" s="21" t="str">
        <f>IF(J3154&lt;&gt;"",VLOOKUP(J3154,HeadCount!A:I,5,0),"")</f>
        <v/>
      </c>
      <c r="P3154" s="19" t="str">
        <f t="shared" si="100"/>
        <v/>
      </c>
    </row>
    <row r="3155" spans="1:16" x14ac:dyDescent="0.3">
      <c r="A3155" s="19" t="str">
        <f t="shared" si="99"/>
        <v/>
      </c>
      <c r="L3155" s="21" t="str">
        <f>IF(J3155&lt;&gt;"",VLOOKUP(J3155,HeadCount!A:I,5,0),"")</f>
        <v/>
      </c>
      <c r="P3155" s="19" t="str">
        <f t="shared" si="100"/>
        <v/>
      </c>
    </row>
    <row r="3156" spans="1:16" x14ac:dyDescent="0.3">
      <c r="A3156" s="19" t="str">
        <f t="shared" si="99"/>
        <v/>
      </c>
      <c r="L3156" s="21" t="str">
        <f>IF(J3156&lt;&gt;"",VLOOKUP(J3156,HeadCount!A:I,5,0),"")</f>
        <v/>
      </c>
      <c r="P3156" s="19" t="str">
        <f t="shared" si="100"/>
        <v/>
      </c>
    </row>
    <row r="3157" spans="1:16" x14ac:dyDescent="0.3">
      <c r="A3157" s="19" t="str">
        <f t="shared" si="99"/>
        <v/>
      </c>
      <c r="L3157" s="21" t="str">
        <f>IF(J3157&lt;&gt;"",VLOOKUP(J3157,HeadCount!A:I,5,0),"")</f>
        <v/>
      </c>
      <c r="P3157" s="19" t="str">
        <f t="shared" si="100"/>
        <v/>
      </c>
    </row>
    <row r="3158" spans="1:16" x14ac:dyDescent="0.3">
      <c r="A3158" s="19" t="str">
        <f t="shared" si="99"/>
        <v/>
      </c>
      <c r="L3158" s="21" t="str">
        <f>IF(J3158&lt;&gt;"",VLOOKUP(J3158,HeadCount!A:I,5,0),"")</f>
        <v/>
      </c>
      <c r="P3158" s="19" t="str">
        <f t="shared" si="100"/>
        <v/>
      </c>
    </row>
    <row r="3159" spans="1:16" x14ac:dyDescent="0.3">
      <c r="A3159" s="19" t="str">
        <f t="shared" si="99"/>
        <v/>
      </c>
      <c r="L3159" s="21" t="str">
        <f>IF(J3159&lt;&gt;"",VLOOKUP(J3159,HeadCount!A:I,5,0),"")</f>
        <v/>
      </c>
      <c r="P3159" s="19" t="str">
        <f t="shared" si="100"/>
        <v/>
      </c>
    </row>
    <row r="3160" spans="1:16" x14ac:dyDescent="0.3">
      <c r="A3160" s="19" t="str">
        <f t="shared" si="99"/>
        <v/>
      </c>
      <c r="L3160" s="21" t="str">
        <f>IF(J3160&lt;&gt;"",VLOOKUP(J3160,HeadCount!A:I,5,0),"")</f>
        <v/>
      </c>
      <c r="P3160" s="19" t="str">
        <f t="shared" si="100"/>
        <v/>
      </c>
    </row>
    <row r="3161" spans="1:16" x14ac:dyDescent="0.3">
      <c r="A3161" s="19" t="str">
        <f t="shared" si="99"/>
        <v/>
      </c>
      <c r="L3161" s="21" t="str">
        <f>IF(J3161&lt;&gt;"",VLOOKUP(J3161,HeadCount!A:I,5,0),"")</f>
        <v/>
      </c>
      <c r="P3161" s="19" t="str">
        <f t="shared" si="100"/>
        <v/>
      </c>
    </row>
    <row r="3162" spans="1:16" x14ac:dyDescent="0.3">
      <c r="A3162" s="19" t="str">
        <f t="shared" si="99"/>
        <v/>
      </c>
      <c r="L3162" s="21" t="str">
        <f>IF(J3162&lt;&gt;"",VLOOKUP(J3162,HeadCount!A:I,5,0),"")</f>
        <v/>
      </c>
      <c r="P3162" s="19" t="str">
        <f t="shared" si="100"/>
        <v/>
      </c>
    </row>
    <row r="3163" spans="1:16" x14ac:dyDescent="0.3">
      <c r="A3163" s="19" t="str">
        <f t="shared" si="99"/>
        <v/>
      </c>
      <c r="L3163" s="21" t="str">
        <f>IF(J3163&lt;&gt;"",VLOOKUP(J3163,HeadCount!A:I,5,0),"")</f>
        <v/>
      </c>
      <c r="P3163" s="19" t="str">
        <f t="shared" si="100"/>
        <v/>
      </c>
    </row>
    <row r="3164" spans="1:16" x14ac:dyDescent="0.3">
      <c r="A3164" s="19" t="str">
        <f t="shared" si="99"/>
        <v/>
      </c>
      <c r="L3164" s="21" t="str">
        <f>IF(J3164&lt;&gt;"",VLOOKUP(J3164,HeadCount!A:I,5,0),"")</f>
        <v/>
      </c>
      <c r="P3164" s="19" t="str">
        <f t="shared" si="100"/>
        <v/>
      </c>
    </row>
    <row r="3165" spans="1:16" x14ac:dyDescent="0.3">
      <c r="A3165" s="19" t="str">
        <f t="shared" si="99"/>
        <v/>
      </c>
      <c r="L3165" s="21" t="str">
        <f>IF(J3165&lt;&gt;"",VLOOKUP(J3165,HeadCount!A:I,5,0),"")</f>
        <v/>
      </c>
      <c r="P3165" s="19" t="str">
        <f t="shared" si="100"/>
        <v/>
      </c>
    </row>
    <row r="3166" spans="1:16" x14ac:dyDescent="0.3">
      <c r="A3166" s="19" t="str">
        <f t="shared" si="99"/>
        <v/>
      </c>
      <c r="L3166" s="21" t="str">
        <f>IF(J3166&lt;&gt;"",VLOOKUP(J3166,HeadCount!A:I,5,0),"")</f>
        <v/>
      </c>
      <c r="P3166" s="19" t="str">
        <f t="shared" si="100"/>
        <v/>
      </c>
    </row>
    <row r="3167" spans="1:16" x14ac:dyDescent="0.3">
      <c r="A3167" s="19" t="str">
        <f t="shared" si="99"/>
        <v/>
      </c>
      <c r="L3167" s="21" t="str">
        <f>IF(J3167&lt;&gt;"",VLOOKUP(J3167,HeadCount!A:I,5,0),"")</f>
        <v/>
      </c>
      <c r="P3167" s="19" t="str">
        <f t="shared" si="100"/>
        <v/>
      </c>
    </row>
    <row r="3168" spans="1:16" x14ac:dyDescent="0.3">
      <c r="A3168" s="19" t="str">
        <f t="shared" si="99"/>
        <v/>
      </c>
      <c r="L3168" s="21" t="str">
        <f>IF(J3168&lt;&gt;"",VLOOKUP(J3168,HeadCount!A:I,5,0),"")</f>
        <v/>
      </c>
      <c r="P3168" s="19" t="str">
        <f t="shared" si="100"/>
        <v/>
      </c>
    </row>
    <row r="3169" spans="1:16" x14ac:dyDescent="0.3">
      <c r="A3169" s="19" t="str">
        <f t="shared" si="99"/>
        <v/>
      </c>
      <c r="L3169" s="21" t="str">
        <f>IF(J3169&lt;&gt;"",VLOOKUP(J3169,HeadCount!A:I,5,0),"")</f>
        <v/>
      </c>
      <c r="P3169" s="19" t="str">
        <f t="shared" si="100"/>
        <v/>
      </c>
    </row>
    <row r="3170" spans="1:16" x14ac:dyDescent="0.3">
      <c r="A3170" s="19" t="str">
        <f t="shared" si="99"/>
        <v/>
      </c>
      <c r="L3170" s="21" t="str">
        <f>IF(J3170&lt;&gt;"",VLOOKUP(J3170,HeadCount!A:I,5,0),"")</f>
        <v/>
      </c>
      <c r="P3170" s="19" t="str">
        <f t="shared" si="100"/>
        <v/>
      </c>
    </row>
    <row r="3171" spans="1:16" x14ac:dyDescent="0.3">
      <c r="A3171" s="19" t="str">
        <f t="shared" si="99"/>
        <v/>
      </c>
      <c r="L3171" s="21" t="str">
        <f>IF(J3171&lt;&gt;"",VLOOKUP(J3171,HeadCount!A:I,5,0),"")</f>
        <v/>
      </c>
      <c r="P3171" s="19" t="str">
        <f t="shared" si="100"/>
        <v/>
      </c>
    </row>
    <row r="3172" spans="1:16" x14ac:dyDescent="0.3">
      <c r="A3172" s="19" t="str">
        <f t="shared" si="99"/>
        <v/>
      </c>
      <c r="L3172" s="21" t="str">
        <f>IF(J3172&lt;&gt;"",VLOOKUP(J3172,HeadCount!A:I,5,0),"")</f>
        <v/>
      </c>
      <c r="P3172" s="19" t="str">
        <f t="shared" si="100"/>
        <v/>
      </c>
    </row>
    <row r="3173" spans="1:16" x14ac:dyDescent="0.3">
      <c r="A3173" s="19" t="str">
        <f t="shared" si="99"/>
        <v/>
      </c>
      <c r="L3173" s="21" t="str">
        <f>IF(J3173&lt;&gt;"",VLOOKUP(J3173,HeadCount!A:I,5,0),"")</f>
        <v/>
      </c>
      <c r="P3173" s="19" t="str">
        <f t="shared" si="100"/>
        <v/>
      </c>
    </row>
    <row r="3174" spans="1:16" x14ac:dyDescent="0.3">
      <c r="A3174" s="19" t="str">
        <f t="shared" si="99"/>
        <v/>
      </c>
      <c r="L3174" s="21" t="str">
        <f>IF(J3174&lt;&gt;"",VLOOKUP(J3174,HeadCount!A:I,5,0),"")</f>
        <v/>
      </c>
      <c r="P3174" s="19" t="str">
        <f t="shared" si="100"/>
        <v/>
      </c>
    </row>
    <row r="3175" spans="1:16" x14ac:dyDescent="0.3">
      <c r="A3175" s="19" t="str">
        <f t="shared" si="99"/>
        <v/>
      </c>
      <c r="L3175" s="21" t="str">
        <f>IF(J3175&lt;&gt;"",VLOOKUP(J3175,HeadCount!A:I,5,0),"")</f>
        <v/>
      </c>
      <c r="P3175" s="19" t="str">
        <f t="shared" si="100"/>
        <v/>
      </c>
    </row>
    <row r="3176" spans="1:16" x14ac:dyDescent="0.3">
      <c r="A3176" s="19" t="str">
        <f t="shared" si="99"/>
        <v/>
      </c>
      <c r="L3176" s="21" t="str">
        <f>IF(J3176&lt;&gt;"",VLOOKUP(J3176,HeadCount!A:I,5,0),"")</f>
        <v/>
      </c>
      <c r="P3176" s="19" t="str">
        <f t="shared" si="100"/>
        <v/>
      </c>
    </row>
    <row r="3177" spans="1:16" x14ac:dyDescent="0.3">
      <c r="A3177" s="19" t="str">
        <f t="shared" si="99"/>
        <v/>
      </c>
      <c r="L3177" s="21" t="str">
        <f>IF(J3177&lt;&gt;"",VLOOKUP(J3177,HeadCount!A:I,5,0),"")</f>
        <v/>
      </c>
      <c r="P3177" s="19" t="str">
        <f t="shared" si="100"/>
        <v/>
      </c>
    </row>
    <row r="3178" spans="1:16" x14ac:dyDescent="0.3">
      <c r="A3178" s="19" t="str">
        <f t="shared" si="99"/>
        <v/>
      </c>
      <c r="L3178" s="21" t="str">
        <f>IF(J3178&lt;&gt;"",VLOOKUP(J3178,HeadCount!A:I,5,0),"")</f>
        <v/>
      </c>
      <c r="P3178" s="19" t="str">
        <f t="shared" si="100"/>
        <v/>
      </c>
    </row>
    <row r="3179" spans="1:16" x14ac:dyDescent="0.3">
      <c r="A3179" s="19" t="str">
        <f t="shared" si="99"/>
        <v/>
      </c>
      <c r="L3179" s="21" t="str">
        <f>IF(J3179&lt;&gt;"",VLOOKUP(J3179,HeadCount!A:I,5,0),"")</f>
        <v/>
      </c>
      <c r="P3179" s="19" t="str">
        <f t="shared" si="100"/>
        <v/>
      </c>
    </row>
    <row r="3180" spans="1:16" x14ac:dyDescent="0.3">
      <c r="A3180" s="19" t="str">
        <f t="shared" si="99"/>
        <v/>
      </c>
      <c r="L3180" s="21" t="str">
        <f>IF(J3180&lt;&gt;"",VLOOKUP(J3180,HeadCount!A:I,5,0),"")</f>
        <v/>
      </c>
      <c r="P3180" s="19" t="str">
        <f t="shared" si="100"/>
        <v/>
      </c>
    </row>
    <row r="3181" spans="1:16" x14ac:dyDescent="0.3">
      <c r="A3181" s="19" t="str">
        <f t="shared" si="99"/>
        <v/>
      </c>
      <c r="L3181" s="21" t="str">
        <f>IF(J3181&lt;&gt;"",VLOOKUP(J3181,HeadCount!A:I,5,0),"")</f>
        <v/>
      </c>
      <c r="P3181" s="19" t="str">
        <f t="shared" si="100"/>
        <v/>
      </c>
    </row>
    <row r="3182" spans="1:16" x14ac:dyDescent="0.3">
      <c r="A3182" s="19" t="str">
        <f t="shared" si="99"/>
        <v/>
      </c>
      <c r="L3182" s="21" t="str">
        <f>IF(J3182&lt;&gt;"",VLOOKUP(J3182,HeadCount!A:I,5,0),"")</f>
        <v/>
      </c>
      <c r="P3182" s="19" t="str">
        <f t="shared" si="100"/>
        <v/>
      </c>
    </row>
    <row r="3183" spans="1:16" x14ac:dyDescent="0.3">
      <c r="A3183" s="19" t="str">
        <f t="shared" si="99"/>
        <v/>
      </c>
      <c r="L3183" s="21" t="str">
        <f>IF(J3183&lt;&gt;"",VLOOKUP(J3183,HeadCount!A:I,5,0),"")</f>
        <v/>
      </c>
      <c r="P3183" s="19" t="str">
        <f t="shared" si="100"/>
        <v/>
      </c>
    </row>
    <row r="3184" spans="1:16" x14ac:dyDescent="0.3">
      <c r="A3184" s="19" t="str">
        <f t="shared" si="99"/>
        <v/>
      </c>
      <c r="L3184" s="21" t="str">
        <f>IF(J3184&lt;&gt;"",VLOOKUP(J3184,HeadCount!A:I,5,0),"")</f>
        <v/>
      </c>
      <c r="P3184" s="19" t="str">
        <f t="shared" si="100"/>
        <v/>
      </c>
    </row>
    <row r="3185" spans="1:16" x14ac:dyDescent="0.3">
      <c r="A3185" s="19" t="str">
        <f t="shared" si="99"/>
        <v/>
      </c>
      <c r="L3185" s="21" t="str">
        <f>IF(J3185&lt;&gt;"",VLOOKUP(J3185,HeadCount!A:I,5,0),"")</f>
        <v/>
      </c>
      <c r="P3185" s="19" t="str">
        <f t="shared" si="100"/>
        <v/>
      </c>
    </row>
    <row r="3186" spans="1:16" x14ac:dyDescent="0.3">
      <c r="A3186" s="19" t="str">
        <f t="shared" si="99"/>
        <v/>
      </c>
      <c r="L3186" s="21" t="str">
        <f>IF(J3186&lt;&gt;"",VLOOKUP(J3186,HeadCount!A:I,5,0),"")</f>
        <v/>
      </c>
      <c r="P3186" s="19" t="str">
        <f t="shared" si="100"/>
        <v/>
      </c>
    </row>
    <row r="3187" spans="1:16" x14ac:dyDescent="0.3">
      <c r="A3187" s="19" t="str">
        <f t="shared" si="99"/>
        <v/>
      </c>
      <c r="L3187" s="21" t="str">
        <f>IF(J3187&lt;&gt;"",VLOOKUP(J3187,HeadCount!A:I,5,0),"")</f>
        <v/>
      </c>
      <c r="P3187" s="19" t="str">
        <f t="shared" si="100"/>
        <v/>
      </c>
    </row>
    <row r="3188" spans="1:16" x14ac:dyDescent="0.3">
      <c r="A3188" s="19" t="str">
        <f t="shared" si="99"/>
        <v/>
      </c>
      <c r="L3188" s="21" t="str">
        <f>IF(J3188&lt;&gt;"",VLOOKUP(J3188,HeadCount!A:I,5,0),"")</f>
        <v/>
      </c>
      <c r="P3188" s="19" t="str">
        <f t="shared" si="100"/>
        <v/>
      </c>
    </row>
    <row r="3189" spans="1:16" x14ac:dyDescent="0.3">
      <c r="A3189" s="19" t="str">
        <f t="shared" si="99"/>
        <v/>
      </c>
      <c r="L3189" s="21" t="str">
        <f>IF(J3189&lt;&gt;"",VLOOKUP(J3189,HeadCount!A:I,5,0),"")</f>
        <v/>
      </c>
      <c r="P3189" s="19" t="str">
        <f t="shared" si="100"/>
        <v/>
      </c>
    </row>
    <row r="3190" spans="1:16" x14ac:dyDescent="0.3">
      <c r="A3190" s="19" t="str">
        <f t="shared" si="99"/>
        <v/>
      </c>
      <c r="L3190" s="21" t="str">
        <f>IF(J3190&lt;&gt;"",VLOOKUP(J3190,HeadCount!A:I,5,0),"")</f>
        <v/>
      </c>
      <c r="P3190" s="19" t="str">
        <f t="shared" si="100"/>
        <v/>
      </c>
    </row>
    <row r="3191" spans="1:16" x14ac:dyDescent="0.3">
      <c r="A3191" s="19" t="str">
        <f t="shared" si="99"/>
        <v/>
      </c>
      <c r="L3191" s="21" t="str">
        <f>IF(J3191&lt;&gt;"",VLOOKUP(J3191,HeadCount!A:I,5,0),"")</f>
        <v/>
      </c>
      <c r="P3191" s="19" t="str">
        <f t="shared" si="100"/>
        <v/>
      </c>
    </row>
    <row r="3192" spans="1:16" x14ac:dyDescent="0.3">
      <c r="A3192" s="19" t="str">
        <f t="shared" si="99"/>
        <v/>
      </c>
      <c r="L3192" s="21" t="str">
        <f>IF(J3192&lt;&gt;"",VLOOKUP(J3192,HeadCount!A:I,5,0),"")</f>
        <v/>
      </c>
      <c r="P3192" s="19" t="str">
        <f t="shared" si="100"/>
        <v/>
      </c>
    </row>
    <row r="3193" spans="1:16" x14ac:dyDescent="0.3">
      <c r="A3193" s="19" t="str">
        <f t="shared" si="99"/>
        <v/>
      </c>
      <c r="L3193" s="21" t="str">
        <f>IF(J3193&lt;&gt;"",VLOOKUP(J3193,HeadCount!A:I,5,0),"")</f>
        <v/>
      </c>
      <c r="P3193" s="19" t="str">
        <f t="shared" si="100"/>
        <v/>
      </c>
    </row>
    <row r="3194" spans="1:16" x14ac:dyDescent="0.3">
      <c r="A3194" s="19" t="str">
        <f t="shared" si="99"/>
        <v/>
      </c>
      <c r="L3194" s="21" t="str">
        <f>IF(J3194&lt;&gt;"",VLOOKUP(J3194,HeadCount!A:I,5,0),"")</f>
        <v/>
      </c>
      <c r="P3194" s="19" t="str">
        <f t="shared" si="100"/>
        <v/>
      </c>
    </row>
    <row r="3195" spans="1:16" x14ac:dyDescent="0.3">
      <c r="A3195" s="19" t="str">
        <f t="shared" si="99"/>
        <v/>
      </c>
      <c r="L3195" s="21" t="str">
        <f>IF(J3195&lt;&gt;"",VLOOKUP(J3195,HeadCount!A:I,5,0),"")</f>
        <v/>
      </c>
      <c r="P3195" s="19" t="str">
        <f t="shared" si="100"/>
        <v/>
      </c>
    </row>
    <row r="3196" spans="1:16" x14ac:dyDescent="0.3">
      <c r="A3196" s="19" t="str">
        <f t="shared" si="99"/>
        <v/>
      </c>
      <c r="L3196" s="21" t="str">
        <f>IF(J3196&lt;&gt;"",VLOOKUP(J3196,HeadCount!A:I,5,0),"")</f>
        <v/>
      </c>
      <c r="P3196" s="19" t="str">
        <f t="shared" si="100"/>
        <v/>
      </c>
    </row>
    <row r="3197" spans="1:16" x14ac:dyDescent="0.3">
      <c r="A3197" s="19" t="str">
        <f t="shared" si="99"/>
        <v/>
      </c>
      <c r="L3197" s="21" t="str">
        <f>IF(J3197&lt;&gt;"",VLOOKUP(J3197,HeadCount!A:I,5,0),"")</f>
        <v/>
      </c>
      <c r="P3197" s="19" t="str">
        <f t="shared" si="100"/>
        <v/>
      </c>
    </row>
    <row r="3198" spans="1:16" x14ac:dyDescent="0.3">
      <c r="A3198" s="19" t="str">
        <f t="shared" si="99"/>
        <v/>
      </c>
      <c r="L3198" s="21" t="str">
        <f>IF(J3198&lt;&gt;"",VLOOKUP(J3198,HeadCount!A:I,5,0),"")</f>
        <v/>
      </c>
      <c r="P3198" s="19" t="str">
        <f t="shared" si="100"/>
        <v/>
      </c>
    </row>
    <row r="3199" spans="1:16" x14ac:dyDescent="0.3">
      <c r="A3199" s="19" t="str">
        <f t="shared" si="99"/>
        <v/>
      </c>
      <c r="L3199" s="21" t="str">
        <f>IF(J3199&lt;&gt;"",VLOOKUP(J3199,HeadCount!A:I,5,0),"")</f>
        <v/>
      </c>
      <c r="P3199" s="19" t="str">
        <f t="shared" si="100"/>
        <v/>
      </c>
    </row>
    <row r="3200" spans="1:16" x14ac:dyDescent="0.3">
      <c r="A3200" s="19" t="str">
        <f t="shared" si="99"/>
        <v/>
      </c>
      <c r="L3200" s="21" t="str">
        <f>IF(J3200&lt;&gt;"",VLOOKUP(J3200,HeadCount!A:I,5,0),"")</f>
        <v/>
      </c>
      <c r="P3200" s="19" t="str">
        <f t="shared" si="100"/>
        <v/>
      </c>
    </row>
    <row r="3201" spans="1:16" x14ac:dyDescent="0.3">
      <c r="A3201" s="19" t="str">
        <f t="shared" si="99"/>
        <v/>
      </c>
      <c r="L3201" s="21" t="str">
        <f>IF(J3201&lt;&gt;"",VLOOKUP(J3201,HeadCount!A:I,5,0),"")</f>
        <v/>
      </c>
      <c r="P3201" s="19" t="str">
        <f t="shared" si="100"/>
        <v/>
      </c>
    </row>
    <row r="3202" spans="1:16" x14ac:dyDescent="0.3">
      <c r="A3202" s="19" t="str">
        <f t="shared" ref="A3202:A3203" si="101">IF(C3202&lt;&gt;"",ROW(A3201),"")</f>
        <v/>
      </c>
      <c r="L3202" s="21" t="str">
        <f>IF(J3202&lt;&gt;"",VLOOKUP(J3202,HeadCount!A:I,5,0),"")</f>
        <v/>
      </c>
      <c r="P3202" s="19" t="str">
        <f t="shared" si="100"/>
        <v/>
      </c>
    </row>
    <row r="3203" spans="1:16" x14ac:dyDescent="0.3">
      <c r="A3203" s="19" t="str">
        <f t="shared" si="101"/>
        <v/>
      </c>
      <c r="L3203" s="21" t="str">
        <f>IF(J3203&lt;&gt;"",VLOOKUP(J3203,HeadCount!A:I,5,0),"")</f>
        <v/>
      </c>
      <c r="P3203" s="19" t="str">
        <f t="shared" ref="P3203:P3204" si="102">IF(N3203="","",(O3203-N3203)+1)</f>
        <v/>
      </c>
    </row>
    <row r="3204" spans="1:16" x14ac:dyDescent="0.3">
      <c r="P3204" s="19" t="str">
        <f t="shared" si="102"/>
        <v/>
      </c>
    </row>
    <row r="1045714" spans="11:11" x14ac:dyDescent="0.3">
      <c r="K1045714" s="41"/>
    </row>
  </sheetData>
  <autoFilter ref="A1:R3204" xr:uid="{00000000-0001-0000-0000-000000000000}">
    <sortState xmlns:xlrd2="http://schemas.microsoft.com/office/spreadsheetml/2017/richdata2" ref="A118:R770">
      <sortCondition ref="D1:D3203"/>
    </sortState>
  </autoFilter>
  <dataConsolidate/>
  <conditionalFormatting sqref="A3205:A1048576 A1:A3203">
    <cfRule type="duplicateValues" dxfId="10" priority="104"/>
    <cfRule type="duplicateValues" dxfId="9" priority="370"/>
  </conditionalFormatting>
  <pageMargins left="0.7" right="0.7" top="0.75" bottom="0.75" header="0.3" footer="0.3"/>
  <pageSetup scale="21" orientation="portrait" horizontalDpi="1200" verticalDpi="1200" r:id="rId1"/>
  <colBreaks count="1" manualBreakCount="1">
    <brk id="18" max="1045714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1269469D-1C86-416C-A0E2-8C9C30148F2C}">
            <xm:f>'Values List'!$I$7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43E25F90-E1A3-4E25-8B74-8501A8656172}">
            <xm:f>'Values List'!$I$6</xm:f>
            <x14:dxf>
              <fill>
                <patternFill>
                  <bgColor rgb="FFFFC000"/>
                </patternFill>
              </fill>
            </x14:dxf>
          </x14:cfRule>
          <x14:cfRule type="cellIs" priority="3" operator="equal" id="{E70802BB-11DB-4ED1-AF78-A72B594D6516}">
            <xm:f>'Values List'!$I$5</xm:f>
            <x14:dxf>
              <fill>
                <patternFill>
                  <bgColor rgb="FF00B050"/>
                </patternFill>
              </fill>
            </x14:dxf>
          </x14:cfRule>
          <x14:cfRule type="cellIs" priority="4" operator="equal" id="{911D3BC4-8A05-4859-B362-47F5AC7993D7}">
            <xm:f>'Values List'!$I$4</xm:f>
            <x14:dxf>
              <fill>
                <patternFill>
                  <bgColor theme="2" tint="-0.24994659260841701"/>
                </patternFill>
              </fill>
            </x14:dxf>
          </x14:cfRule>
          <x14:cfRule type="cellIs" priority="5" operator="equal" id="{F0593FB7-3842-49A4-88F7-C0C5A86E179D}">
            <xm:f>'Values List'!$I$3</xm:f>
            <x14:dxf>
              <fill>
                <patternFill>
                  <bgColor rgb="FF7030A0"/>
                </patternFill>
              </fill>
            </x14:dxf>
          </x14:cfRule>
          <x14:cfRule type="cellIs" priority="6" operator="equal" id="{C3730CE4-8583-48C1-A99A-6EE8781A5DD5}">
            <xm:f>'Values List'!$I$2</xm:f>
            <x14:dxf>
              <fill>
                <patternFill>
                  <bgColor rgb="FFFFFF00"/>
                </patternFill>
              </fill>
            </x14:dxf>
          </x14:cfRule>
          <xm:sqref>Q1:Q18 Q20:Q350 Q359:Q1048576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E3887C9F-CC77-45DC-82AA-F299C10121C0}">
          <x14:formula1>
            <xm:f>'Values List'!$D$2:$D$17</xm:f>
          </x14:formula1>
          <xm:sqref>H486:H3203 H3205:H1048576 H477:H484 H359:H475 H1:H18 H20:H350</xm:sqref>
        </x14:dataValidation>
        <x14:dataValidation type="list" allowBlank="1" showInputMessage="1" showErrorMessage="1" xr:uid="{00000000-0002-0000-0000-000000000000}">
          <x14:formula1>
            <xm:f>'Values List'!$E$2:$E$5</xm:f>
          </x14:formula1>
          <xm:sqref>I3205:I1048576 I359:I3203 I2:I18 I20:I350</xm:sqref>
        </x14:dataValidation>
        <x14:dataValidation type="list" allowBlank="1" showInputMessage="1" showErrorMessage="1" xr:uid="{00000000-0002-0000-0000-000002000000}">
          <x14:formula1>
            <xm:f>'Values List'!$H$2:$H$6</xm:f>
          </x14:formula1>
          <xm:sqref>M3205:M1048576 M359:M3203 M2:M18 M20:M350</xm:sqref>
        </x14:dataValidation>
        <x14:dataValidation type="list" allowBlank="1" showInputMessage="1" showErrorMessage="1" xr:uid="{00000000-0002-0000-0000-000005000000}">
          <x14:formula1>
            <xm:f>'Values List'!$A$2:$A$4</xm:f>
          </x14:formula1>
          <xm:sqref>F3205:F1048576 F359:F3203 F2:F18 F20:F350</xm:sqref>
        </x14:dataValidation>
        <x14:dataValidation type="list" allowBlank="1" showInputMessage="1" showErrorMessage="1" xr:uid="{034A71AE-BB35-4F2D-9DA3-3803B60C7EEB}">
          <x14:formula1>
            <xm:f>'Values List'!$K$2:$K$4</xm:f>
          </x14:formula1>
          <xm:sqref>B3205:B1048576 B1:B3203</xm:sqref>
        </x14:dataValidation>
        <x14:dataValidation type="list" allowBlank="1" showInputMessage="1" showErrorMessage="1" xr:uid="{59B57733-5ED9-4FD2-A264-930EEC60CCA4}">
          <x14:formula1>
            <xm:f>'Values List'!$J$2:$J$7</xm:f>
          </x14:formula1>
          <xm:sqref>C3206:C1048576 C359:C3203 C1:C18 C20:C350</xm:sqref>
        </x14:dataValidation>
        <x14:dataValidation type="list" allowBlank="1" showInputMessage="1" showErrorMessage="1" xr:uid="{688AEB2C-225E-4484-AEA2-2AD6AB1D9701}">
          <x14:formula1>
            <xm:f>'Values List'!$B$2:$B$7</xm:f>
          </x14:formula1>
          <xm:sqref>H476 H485</xm:sqref>
        </x14:dataValidation>
        <x14:dataValidation type="list" allowBlank="1" showInputMessage="1" showErrorMessage="1" xr:uid="{CE51F51F-96E1-4A0F-B27D-7012307CA905}">
          <x14:formula1>
            <xm:f>'Values List'!$B:$B</xm:f>
          </x14:formula1>
          <xm:sqref>G1</xm:sqref>
        </x14:dataValidation>
        <x14:dataValidation type="list" errorStyle="warning" allowBlank="1" showInputMessage="1" showErrorMessage="1" xr:uid="{A6E5F2A5-3129-4CE1-B718-971367A91652}">
          <x14:formula1>
            <xm:f>HeadCount!$A:$A</xm:f>
          </x14:formula1>
          <xm:sqref>J359:J1048576 J102:J350 J2:J18 J20:J100</xm:sqref>
        </x14:dataValidation>
        <x14:dataValidation type="list" allowBlank="1" showInputMessage="1" showErrorMessage="1" xr:uid="{50496DE5-D206-4AA1-8956-8CFD88058741}">
          <x14:formula1>
            <xm:f>'Values List'!$B$1:$B$74</xm:f>
          </x14:formula1>
          <xm:sqref>G144:G145 G148:G149 G154:G155 G158:G350 G359:G1048576 G2:G18 G20:G142</xm:sqref>
        </x14:dataValidation>
        <x14:dataValidation type="list" allowBlank="1" showInputMessage="1" showErrorMessage="1" xr:uid="{B71AE2C0-D2AC-45E4-B2B3-A8F5B6D0EBE0}">
          <x14:formula1>
            <xm:f>'Values List'!$I$2:$I$7</xm:f>
          </x14:formula1>
          <xm:sqref>Q359:Q1048576 Q1:Q18 Q20:Q350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1"/>
  <sheetViews>
    <sheetView topLeftCell="A31" zoomScaleNormal="100" workbookViewId="0">
      <selection activeCell="B52" sqref="B52"/>
    </sheetView>
  </sheetViews>
  <sheetFormatPr defaultRowHeight="14.4" x14ac:dyDescent="0.3"/>
  <cols>
    <col min="1" max="1" width="14.109375" style="1" customWidth="1"/>
    <col min="2" max="2" width="28.88671875" style="44" customWidth="1"/>
    <col min="3" max="3" width="18.88671875" style="1" customWidth="1"/>
    <col min="4" max="4" width="30.5546875" style="1" customWidth="1"/>
    <col min="5" max="5" width="18.44140625" style="1" bestFit="1" customWidth="1"/>
    <col min="6" max="6" width="21.44140625" style="16" hidden="1" customWidth="1"/>
    <col min="7" max="7" width="17" hidden="1" customWidth="1"/>
    <col min="8" max="8" width="16.5546875" hidden="1" customWidth="1"/>
    <col min="9" max="9" width="16" bestFit="1" customWidth="1"/>
    <col min="10" max="10" width="15.6640625" bestFit="1" customWidth="1"/>
    <col min="11" max="11" width="13.88671875" bestFit="1" customWidth="1"/>
  </cols>
  <sheetData>
    <row r="1" spans="1:11" ht="15" thickBot="1" x14ac:dyDescent="0.35">
      <c r="A1" s="2" t="s">
        <v>29</v>
      </c>
      <c r="B1" s="43" t="s">
        <v>53</v>
      </c>
      <c r="C1" s="10" t="s">
        <v>54</v>
      </c>
      <c r="D1" s="3" t="s">
        <v>17</v>
      </c>
      <c r="E1" s="3" t="s">
        <v>5</v>
      </c>
      <c r="F1" s="15" t="s">
        <v>10</v>
      </c>
      <c r="G1" s="2" t="s">
        <v>19</v>
      </c>
      <c r="H1" s="2" t="s">
        <v>11</v>
      </c>
      <c r="I1" s="2" t="s">
        <v>3</v>
      </c>
      <c r="J1" s="3" t="s">
        <v>24</v>
      </c>
      <c r="K1" s="12" t="s">
        <v>32</v>
      </c>
    </row>
    <row r="2" spans="1:11" x14ac:dyDescent="0.3">
      <c r="A2" s="4" t="s">
        <v>37</v>
      </c>
      <c r="B2" s="14" t="s">
        <v>57</v>
      </c>
      <c r="C2" s="4">
        <v>2021</v>
      </c>
      <c r="D2" s="4" t="s">
        <v>62</v>
      </c>
      <c r="E2" s="4" t="s">
        <v>6</v>
      </c>
      <c r="F2" s="14" t="s">
        <v>20</v>
      </c>
      <c r="G2" s="4" t="s">
        <v>22</v>
      </c>
      <c r="H2" s="4"/>
      <c r="I2" s="5" t="s">
        <v>15</v>
      </c>
      <c r="J2" s="4" t="s">
        <v>25</v>
      </c>
      <c r="K2" s="4" t="s">
        <v>33</v>
      </c>
    </row>
    <row r="3" spans="1:11" x14ac:dyDescent="0.3">
      <c r="A3" s="4" t="s">
        <v>38</v>
      </c>
      <c r="B3" s="14" t="s">
        <v>39</v>
      </c>
      <c r="C3" s="4">
        <v>2020</v>
      </c>
      <c r="D3" s="4"/>
      <c r="E3" s="4" t="s">
        <v>7</v>
      </c>
      <c r="F3" s="14" t="s">
        <v>21</v>
      </c>
      <c r="G3" s="4" t="s">
        <v>22</v>
      </c>
      <c r="H3" s="4"/>
      <c r="I3" s="8" t="s">
        <v>14</v>
      </c>
      <c r="J3" s="4" t="s">
        <v>26</v>
      </c>
      <c r="K3" s="4" t="s">
        <v>34</v>
      </c>
    </row>
    <row r="4" spans="1:11" x14ac:dyDescent="0.3">
      <c r="A4" s="4"/>
      <c r="B4" s="14" t="s">
        <v>40</v>
      </c>
      <c r="C4" s="4">
        <v>2020</v>
      </c>
      <c r="D4" s="4"/>
      <c r="E4" s="4" t="s">
        <v>8</v>
      </c>
      <c r="F4" s="14" t="s">
        <v>64</v>
      </c>
      <c r="G4" s="4" t="s">
        <v>65</v>
      </c>
      <c r="H4" s="4"/>
      <c r="I4" s="6" t="s">
        <v>12</v>
      </c>
      <c r="J4" s="4" t="s">
        <v>27</v>
      </c>
      <c r="K4" s="4" t="s">
        <v>35</v>
      </c>
    </row>
    <row r="5" spans="1:11" x14ac:dyDescent="0.3">
      <c r="B5" s="14" t="s">
        <v>41</v>
      </c>
      <c r="C5" s="4">
        <v>2022</v>
      </c>
      <c r="D5" s="4"/>
      <c r="E5" s="4" t="s">
        <v>9</v>
      </c>
      <c r="F5" s="14" t="s">
        <v>67</v>
      </c>
      <c r="G5" s="4" t="s">
        <v>68</v>
      </c>
      <c r="H5" s="4"/>
      <c r="I5" s="9" t="s">
        <v>16</v>
      </c>
      <c r="J5" s="4" t="s">
        <v>28</v>
      </c>
    </row>
    <row r="6" spans="1:11" x14ac:dyDescent="0.3">
      <c r="B6" s="14" t="s">
        <v>42</v>
      </c>
      <c r="C6" s="4">
        <v>2022</v>
      </c>
      <c r="D6" s="4"/>
      <c r="F6" s="14" t="s">
        <v>69</v>
      </c>
      <c r="G6" s="4" t="s">
        <v>68</v>
      </c>
      <c r="H6" s="4"/>
      <c r="I6" s="7" t="s">
        <v>13</v>
      </c>
      <c r="J6" s="4" t="s">
        <v>36</v>
      </c>
    </row>
    <row r="7" spans="1:11" x14ac:dyDescent="0.3">
      <c r="B7" s="14" t="s">
        <v>43</v>
      </c>
      <c r="C7" s="4">
        <v>2022</v>
      </c>
      <c r="D7" s="4"/>
      <c r="F7" s="14" t="s">
        <v>70</v>
      </c>
      <c r="G7" s="4" t="s">
        <v>22</v>
      </c>
      <c r="I7" s="36" t="s">
        <v>4562</v>
      </c>
      <c r="J7" s="4" t="s">
        <v>30</v>
      </c>
    </row>
    <row r="8" spans="1:11" x14ac:dyDescent="0.3">
      <c r="B8" s="14" t="s">
        <v>48</v>
      </c>
      <c r="C8" s="4">
        <v>2022</v>
      </c>
      <c r="D8" s="4"/>
      <c r="F8" s="14"/>
      <c r="G8" s="4"/>
    </row>
    <row r="9" spans="1:11" x14ac:dyDescent="0.3">
      <c r="B9" s="14" t="s">
        <v>49</v>
      </c>
      <c r="C9" s="4">
        <v>2022</v>
      </c>
      <c r="D9" s="4"/>
      <c r="F9" s="14"/>
      <c r="G9" s="4"/>
    </row>
    <row r="10" spans="1:11" x14ac:dyDescent="0.3">
      <c r="B10" s="14" t="s">
        <v>44</v>
      </c>
      <c r="C10" s="4">
        <v>2023</v>
      </c>
      <c r="D10" s="4"/>
      <c r="F10" s="14"/>
      <c r="G10" s="4"/>
    </row>
    <row r="11" spans="1:11" x14ac:dyDescent="0.3">
      <c r="B11" s="14" t="s">
        <v>50</v>
      </c>
      <c r="C11" s="4">
        <v>2023</v>
      </c>
      <c r="D11" s="4"/>
      <c r="F11" s="14"/>
      <c r="G11" s="4"/>
    </row>
    <row r="12" spans="1:11" x14ac:dyDescent="0.3">
      <c r="B12" s="14" t="s">
        <v>45</v>
      </c>
      <c r="C12" s="4" t="s">
        <v>55</v>
      </c>
      <c r="D12" s="4"/>
      <c r="F12" s="14"/>
      <c r="G12" s="4"/>
    </row>
    <row r="13" spans="1:11" x14ac:dyDescent="0.3">
      <c r="B13" s="14" t="s">
        <v>46</v>
      </c>
      <c r="C13" s="4">
        <v>2023</v>
      </c>
      <c r="D13" s="4"/>
      <c r="F13" s="14"/>
      <c r="G13" s="4"/>
    </row>
    <row r="14" spans="1:11" x14ac:dyDescent="0.3">
      <c r="B14" s="14" t="s">
        <v>51</v>
      </c>
      <c r="C14" s="4">
        <v>2023</v>
      </c>
      <c r="D14" s="4"/>
      <c r="F14" s="14"/>
      <c r="G14" s="4"/>
    </row>
    <row r="15" spans="1:11" x14ac:dyDescent="0.3">
      <c r="B15" s="14" t="s">
        <v>52</v>
      </c>
      <c r="C15" s="4">
        <v>2023</v>
      </c>
      <c r="D15" s="4"/>
      <c r="F15" s="14"/>
      <c r="G15" s="4"/>
    </row>
    <row r="16" spans="1:11" x14ac:dyDescent="0.3">
      <c r="B16" s="14" t="s">
        <v>47</v>
      </c>
      <c r="C16" s="4" t="s">
        <v>56</v>
      </c>
      <c r="D16" s="4"/>
      <c r="F16" s="14"/>
      <c r="G16" s="4"/>
    </row>
    <row r="17" spans="2:10" x14ac:dyDescent="0.3">
      <c r="B17" s="14" t="s">
        <v>60</v>
      </c>
      <c r="C17" s="4"/>
      <c r="D17" s="4"/>
      <c r="F17" s="14"/>
      <c r="G17" s="4"/>
    </row>
    <row r="18" spans="2:10" x14ac:dyDescent="0.3">
      <c r="B18" s="14" t="s">
        <v>58</v>
      </c>
      <c r="C18" s="4"/>
      <c r="D18" s="4"/>
      <c r="F18" s="14"/>
      <c r="G18" s="4"/>
    </row>
    <row r="19" spans="2:10" x14ac:dyDescent="0.3">
      <c r="B19" s="14" t="s">
        <v>59</v>
      </c>
      <c r="C19" s="4"/>
      <c r="D19" s="4"/>
      <c r="F19" s="14"/>
      <c r="G19" s="4"/>
    </row>
    <row r="20" spans="2:10" x14ac:dyDescent="0.3">
      <c r="B20" s="14" t="s">
        <v>63</v>
      </c>
      <c r="C20" s="4"/>
      <c r="D20" s="4"/>
      <c r="F20" s="14"/>
      <c r="G20" s="4"/>
    </row>
    <row r="21" spans="2:10" x14ac:dyDescent="0.3">
      <c r="B21" s="14" t="s">
        <v>4561</v>
      </c>
      <c r="F21" s="14"/>
      <c r="G21" s="4"/>
    </row>
    <row r="22" spans="2:10" x14ac:dyDescent="0.3">
      <c r="B22" s="14" t="s">
        <v>4564</v>
      </c>
      <c r="F22" s="14"/>
      <c r="G22" s="4"/>
    </row>
    <row r="23" spans="2:10" x14ac:dyDescent="0.3">
      <c r="B23" s="14" t="s">
        <v>4565</v>
      </c>
      <c r="F23" s="14"/>
      <c r="G23" s="4"/>
    </row>
    <row r="24" spans="2:10" x14ac:dyDescent="0.3">
      <c r="B24" s="44" t="s">
        <v>4566</v>
      </c>
      <c r="F24" s="14"/>
      <c r="G24" s="4"/>
    </row>
    <row r="25" spans="2:10" x14ac:dyDescent="0.3">
      <c r="B25" s="44" t="s">
        <v>4567</v>
      </c>
      <c r="F25" s="14"/>
      <c r="G25" s="4"/>
    </row>
    <row r="26" spans="2:10" x14ac:dyDescent="0.3">
      <c r="B26" s="44" t="s">
        <v>61</v>
      </c>
      <c r="F26" s="14"/>
      <c r="G26" s="4"/>
    </row>
    <row r="27" spans="2:10" x14ac:dyDescent="0.3">
      <c r="B27" s="44" t="s">
        <v>4568</v>
      </c>
      <c r="F27" s="14"/>
      <c r="G27" s="4"/>
    </row>
    <row r="28" spans="2:10" x14ac:dyDescent="0.3">
      <c r="B28" s="44" t="s">
        <v>4569</v>
      </c>
      <c r="F28" s="14"/>
      <c r="G28" s="4"/>
    </row>
    <row r="29" spans="2:10" x14ac:dyDescent="0.3">
      <c r="B29" s="44" t="s">
        <v>4570</v>
      </c>
      <c r="F29" s="14"/>
      <c r="G29" s="4"/>
      <c r="J29" s="13"/>
    </row>
    <row r="30" spans="2:10" x14ac:dyDescent="0.3">
      <c r="B30" s="44" t="s">
        <v>4571</v>
      </c>
      <c r="F30" s="14"/>
      <c r="G30" s="4"/>
    </row>
    <row r="31" spans="2:10" x14ac:dyDescent="0.3">
      <c r="B31" s="44" t="s">
        <v>4572</v>
      </c>
      <c r="F31" s="14"/>
      <c r="G31" s="4"/>
    </row>
    <row r="32" spans="2:10" x14ac:dyDescent="0.3">
      <c r="B32" s="44" t="s">
        <v>4573</v>
      </c>
      <c r="F32" s="14"/>
      <c r="G32" s="4"/>
    </row>
    <row r="33" spans="2:7" x14ac:dyDescent="0.3">
      <c r="B33" s="44" t="s">
        <v>4574</v>
      </c>
      <c r="F33" s="14"/>
      <c r="G33" s="4"/>
    </row>
    <row r="34" spans="2:7" x14ac:dyDescent="0.3">
      <c r="B34" s="44" t="s">
        <v>4575</v>
      </c>
      <c r="F34" s="14"/>
      <c r="G34" s="4"/>
    </row>
    <row r="35" spans="2:7" x14ac:dyDescent="0.3">
      <c r="B35" s="44" t="s">
        <v>4576</v>
      </c>
      <c r="F35" s="14"/>
      <c r="G35" s="4"/>
    </row>
    <row r="36" spans="2:7" x14ac:dyDescent="0.3">
      <c r="B36" s="44" t="s">
        <v>4577</v>
      </c>
      <c r="F36" s="14"/>
      <c r="G36" s="4"/>
    </row>
    <row r="37" spans="2:7" x14ac:dyDescent="0.3">
      <c r="B37" s="44" t="s">
        <v>4578</v>
      </c>
      <c r="F37" s="14"/>
      <c r="G37" s="4"/>
    </row>
    <row r="38" spans="2:7" x14ac:dyDescent="0.3">
      <c r="B38" s="44" t="s">
        <v>4579</v>
      </c>
      <c r="F38" s="14"/>
      <c r="G38" s="4"/>
    </row>
    <row r="39" spans="2:7" x14ac:dyDescent="0.3">
      <c r="B39" s="44" t="s">
        <v>4580</v>
      </c>
      <c r="F39" s="14"/>
      <c r="G39" s="4"/>
    </row>
    <row r="40" spans="2:7" x14ac:dyDescent="0.3">
      <c r="B40" s="44" t="s">
        <v>4581</v>
      </c>
      <c r="F40" s="14"/>
      <c r="G40" s="4"/>
    </row>
    <row r="41" spans="2:7" x14ac:dyDescent="0.3">
      <c r="B41" s="44" t="s">
        <v>4582</v>
      </c>
      <c r="F41" s="14"/>
      <c r="G41" s="4"/>
    </row>
    <row r="42" spans="2:7" x14ac:dyDescent="0.3">
      <c r="B42" s="44" t="s">
        <v>4583</v>
      </c>
      <c r="F42" s="14"/>
      <c r="G42" s="4"/>
    </row>
    <row r="43" spans="2:7" x14ac:dyDescent="0.3">
      <c r="B43" s="44" t="s">
        <v>4584</v>
      </c>
      <c r="F43" s="14"/>
      <c r="G43" s="4"/>
    </row>
    <row r="44" spans="2:7" x14ac:dyDescent="0.3">
      <c r="B44" s="44" t="s">
        <v>4585</v>
      </c>
      <c r="F44" s="14"/>
      <c r="G44" s="4"/>
    </row>
    <row r="45" spans="2:7" x14ac:dyDescent="0.3">
      <c r="B45" s="44" t="s">
        <v>4590</v>
      </c>
      <c r="F45" s="14"/>
      <c r="G45" s="4"/>
    </row>
    <row r="46" spans="2:7" x14ac:dyDescent="0.3">
      <c r="B46" s="44" t="s">
        <v>4586</v>
      </c>
      <c r="F46" s="14"/>
      <c r="G46" s="4"/>
    </row>
    <row r="47" spans="2:7" x14ac:dyDescent="0.3">
      <c r="B47" s="44" t="s">
        <v>4587</v>
      </c>
      <c r="F47" s="14"/>
      <c r="G47" s="4"/>
    </row>
    <row r="48" spans="2:7" x14ac:dyDescent="0.3">
      <c r="B48" s="44" t="s">
        <v>4588</v>
      </c>
      <c r="F48" s="14"/>
      <c r="G48" s="4"/>
    </row>
    <row r="49" spans="2:7" x14ac:dyDescent="0.3">
      <c r="B49" s="44" t="s">
        <v>4589</v>
      </c>
      <c r="F49" s="14"/>
      <c r="G49" s="4"/>
    </row>
    <row r="50" spans="2:7" x14ac:dyDescent="0.3">
      <c r="B50" s="44" t="s">
        <v>4591</v>
      </c>
      <c r="F50" s="14"/>
      <c r="G50" s="4"/>
    </row>
    <row r="51" spans="2:7" x14ac:dyDescent="0.3">
      <c r="B51" s="44" t="s">
        <v>4594</v>
      </c>
      <c r="F51" s="14"/>
      <c r="G51" s="4"/>
    </row>
    <row r="52" spans="2:7" x14ac:dyDescent="0.3">
      <c r="B52" s="44" t="s">
        <v>4603</v>
      </c>
      <c r="F52" s="14"/>
      <c r="G52" s="4"/>
    </row>
    <row r="53" spans="2:7" x14ac:dyDescent="0.3">
      <c r="F53" s="14"/>
      <c r="G53" s="4"/>
    </row>
    <row r="54" spans="2:7" x14ac:dyDescent="0.3">
      <c r="F54" s="14"/>
      <c r="G54" s="4"/>
    </row>
    <row r="55" spans="2:7" x14ac:dyDescent="0.3">
      <c r="F55" s="14"/>
      <c r="G55" s="4"/>
    </row>
    <row r="56" spans="2:7" x14ac:dyDescent="0.3">
      <c r="F56" s="14"/>
      <c r="G56" s="4"/>
    </row>
    <row r="57" spans="2:7" x14ac:dyDescent="0.3">
      <c r="F57" s="14"/>
      <c r="G57" s="4"/>
    </row>
    <row r="58" spans="2:7" x14ac:dyDescent="0.3">
      <c r="F58" s="14"/>
      <c r="G58" s="4"/>
    </row>
    <row r="59" spans="2:7" x14ac:dyDescent="0.3">
      <c r="F59" s="14"/>
      <c r="G59" s="4"/>
    </row>
    <row r="60" spans="2:7" x14ac:dyDescent="0.3">
      <c r="F60" s="14"/>
      <c r="G60" s="4"/>
    </row>
    <row r="61" spans="2:7" x14ac:dyDescent="0.3">
      <c r="F61" s="14"/>
      <c r="G61" s="4"/>
    </row>
    <row r="62" spans="2:7" x14ac:dyDescent="0.3">
      <c r="F62" s="14"/>
      <c r="G62" s="4"/>
    </row>
    <row r="63" spans="2:7" x14ac:dyDescent="0.3">
      <c r="F63" s="14"/>
      <c r="G63" s="4"/>
    </row>
    <row r="64" spans="2:7" x14ac:dyDescent="0.3">
      <c r="F64" s="14"/>
      <c r="G64" s="4"/>
    </row>
    <row r="65" spans="6:7" x14ac:dyDescent="0.3">
      <c r="F65" s="14"/>
      <c r="G65" s="4"/>
    </row>
    <row r="66" spans="6:7" x14ac:dyDescent="0.3">
      <c r="G66" s="17"/>
    </row>
    <row r="67" spans="6:7" x14ac:dyDescent="0.3">
      <c r="G67" s="11"/>
    </row>
    <row r="68" spans="6:7" x14ac:dyDescent="0.3">
      <c r="G68" s="4"/>
    </row>
    <row r="69" spans="6:7" x14ac:dyDescent="0.3">
      <c r="G69" s="11"/>
    </row>
    <row r="70" spans="6:7" x14ac:dyDescent="0.3">
      <c r="G70" s="4"/>
    </row>
    <row r="71" spans="6:7" x14ac:dyDescent="0.3">
      <c r="G71" s="11"/>
    </row>
  </sheetData>
  <autoFilter ref="A1:K62" xr:uid="{00000000-0001-0000-0100-000000000000}"/>
  <conditionalFormatting sqref="F1:F1048576">
    <cfRule type="duplicateValues" dxfId="2" priority="4"/>
    <cfRule type="duplicateValues" dxfId="1" priority="7"/>
    <cfRule type="duplicateValues" dxfId="0" priority="8"/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8BFD-15E6-46EE-BD3E-0D82899F2786}">
  <dimension ref="A1:I2030"/>
  <sheetViews>
    <sheetView workbookViewId="0">
      <selection activeCell="A40" sqref="A40"/>
    </sheetView>
  </sheetViews>
  <sheetFormatPr defaultColWidth="9.109375" defaultRowHeight="14.4" x14ac:dyDescent="0.3"/>
  <cols>
    <col min="1" max="1" width="10.109375" style="1" bestFit="1" customWidth="1"/>
    <col min="2" max="2" width="54" style="1" bestFit="1" customWidth="1"/>
    <col min="3" max="3" width="35.44140625" style="1" bestFit="1" customWidth="1"/>
    <col min="4" max="4" width="46.33203125" style="1" hidden="1" customWidth="1"/>
    <col min="5" max="5" width="33.109375" style="1" bestFit="1" customWidth="1"/>
    <col min="6" max="6" width="16" style="1" bestFit="1" customWidth="1"/>
    <col min="7" max="7" width="22" style="1" bestFit="1" customWidth="1"/>
    <col min="8" max="8" width="28" style="1" bestFit="1" customWidth="1"/>
    <col min="9" max="9" width="15.109375" style="1" bestFit="1" customWidth="1"/>
    <col min="10" max="16384" width="9.109375" style="1"/>
  </cols>
  <sheetData>
    <row r="1" spans="1:9" x14ac:dyDescent="0.3">
      <c r="A1" s="1" t="s">
        <v>72</v>
      </c>
      <c r="B1" s="1" t="s">
        <v>73</v>
      </c>
      <c r="C1" s="1" t="s">
        <v>74</v>
      </c>
      <c r="D1" s="1" t="s">
        <v>75</v>
      </c>
      <c r="E1" s="1" t="s">
        <v>19</v>
      </c>
      <c r="F1" s="1" t="s">
        <v>76</v>
      </c>
      <c r="G1" s="1" t="s">
        <v>77</v>
      </c>
      <c r="H1" s="1" t="s">
        <v>78</v>
      </c>
      <c r="I1" s="1" t="s">
        <v>24</v>
      </c>
    </row>
    <row r="2" spans="1:9" hidden="1" x14ac:dyDescent="0.3">
      <c r="A2" s="1">
        <v>1</v>
      </c>
      <c r="B2" s="1" t="s">
        <v>79</v>
      </c>
      <c r="C2" s="1" t="s">
        <v>80</v>
      </c>
      <c r="D2" s="1" t="s">
        <v>81</v>
      </c>
      <c r="E2" s="1" t="s">
        <v>81</v>
      </c>
      <c r="F2" s="1">
        <v>0</v>
      </c>
      <c r="G2" s="1" t="s">
        <v>82</v>
      </c>
      <c r="H2" s="1" t="s">
        <v>83</v>
      </c>
      <c r="I2" s="1" t="s">
        <v>84</v>
      </c>
    </row>
    <row r="3" spans="1:9" hidden="1" x14ac:dyDescent="0.3">
      <c r="A3" s="1">
        <v>6</v>
      </c>
      <c r="B3" s="1" t="s">
        <v>85</v>
      </c>
      <c r="C3" s="1" t="s">
        <v>86</v>
      </c>
      <c r="D3" s="1" t="s">
        <v>87</v>
      </c>
      <c r="E3" s="1" t="s">
        <v>65</v>
      </c>
      <c r="F3" s="1">
        <v>0</v>
      </c>
      <c r="G3" s="1" t="s">
        <v>82</v>
      </c>
    </row>
    <row r="4" spans="1:9" hidden="1" x14ac:dyDescent="0.3">
      <c r="A4" s="1">
        <v>8</v>
      </c>
      <c r="B4" s="1" t="s">
        <v>88</v>
      </c>
      <c r="C4" s="1" t="s">
        <v>89</v>
      </c>
      <c r="D4" s="1" t="s">
        <v>90</v>
      </c>
      <c r="E4" s="1" t="s">
        <v>91</v>
      </c>
      <c r="F4" s="1">
        <v>0</v>
      </c>
      <c r="G4" s="1" t="s">
        <v>82</v>
      </c>
    </row>
    <row r="5" spans="1:9" hidden="1" x14ac:dyDescent="0.3">
      <c r="A5" s="1">
        <v>9</v>
      </c>
      <c r="B5" s="1" t="s">
        <v>92</v>
      </c>
      <c r="C5" s="1" t="s">
        <v>93</v>
      </c>
      <c r="D5" s="1" t="s">
        <v>94</v>
      </c>
      <c r="E5" s="1" t="s">
        <v>95</v>
      </c>
      <c r="F5" s="1">
        <v>0</v>
      </c>
      <c r="G5" s="1" t="s">
        <v>82</v>
      </c>
    </row>
    <row r="6" spans="1:9" hidden="1" x14ac:dyDescent="0.3">
      <c r="A6" s="1">
        <v>11</v>
      </c>
      <c r="B6" s="1" t="s">
        <v>96</v>
      </c>
      <c r="C6" s="1" t="s">
        <v>97</v>
      </c>
      <c r="D6" s="1" t="s">
        <v>98</v>
      </c>
      <c r="E6" s="1" t="s">
        <v>68</v>
      </c>
      <c r="F6" s="1">
        <v>0</v>
      </c>
      <c r="G6" s="1" t="s">
        <v>82</v>
      </c>
      <c r="H6" s="1" t="s">
        <v>99</v>
      </c>
    </row>
    <row r="7" spans="1:9" hidden="1" x14ac:dyDescent="0.3">
      <c r="A7" s="1">
        <v>13</v>
      </c>
      <c r="B7" s="1" t="s">
        <v>100</v>
      </c>
      <c r="C7" s="1" t="s">
        <v>101</v>
      </c>
      <c r="D7" s="1" t="s">
        <v>102</v>
      </c>
      <c r="E7" s="1" t="s">
        <v>103</v>
      </c>
      <c r="F7" s="1">
        <v>0</v>
      </c>
      <c r="G7" s="1" t="s">
        <v>82</v>
      </c>
    </row>
    <row r="8" spans="1:9" hidden="1" x14ac:dyDescent="0.3">
      <c r="A8" s="1">
        <v>14</v>
      </c>
      <c r="B8" s="1" t="s">
        <v>104</v>
      </c>
      <c r="C8" s="1" t="s">
        <v>105</v>
      </c>
      <c r="D8" s="1" t="s">
        <v>106</v>
      </c>
      <c r="E8" s="1" t="s">
        <v>68</v>
      </c>
      <c r="F8" s="1">
        <v>0</v>
      </c>
      <c r="G8" s="1" t="s">
        <v>82</v>
      </c>
      <c r="H8" s="1" t="s">
        <v>107</v>
      </c>
    </row>
    <row r="9" spans="1:9" hidden="1" x14ac:dyDescent="0.3">
      <c r="A9" s="1">
        <v>16</v>
      </c>
      <c r="B9" s="1" t="s">
        <v>108</v>
      </c>
      <c r="C9" s="1" t="s">
        <v>109</v>
      </c>
      <c r="D9" s="1" t="s">
        <v>110</v>
      </c>
      <c r="E9" s="1" t="s">
        <v>111</v>
      </c>
      <c r="F9" s="1">
        <v>0</v>
      </c>
      <c r="G9" s="1" t="s">
        <v>82</v>
      </c>
    </row>
    <row r="10" spans="1:9" hidden="1" x14ac:dyDescent="0.3">
      <c r="A10" s="1">
        <v>17</v>
      </c>
      <c r="B10" s="1" t="s">
        <v>112</v>
      </c>
      <c r="C10" s="1" t="s">
        <v>113</v>
      </c>
      <c r="D10" s="1" t="s">
        <v>114</v>
      </c>
      <c r="E10" s="1" t="s">
        <v>111</v>
      </c>
      <c r="F10" s="1">
        <v>0</v>
      </c>
      <c r="G10" s="1" t="s">
        <v>82</v>
      </c>
    </row>
    <row r="11" spans="1:9" hidden="1" x14ac:dyDescent="0.3">
      <c r="A11" s="1">
        <v>18</v>
      </c>
      <c r="B11" s="1" t="s">
        <v>115</v>
      </c>
      <c r="C11" s="1" t="s">
        <v>116</v>
      </c>
      <c r="D11" s="1" t="s">
        <v>117</v>
      </c>
      <c r="E11" s="1" t="s">
        <v>118</v>
      </c>
      <c r="F11" s="1">
        <v>0</v>
      </c>
      <c r="G11" s="1" t="s">
        <v>82</v>
      </c>
    </row>
    <row r="12" spans="1:9" hidden="1" x14ac:dyDescent="0.3">
      <c r="A12" s="1">
        <v>24</v>
      </c>
      <c r="B12" s="1" t="s">
        <v>119</v>
      </c>
      <c r="C12" s="1" t="s">
        <v>120</v>
      </c>
      <c r="D12" s="1" t="s">
        <v>121</v>
      </c>
      <c r="E12" s="1" t="s">
        <v>122</v>
      </c>
      <c r="F12" s="1">
        <v>0</v>
      </c>
      <c r="G12" s="1" t="s">
        <v>82</v>
      </c>
      <c r="I12" s="1" t="s">
        <v>123</v>
      </c>
    </row>
    <row r="13" spans="1:9" hidden="1" x14ac:dyDescent="0.3">
      <c r="A13" s="1">
        <v>27</v>
      </c>
      <c r="B13" s="1" t="s">
        <v>124</v>
      </c>
      <c r="C13" s="1" t="s">
        <v>125</v>
      </c>
      <c r="D13" s="1" t="s">
        <v>126</v>
      </c>
      <c r="E13" s="1" t="s">
        <v>122</v>
      </c>
      <c r="F13" s="1">
        <v>0</v>
      </c>
      <c r="G13" s="1" t="s">
        <v>82</v>
      </c>
      <c r="I13" s="1" t="s">
        <v>123</v>
      </c>
    </row>
    <row r="14" spans="1:9" hidden="1" x14ac:dyDescent="0.3">
      <c r="A14" s="1">
        <v>29</v>
      </c>
      <c r="B14" s="1" t="s">
        <v>127</v>
      </c>
      <c r="C14" s="1" t="s">
        <v>128</v>
      </c>
      <c r="D14" s="1" t="s">
        <v>129</v>
      </c>
      <c r="E14" s="1" t="s">
        <v>130</v>
      </c>
      <c r="F14" s="1">
        <v>0</v>
      </c>
      <c r="G14" s="1" t="s">
        <v>82</v>
      </c>
      <c r="I14" s="1" t="s">
        <v>123</v>
      </c>
    </row>
    <row r="15" spans="1:9" hidden="1" x14ac:dyDescent="0.3">
      <c r="A15" s="1">
        <v>30</v>
      </c>
      <c r="B15" s="1" t="s">
        <v>131</v>
      </c>
      <c r="C15" s="1" t="s">
        <v>132</v>
      </c>
      <c r="D15" s="1" t="s">
        <v>133</v>
      </c>
      <c r="E15" s="1" t="s">
        <v>134</v>
      </c>
      <c r="F15" s="1">
        <v>0</v>
      </c>
      <c r="G15" s="1" t="s">
        <v>82</v>
      </c>
      <c r="I15" s="1" t="s">
        <v>123</v>
      </c>
    </row>
    <row r="16" spans="1:9" hidden="1" x14ac:dyDescent="0.3">
      <c r="A16" s="1">
        <v>32</v>
      </c>
      <c r="B16" s="1" t="s">
        <v>135</v>
      </c>
      <c r="C16" s="1" t="s">
        <v>136</v>
      </c>
      <c r="D16" s="1" t="s">
        <v>114</v>
      </c>
      <c r="E16" s="1" t="s">
        <v>111</v>
      </c>
      <c r="F16" s="1">
        <v>0</v>
      </c>
      <c r="G16" s="1" t="s">
        <v>82</v>
      </c>
      <c r="I16" s="1" t="s">
        <v>123</v>
      </c>
    </row>
    <row r="17" spans="1:9" hidden="1" x14ac:dyDescent="0.3">
      <c r="A17" s="1">
        <v>33</v>
      </c>
      <c r="B17" s="1" t="s">
        <v>137</v>
      </c>
      <c r="C17" s="1" t="s">
        <v>138</v>
      </c>
      <c r="D17" s="1" t="s">
        <v>114</v>
      </c>
      <c r="E17" s="1" t="s">
        <v>111</v>
      </c>
      <c r="F17" s="1">
        <v>0</v>
      </c>
      <c r="G17" s="1" t="s">
        <v>82</v>
      </c>
      <c r="I17" s="1" t="s">
        <v>123</v>
      </c>
    </row>
    <row r="18" spans="1:9" hidden="1" x14ac:dyDescent="0.3">
      <c r="A18" s="1">
        <v>40</v>
      </c>
      <c r="B18" s="1" t="s">
        <v>139</v>
      </c>
      <c r="C18" s="1" t="s">
        <v>140</v>
      </c>
      <c r="D18" s="1" t="s">
        <v>141</v>
      </c>
      <c r="E18" s="1" t="s">
        <v>142</v>
      </c>
      <c r="F18" s="1">
        <v>1</v>
      </c>
      <c r="G18" s="1" t="s">
        <v>143</v>
      </c>
    </row>
    <row r="19" spans="1:9" hidden="1" x14ac:dyDescent="0.3">
      <c r="A19" s="1">
        <v>79</v>
      </c>
      <c r="B19" s="1" t="s">
        <v>144</v>
      </c>
      <c r="C19" s="1" t="s">
        <v>145</v>
      </c>
      <c r="D19" s="1" t="s">
        <v>146</v>
      </c>
      <c r="E19" s="1" t="s">
        <v>147</v>
      </c>
      <c r="F19" s="1">
        <v>1</v>
      </c>
      <c r="G19" s="1" t="s">
        <v>143</v>
      </c>
      <c r="I19" s="1" t="s">
        <v>84</v>
      </c>
    </row>
    <row r="20" spans="1:9" hidden="1" x14ac:dyDescent="0.3">
      <c r="A20" s="1">
        <v>154</v>
      </c>
      <c r="B20" s="1" t="s">
        <v>148</v>
      </c>
      <c r="C20" s="1" t="s">
        <v>149</v>
      </c>
      <c r="D20" s="1" t="s">
        <v>150</v>
      </c>
      <c r="E20" s="1" t="s">
        <v>142</v>
      </c>
      <c r="F20" s="1">
        <v>0</v>
      </c>
      <c r="G20" s="1" t="s">
        <v>82</v>
      </c>
      <c r="I20" s="1" t="s">
        <v>123</v>
      </c>
    </row>
    <row r="21" spans="1:9" hidden="1" x14ac:dyDescent="0.3">
      <c r="A21" s="1">
        <v>165</v>
      </c>
      <c r="B21" s="1" t="s">
        <v>151</v>
      </c>
      <c r="C21" s="1" t="s">
        <v>152</v>
      </c>
      <c r="D21" s="1" t="s">
        <v>153</v>
      </c>
      <c r="E21" s="1" t="s">
        <v>134</v>
      </c>
      <c r="F21" s="1">
        <v>0</v>
      </c>
      <c r="G21" s="1" t="s">
        <v>82</v>
      </c>
      <c r="I21" s="1" t="s">
        <v>123</v>
      </c>
    </row>
    <row r="22" spans="1:9" hidden="1" x14ac:dyDescent="0.3">
      <c r="A22" s="1">
        <v>166</v>
      </c>
      <c r="B22" s="1" t="s">
        <v>154</v>
      </c>
      <c r="C22" s="1" t="s">
        <v>155</v>
      </c>
      <c r="D22" s="1" t="s">
        <v>156</v>
      </c>
      <c r="E22" s="1" t="s">
        <v>111</v>
      </c>
      <c r="F22" s="1">
        <v>0</v>
      </c>
      <c r="G22" s="1" t="s">
        <v>82</v>
      </c>
      <c r="I22" s="1" t="s">
        <v>123</v>
      </c>
    </row>
    <row r="23" spans="1:9" hidden="1" x14ac:dyDescent="0.3">
      <c r="A23" s="1">
        <v>167</v>
      </c>
      <c r="B23" s="1" t="s">
        <v>157</v>
      </c>
      <c r="C23" s="1" t="s">
        <v>158</v>
      </c>
      <c r="D23" s="1" t="s">
        <v>159</v>
      </c>
      <c r="E23" s="1" t="s">
        <v>118</v>
      </c>
      <c r="F23" s="1">
        <v>0</v>
      </c>
      <c r="G23" s="1" t="s">
        <v>82</v>
      </c>
      <c r="I23" s="1" t="s">
        <v>123</v>
      </c>
    </row>
    <row r="24" spans="1:9" hidden="1" x14ac:dyDescent="0.3">
      <c r="A24" s="1">
        <v>174</v>
      </c>
      <c r="B24" s="1" t="s">
        <v>160</v>
      </c>
      <c r="C24" s="1" t="s">
        <v>161</v>
      </c>
      <c r="D24" s="1" t="s">
        <v>162</v>
      </c>
      <c r="E24" s="1" t="s">
        <v>130</v>
      </c>
      <c r="F24" s="1">
        <v>0</v>
      </c>
      <c r="G24" s="1" t="s">
        <v>82</v>
      </c>
      <c r="I24" s="1" t="s">
        <v>123</v>
      </c>
    </row>
    <row r="25" spans="1:9" hidden="1" x14ac:dyDescent="0.3">
      <c r="A25" s="1">
        <v>177</v>
      </c>
      <c r="B25" s="1" t="s">
        <v>163</v>
      </c>
      <c r="C25" s="1" t="s">
        <v>164</v>
      </c>
      <c r="D25" s="1" t="s">
        <v>165</v>
      </c>
      <c r="E25" s="1" t="s">
        <v>142</v>
      </c>
      <c r="F25" s="1">
        <v>0</v>
      </c>
      <c r="G25" s="1" t="s">
        <v>82</v>
      </c>
      <c r="H25" s="1" t="s">
        <v>166</v>
      </c>
      <c r="I25" s="1" t="s">
        <v>123</v>
      </c>
    </row>
    <row r="26" spans="1:9" hidden="1" x14ac:dyDescent="0.3">
      <c r="A26" s="1">
        <v>178</v>
      </c>
      <c r="B26" s="1" t="s">
        <v>167</v>
      </c>
      <c r="C26" s="1" t="s">
        <v>168</v>
      </c>
      <c r="D26" s="1" t="s">
        <v>169</v>
      </c>
      <c r="E26" s="1" t="s">
        <v>170</v>
      </c>
      <c r="F26" s="1">
        <v>0</v>
      </c>
      <c r="G26" s="1" t="s">
        <v>82</v>
      </c>
      <c r="H26" s="1" t="s">
        <v>171</v>
      </c>
      <c r="I26" s="1" t="s">
        <v>84</v>
      </c>
    </row>
    <row r="27" spans="1:9" hidden="1" x14ac:dyDescent="0.3">
      <c r="A27" s="1">
        <v>201</v>
      </c>
      <c r="B27" s="1" t="s">
        <v>172</v>
      </c>
      <c r="C27" s="1" t="s">
        <v>173</v>
      </c>
      <c r="D27" s="1" t="s">
        <v>141</v>
      </c>
      <c r="E27" s="1" t="s">
        <v>111</v>
      </c>
      <c r="F27" s="1">
        <v>1</v>
      </c>
      <c r="G27" s="1" t="s">
        <v>143</v>
      </c>
    </row>
    <row r="28" spans="1:9" hidden="1" x14ac:dyDescent="0.3">
      <c r="A28" s="1">
        <v>207</v>
      </c>
      <c r="B28" s="1" t="s">
        <v>174</v>
      </c>
      <c r="C28" s="1" t="s">
        <v>175</v>
      </c>
      <c r="D28" s="1" t="s">
        <v>176</v>
      </c>
      <c r="E28" s="1" t="s">
        <v>177</v>
      </c>
      <c r="F28" s="1">
        <v>0</v>
      </c>
      <c r="G28" s="1" t="s">
        <v>82</v>
      </c>
      <c r="H28" s="1" t="s">
        <v>178</v>
      </c>
      <c r="I28" s="1" t="s">
        <v>84</v>
      </c>
    </row>
    <row r="29" spans="1:9" hidden="1" x14ac:dyDescent="0.3">
      <c r="A29" s="1">
        <v>209</v>
      </c>
      <c r="B29" s="1" t="s">
        <v>179</v>
      </c>
      <c r="C29" s="1" t="s">
        <v>180</v>
      </c>
      <c r="D29" s="1" t="s">
        <v>181</v>
      </c>
      <c r="E29" s="1" t="s">
        <v>111</v>
      </c>
      <c r="F29" s="1">
        <v>1</v>
      </c>
      <c r="G29" s="1" t="s">
        <v>143</v>
      </c>
    </row>
    <row r="30" spans="1:9" hidden="1" x14ac:dyDescent="0.3">
      <c r="A30" s="1">
        <v>210</v>
      </c>
      <c r="B30" s="1" t="s">
        <v>182</v>
      </c>
      <c r="C30" s="1" t="s">
        <v>183</v>
      </c>
      <c r="D30" s="1" t="s">
        <v>184</v>
      </c>
      <c r="E30" s="1" t="s">
        <v>111</v>
      </c>
      <c r="F30" s="1">
        <v>1</v>
      </c>
      <c r="G30" s="1" t="s">
        <v>143</v>
      </c>
      <c r="I30" s="1" t="s">
        <v>123</v>
      </c>
    </row>
    <row r="31" spans="1:9" hidden="1" x14ac:dyDescent="0.3">
      <c r="A31" s="1">
        <v>212</v>
      </c>
      <c r="B31" s="1" t="s">
        <v>185</v>
      </c>
      <c r="C31" s="1" t="s">
        <v>186</v>
      </c>
      <c r="D31" s="1" t="s">
        <v>187</v>
      </c>
      <c r="E31" s="1" t="s">
        <v>177</v>
      </c>
      <c r="F31" s="1">
        <v>0</v>
      </c>
      <c r="G31" s="1" t="s">
        <v>82</v>
      </c>
      <c r="I31" s="1" t="s">
        <v>188</v>
      </c>
    </row>
    <row r="32" spans="1:9" hidden="1" x14ac:dyDescent="0.3">
      <c r="A32" s="1">
        <v>213</v>
      </c>
      <c r="B32" s="1" t="s">
        <v>189</v>
      </c>
      <c r="C32" s="1" t="s">
        <v>190</v>
      </c>
      <c r="D32" s="1" t="s">
        <v>187</v>
      </c>
      <c r="E32" s="1" t="s">
        <v>177</v>
      </c>
      <c r="F32" s="1">
        <v>0</v>
      </c>
      <c r="G32" s="1" t="s">
        <v>82</v>
      </c>
      <c r="I32" s="1" t="s">
        <v>188</v>
      </c>
    </row>
    <row r="33" spans="1:9" hidden="1" x14ac:dyDescent="0.3">
      <c r="A33" s="1">
        <v>215</v>
      </c>
      <c r="B33" s="1" t="s">
        <v>191</v>
      </c>
      <c r="C33" s="1" t="s">
        <v>192</v>
      </c>
      <c r="D33" s="1" t="s">
        <v>193</v>
      </c>
      <c r="E33" s="1" t="s">
        <v>142</v>
      </c>
      <c r="F33" s="1">
        <v>0</v>
      </c>
      <c r="G33" s="1" t="s">
        <v>82</v>
      </c>
      <c r="I33" s="1" t="s">
        <v>123</v>
      </c>
    </row>
    <row r="34" spans="1:9" hidden="1" x14ac:dyDescent="0.3">
      <c r="A34" s="1">
        <v>226</v>
      </c>
      <c r="B34" s="1" t="s">
        <v>194</v>
      </c>
      <c r="C34" s="1" t="s">
        <v>195</v>
      </c>
      <c r="D34" s="1" t="s">
        <v>196</v>
      </c>
      <c r="E34" s="1" t="s">
        <v>197</v>
      </c>
      <c r="F34" s="1">
        <v>0</v>
      </c>
      <c r="G34" s="1" t="s">
        <v>82</v>
      </c>
      <c r="I34" s="1" t="s">
        <v>123</v>
      </c>
    </row>
    <row r="35" spans="1:9" hidden="1" x14ac:dyDescent="0.3">
      <c r="A35" s="1">
        <v>231</v>
      </c>
      <c r="B35" s="1" t="s">
        <v>198</v>
      </c>
      <c r="C35" s="1" t="s">
        <v>199</v>
      </c>
      <c r="D35" s="1" t="s">
        <v>126</v>
      </c>
      <c r="E35" s="1" t="s">
        <v>177</v>
      </c>
      <c r="F35" s="1">
        <v>0</v>
      </c>
      <c r="G35" s="1" t="s">
        <v>82</v>
      </c>
      <c r="I35" s="1" t="s">
        <v>188</v>
      </c>
    </row>
    <row r="36" spans="1:9" hidden="1" x14ac:dyDescent="0.3">
      <c r="A36" s="1">
        <v>235</v>
      </c>
      <c r="B36" s="1" t="s">
        <v>200</v>
      </c>
      <c r="C36" s="1" t="s">
        <v>201</v>
      </c>
      <c r="D36" s="1" t="s">
        <v>202</v>
      </c>
      <c r="E36" s="1" t="s">
        <v>111</v>
      </c>
      <c r="F36" s="1">
        <v>0</v>
      </c>
      <c r="G36" s="1" t="s">
        <v>82</v>
      </c>
      <c r="I36" s="1" t="s">
        <v>123</v>
      </c>
    </row>
    <row r="37" spans="1:9" hidden="1" x14ac:dyDescent="0.3">
      <c r="A37" s="1">
        <v>238</v>
      </c>
      <c r="B37" s="1" t="s">
        <v>203</v>
      </c>
      <c r="C37" s="1" t="s">
        <v>204</v>
      </c>
      <c r="D37" s="1" t="s">
        <v>205</v>
      </c>
      <c r="E37" s="1" t="s">
        <v>91</v>
      </c>
      <c r="F37" s="1">
        <v>0</v>
      </c>
      <c r="G37" s="1" t="s">
        <v>82</v>
      </c>
      <c r="H37" s="1" t="s">
        <v>206</v>
      </c>
      <c r="I37" s="1" t="s">
        <v>123</v>
      </c>
    </row>
    <row r="38" spans="1:9" hidden="1" x14ac:dyDescent="0.3">
      <c r="A38" s="1">
        <v>242</v>
      </c>
      <c r="B38" s="1" t="s">
        <v>207</v>
      </c>
      <c r="C38" s="1" t="s">
        <v>208</v>
      </c>
      <c r="D38" s="1" t="s">
        <v>209</v>
      </c>
      <c r="E38" s="1" t="s">
        <v>111</v>
      </c>
      <c r="F38" s="1">
        <v>1</v>
      </c>
      <c r="G38" s="1" t="s">
        <v>143</v>
      </c>
    </row>
    <row r="39" spans="1:9" hidden="1" x14ac:dyDescent="0.3">
      <c r="A39" s="1">
        <v>243</v>
      </c>
      <c r="B39" s="1" t="s">
        <v>210</v>
      </c>
      <c r="C39" s="1" t="s">
        <v>211</v>
      </c>
      <c r="D39" s="1" t="s">
        <v>114</v>
      </c>
      <c r="E39" s="1" t="s">
        <v>111</v>
      </c>
      <c r="F39" s="1">
        <v>0</v>
      </c>
      <c r="G39" s="1" t="s">
        <v>82</v>
      </c>
      <c r="I39" s="1" t="s">
        <v>123</v>
      </c>
    </row>
    <row r="40" spans="1:9" x14ac:dyDescent="0.3">
      <c r="A40" s="1">
        <v>245</v>
      </c>
      <c r="B40" s="1" t="s">
        <v>212</v>
      </c>
      <c r="C40" s="1" t="s">
        <v>213</v>
      </c>
      <c r="D40" s="1" t="s">
        <v>214</v>
      </c>
      <c r="E40" s="1" t="s">
        <v>215</v>
      </c>
      <c r="F40" s="1">
        <v>0</v>
      </c>
      <c r="G40" s="1" t="s">
        <v>82</v>
      </c>
      <c r="H40" s="1" t="s">
        <v>216</v>
      </c>
      <c r="I40" s="1" t="s">
        <v>123</v>
      </c>
    </row>
    <row r="41" spans="1:9" hidden="1" x14ac:dyDescent="0.3">
      <c r="A41" s="1">
        <v>262</v>
      </c>
      <c r="B41" s="1" t="s">
        <v>217</v>
      </c>
      <c r="C41" s="1" t="s">
        <v>218</v>
      </c>
      <c r="D41" s="1" t="s">
        <v>156</v>
      </c>
      <c r="E41" s="1" t="s">
        <v>134</v>
      </c>
      <c r="F41" s="1">
        <v>0</v>
      </c>
      <c r="G41" s="1" t="s">
        <v>82</v>
      </c>
      <c r="I41" s="1" t="s">
        <v>123</v>
      </c>
    </row>
    <row r="42" spans="1:9" hidden="1" x14ac:dyDescent="0.3">
      <c r="A42" s="1">
        <v>268</v>
      </c>
      <c r="B42" s="1" t="s">
        <v>219</v>
      </c>
      <c r="C42" s="1" t="s">
        <v>220</v>
      </c>
      <c r="D42" s="1" t="s">
        <v>221</v>
      </c>
      <c r="E42" s="1" t="s">
        <v>197</v>
      </c>
      <c r="F42" s="1">
        <v>1</v>
      </c>
      <c r="G42" s="1" t="s">
        <v>143</v>
      </c>
    </row>
    <row r="43" spans="1:9" hidden="1" x14ac:dyDescent="0.3">
      <c r="A43" s="1">
        <v>269</v>
      </c>
      <c r="B43" s="1" t="s">
        <v>222</v>
      </c>
      <c r="C43" s="1" t="s">
        <v>223</v>
      </c>
      <c r="D43" s="1" t="s">
        <v>224</v>
      </c>
      <c r="E43" s="1" t="s">
        <v>68</v>
      </c>
      <c r="F43" s="1">
        <v>1</v>
      </c>
      <c r="G43" s="1" t="s">
        <v>143</v>
      </c>
      <c r="I43" s="1" t="s">
        <v>123</v>
      </c>
    </row>
    <row r="44" spans="1:9" hidden="1" x14ac:dyDescent="0.3">
      <c r="A44" s="1">
        <v>271</v>
      </c>
      <c r="B44" s="1" t="s">
        <v>225</v>
      </c>
      <c r="C44" s="1" t="s">
        <v>226</v>
      </c>
      <c r="D44" s="1" t="s">
        <v>227</v>
      </c>
      <c r="E44" s="1" t="s">
        <v>65</v>
      </c>
      <c r="F44" s="1">
        <v>1</v>
      </c>
      <c r="G44" s="1" t="s">
        <v>143</v>
      </c>
    </row>
    <row r="45" spans="1:9" hidden="1" x14ac:dyDescent="0.3">
      <c r="A45" s="1">
        <v>272</v>
      </c>
      <c r="B45" s="1" t="s">
        <v>228</v>
      </c>
      <c r="C45" s="1" t="s">
        <v>229</v>
      </c>
      <c r="D45" s="1" t="s">
        <v>230</v>
      </c>
      <c r="E45" s="1" t="s">
        <v>197</v>
      </c>
      <c r="F45" s="1">
        <v>1</v>
      </c>
      <c r="G45" s="1" t="s">
        <v>143</v>
      </c>
    </row>
    <row r="46" spans="1:9" hidden="1" x14ac:dyDescent="0.3">
      <c r="A46" s="1">
        <v>276</v>
      </c>
      <c r="B46" s="1" t="s">
        <v>231</v>
      </c>
      <c r="C46" s="1" t="s">
        <v>232</v>
      </c>
      <c r="D46" s="1" t="s">
        <v>233</v>
      </c>
      <c r="E46" s="1" t="s">
        <v>142</v>
      </c>
      <c r="F46" s="1">
        <v>0</v>
      </c>
      <c r="G46" s="1" t="s">
        <v>82</v>
      </c>
      <c r="H46" s="1" t="s">
        <v>234</v>
      </c>
      <c r="I46" s="1" t="s">
        <v>123</v>
      </c>
    </row>
    <row r="47" spans="1:9" hidden="1" x14ac:dyDescent="0.3">
      <c r="A47" s="1">
        <v>278</v>
      </c>
      <c r="B47" s="1" t="s">
        <v>235</v>
      </c>
      <c r="C47" s="1" t="s">
        <v>236</v>
      </c>
      <c r="D47" s="1" t="s">
        <v>237</v>
      </c>
      <c r="E47" s="1" t="s">
        <v>238</v>
      </c>
      <c r="F47" s="1">
        <v>1</v>
      </c>
      <c r="G47" s="1" t="s">
        <v>143</v>
      </c>
    </row>
    <row r="48" spans="1:9" hidden="1" x14ac:dyDescent="0.3">
      <c r="A48" s="1">
        <v>279</v>
      </c>
      <c r="B48" s="1" t="s">
        <v>239</v>
      </c>
      <c r="C48" s="1" t="s">
        <v>240</v>
      </c>
      <c r="D48" s="1" t="s">
        <v>241</v>
      </c>
      <c r="E48" s="1" t="s">
        <v>118</v>
      </c>
      <c r="F48" s="1">
        <v>0</v>
      </c>
      <c r="G48" s="1" t="s">
        <v>82</v>
      </c>
      <c r="I48" s="1" t="s">
        <v>123</v>
      </c>
    </row>
    <row r="49" spans="1:9" hidden="1" x14ac:dyDescent="0.3">
      <c r="A49" s="1">
        <v>280</v>
      </c>
      <c r="B49" s="1" t="s">
        <v>242</v>
      </c>
      <c r="C49" s="1" t="s">
        <v>243</v>
      </c>
      <c r="D49" s="1" t="s">
        <v>244</v>
      </c>
      <c r="E49" s="1" t="s">
        <v>245</v>
      </c>
      <c r="F49" s="1">
        <v>0</v>
      </c>
      <c r="G49" s="1" t="s">
        <v>82</v>
      </c>
      <c r="I49" s="1" t="s">
        <v>84</v>
      </c>
    </row>
    <row r="50" spans="1:9" hidden="1" x14ac:dyDescent="0.3">
      <c r="A50" s="1">
        <v>281</v>
      </c>
      <c r="B50" s="1" t="s">
        <v>246</v>
      </c>
      <c r="C50" s="1" t="s">
        <v>247</v>
      </c>
      <c r="D50" s="1" t="s">
        <v>248</v>
      </c>
      <c r="E50" s="1" t="s">
        <v>245</v>
      </c>
      <c r="F50" s="1">
        <v>0</v>
      </c>
      <c r="G50" s="1" t="s">
        <v>82</v>
      </c>
      <c r="H50" s="1" t="s">
        <v>249</v>
      </c>
      <c r="I50" s="1" t="s">
        <v>84</v>
      </c>
    </row>
    <row r="51" spans="1:9" hidden="1" x14ac:dyDescent="0.3">
      <c r="A51" s="1">
        <v>297</v>
      </c>
      <c r="B51" s="1" t="s">
        <v>250</v>
      </c>
      <c r="C51" s="1" t="s">
        <v>251</v>
      </c>
      <c r="D51" s="1" t="s">
        <v>252</v>
      </c>
      <c r="E51" s="1" t="s">
        <v>147</v>
      </c>
      <c r="F51" s="1">
        <v>1</v>
      </c>
      <c r="G51" s="1" t="s">
        <v>143</v>
      </c>
    </row>
    <row r="52" spans="1:9" hidden="1" x14ac:dyDescent="0.3">
      <c r="A52" s="1">
        <v>306</v>
      </c>
      <c r="B52" s="1" t="s">
        <v>253</v>
      </c>
      <c r="C52" s="1" t="s">
        <v>254</v>
      </c>
      <c r="D52" s="1" t="s">
        <v>252</v>
      </c>
      <c r="E52" s="1" t="s">
        <v>255</v>
      </c>
      <c r="F52" s="1">
        <v>0</v>
      </c>
      <c r="G52" s="1" t="s">
        <v>82</v>
      </c>
      <c r="I52" s="1" t="s">
        <v>188</v>
      </c>
    </row>
    <row r="53" spans="1:9" hidden="1" x14ac:dyDescent="0.3">
      <c r="A53" s="1">
        <v>309</v>
      </c>
      <c r="B53" s="1" t="s">
        <v>256</v>
      </c>
      <c r="C53" s="1" t="s">
        <v>257</v>
      </c>
      <c r="D53" s="1" t="s">
        <v>258</v>
      </c>
      <c r="E53" s="1" t="s">
        <v>259</v>
      </c>
      <c r="F53" s="1">
        <v>0</v>
      </c>
      <c r="G53" s="1" t="s">
        <v>82</v>
      </c>
      <c r="I53" s="1" t="s">
        <v>188</v>
      </c>
    </row>
    <row r="54" spans="1:9" hidden="1" x14ac:dyDescent="0.3">
      <c r="A54" s="1">
        <v>326</v>
      </c>
      <c r="B54" s="1" t="s">
        <v>260</v>
      </c>
      <c r="C54" s="1" t="s">
        <v>261</v>
      </c>
      <c r="D54" s="1" t="s">
        <v>262</v>
      </c>
      <c r="E54" s="1" t="s">
        <v>134</v>
      </c>
      <c r="F54" s="1">
        <v>0</v>
      </c>
      <c r="G54" s="1" t="s">
        <v>82</v>
      </c>
      <c r="I54" s="1" t="s">
        <v>123</v>
      </c>
    </row>
    <row r="55" spans="1:9" hidden="1" x14ac:dyDescent="0.3">
      <c r="A55" s="1">
        <v>330</v>
      </c>
      <c r="B55" s="1" t="s">
        <v>263</v>
      </c>
      <c r="C55" s="1" t="s">
        <v>264</v>
      </c>
      <c r="D55" s="1" t="s">
        <v>252</v>
      </c>
      <c r="E55" s="1" t="s">
        <v>255</v>
      </c>
      <c r="F55" s="1">
        <v>1</v>
      </c>
      <c r="G55" s="1" t="s">
        <v>143</v>
      </c>
    </row>
    <row r="56" spans="1:9" hidden="1" x14ac:dyDescent="0.3">
      <c r="A56" s="1">
        <v>335</v>
      </c>
      <c r="B56" s="1" t="s">
        <v>265</v>
      </c>
      <c r="C56" s="1" t="s">
        <v>266</v>
      </c>
      <c r="D56" s="1" t="s">
        <v>267</v>
      </c>
      <c r="E56" s="1" t="s">
        <v>255</v>
      </c>
      <c r="F56" s="1">
        <v>1</v>
      </c>
      <c r="G56" s="1" t="s">
        <v>143</v>
      </c>
    </row>
    <row r="57" spans="1:9" hidden="1" x14ac:dyDescent="0.3">
      <c r="A57" s="1">
        <v>336</v>
      </c>
      <c r="B57" s="1" t="s">
        <v>268</v>
      </c>
      <c r="C57" s="1" t="s">
        <v>269</v>
      </c>
      <c r="D57" s="1" t="s">
        <v>270</v>
      </c>
      <c r="E57" s="1" t="s">
        <v>147</v>
      </c>
      <c r="F57" s="1">
        <v>1</v>
      </c>
      <c r="G57" s="1" t="s">
        <v>143</v>
      </c>
      <c r="I57" s="1" t="s">
        <v>188</v>
      </c>
    </row>
    <row r="58" spans="1:9" hidden="1" x14ac:dyDescent="0.3">
      <c r="A58" s="1">
        <v>337</v>
      </c>
      <c r="B58" s="1" t="s">
        <v>271</v>
      </c>
      <c r="C58" s="1" t="s">
        <v>272</v>
      </c>
      <c r="D58" s="1" t="s">
        <v>252</v>
      </c>
      <c r="E58" s="1" t="s">
        <v>255</v>
      </c>
      <c r="F58" s="1">
        <v>1</v>
      </c>
      <c r="G58" s="1" t="s">
        <v>143</v>
      </c>
    </row>
    <row r="59" spans="1:9" hidden="1" x14ac:dyDescent="0.3">
      <c r="A59" s="1">
        <v>342</v>
      </c>
      <c r="B59" s="1" t="s">
        <v>273</v>
      </c>
      <c r="C59" s="1" t="s">
        <v>274</v>
      </c>
      <c r="D59" s="1" t="s">
        <v>275</v>
      </c>
      <c r="E59" s="1" t="s">
        <v>118</v>
      </c>
      <c r="F59" s="1">
        <v>0</v>
      </c>
      <c r="G59" s="1" t="s">
        <v>82</v>
      </c>
      <c r="I59" s="1" t="s">
        <v>123</v>
      </c>
    </row>
    <row r="60" spans="1:9" hidden="1" x14ac:dyDescent="0.3">
      <c r="A60" s="1">
        <v>355</v>
      </c>
      <c r="B60" s="1" t="s">
        <v>276</v>
      </c>
      <c r="C60" s="1" t="s">
        <v>277</v>
      </c>
      <c r="D60" s="1" t="s">
        <v>278</v>
      </c>
      <c r="E60" s="1" t="s">
        <v>259</v>
      </c>
      <c r="F60" s="1">
        <v>1</v>
      </c>
      <c r="G60" s="1" t="s">
        <v>143</v>
      </c>
      <c r="I60" s="1" t="s">
        <v>188</v>
      </c>
    </row>
    <row r="61" spans="1:9" hidden="1" x14ac:dyDescent="0.3">
      <c r="A61" s="1">
        <v>378</v>
      </c>
      <c r="B61" s="1" t="s">
        <v>279</v>
      </c>
      <c r="C61" s="1" t="s">
        <v>280</v>
      </c>
      <c r="D61" s="1" t="s">
        <v>252</v>
      </c>
      <c r="E61" s="1" t="s">
        <v>147</v>
      </c>
      <c r="F61" s="1">
        <v>0</v>
      </c>
      <c r="G61" s="1" t="s">
        <v>82</v>
      </c>
      <c r="I61" s="1" t="s">
        <v>188</v>
      </c>
    </row>
    <row r="62" spans="1:9" hidden="1" x14ac:dyDescent="0.3">
      <c r="A62" s="1">
        <v>382</v>
      </c>
      <c r="B62" s="1" t="s">
        <v>281</v>
      </c>
      <c r="C62" s="1" t="s">
        <v>282</v>
      </c>
      <c r="D62" s="1" t="s">
        <v>283</v>
      </c>
      <c r="E62" s="1" t="s">
        <v>197</v>
      </c>
      <c r="F62" s="1">
        <v>1</v>
      </c>
      <c r="G62" s="1" t="s">
        <v>143</v>
      </c>
    </row>
    <row r="63" spans="1:9" hidden="1" x14ac:dyDescent="0.3">
      <c r="A63" s="1">
        <v>383</v>
      </c>
      <c r="B63" s="1" t="s">
        <v>284</v>
      </c>
      <c r="C63" s="1" t="s">
        <v>285</v>
      </c>
      <c r="D63" s="1" t="s">
        <v>283</v>
      </c>
      <c r="E63" s="1" t="s">
        <v>197</v>
      </c>
      <c r="F63" s="1">
        <v>0</v>
      </c>
      <c r="G63" s="1" t="s">
        <v>82</v>
      </c>
      <c r="I63" s="1" t="s">
        <v>123</v>
      </c>
    </row>
    <row r="64" spans="1:9" hidden="1" x14ac:dyDescent="0.3">
      <c r="A64" s="1">
        <v>390</v>
      </c>
      <c r="B64" s="1" t="s">
        <v>286</v>
      </c>
      <c r="C64" s="1" t="s">
        <v>287</v>
      </c>
      <c r="D64" s="1" t="s">
        <v>288</v>
      </c>
      <c r="E64" s="1" t="s">
        <v>289</v>
      </c>
      <c r="F64" s="1">
        <v>0</v>
      </c>
      <c r="G64" s="1" t="s">
        <v>82</v>
      </c>
      <c r="H64" s="1" t="s">
        <v>290</v>
      </c>
      <c r="I64" s="1" t="s">
        <v>84</v>
      </c>
    </row>
    <row r="65" spans="1:9" hidden="1" x14ac:dyDescent="0.3">
      <c r="A65" s="1">
        <v>391</v>
      </c>
      <c r="B65" s="1" t="s">
        <v>291</v>
      </c>
      <c r="C65" s="1" t="s">
        <v>292</v>
      </c>
      <c r="D65" s="1" t="s">
        <v>293</v>
      </c>
      <c r="E65" s="1" t="s">
        <v>289</v>
      </c>
      <c r="F65" s="1">
        <v>1</v>
      </c>
      <c r="G65" s="1" t="s">
        <v>143</v>
      </c>
      <c r="I65" s="1" t="s">
        <v>84</v>
      </c>
    </row>
    <row r="66" spans="1:9" hidden="1" x14ac:dyDescent="0.3">
      <c r="A66" s="1">
        <v>397</v>
      </c>
      <c r="B66" s="1" t="s">
        <v>294</v>
      </c>
      <c r="C66" s="1" t="s">
        <v>295</v>
      </c>
      <c r="D66" s="1" t="s">
        <v>252</v>
      </c>
      <c r="E66" s="1" t="s">
        <v>255</v>
      </c>
      <c r="F66" s="1">
        <v>1</v>
      </c>
      <c r="G66" s="1" t="s">
        <v>143</v>
      </c>
    </row>
    <row r="67" spans="1:9" hidden="1" x14ac:dyDescent="0.3">
      <c r="A67" s="1">
        <v>398</v>
      </c>
      <c r="B67" s="1" t="s">
        <v>296</v>
      </c>
      <c r="C67" s="1" t="s">
        <v>297</v>
      </c>
      <c r="D67" s="1" t="s">
        <v>267</v>
      </c>
      <c r="E67" s="1" t="s">
        <v>259</v>
      </c>
      <c r="F67" s="1">
        <v>1</v>
      </c>
      <c r="G67" s="1" t="s">
        <v>143</v>
      </c>
    </row>
    <row r="68" spans="1:9" hidden="1" x14ac:dyDescent="0.3">
      <c r="A68" s="1">
        <v>403</v>
      </c>
      <c r="B68" s="1" t="s">
        <v>298</v>
      </c>
      <c r="C68" s="1" t="s">
        <v>299</v>
      </c>
      <c r="D68" s="1" t="s">
        <v>270</v>
      </c>
      <c r="E68" s="1" t="s">
        <v>255</v>
      </c>
      <c r="F68" s="1">
        <v>0</v>
      </c>
      <c r="G68" s="1" t="s">
        <v>82</v>
      </c>
      <c r="I68" s="1" t="s">
        <v>188</v>
      </c>
    </row>
    <row r="69" spans="1:9" hidden="1" x14ac:dyDescent="0.3">
      <c r="A69" s="1">
        <v>404</v>
      </c>
      <c r="B69" s="1" t="s">
        <v>300</v>
      </c>
      <c r="C69" s="1" t="s">
        <v>301</v>
      </c>
      <c r="D69" s="1" t="s">
        <v>270</v>
      </c>
      <c r="E69" s="1" t="s">
        <v>259</v>
      </c>
      <c r="F69" s="1">
        <v>0</v>
      </c>
      <c r="G69" s="1" t="s">
        <v>82</v>
      </c>
      <c r="I69" s="1" t="s">
        <v>188</v>
      </c>
    </row>
    <row r="70" spans="1:9" hidden="1" x14ac:dyDescent="0.3">
      <c r="A70" s="1">
        <v>405</v>
      </c>
      <c r="B70" s="1" t="s">
        <v>302</v>
      </c>
      <c r="C70" s="1" t="s">
        <v>303</v>
      </c>
      <c r="D70" s="1" t="s">
        <v>278</v>
      </c>
      <c r="E70" s="1" t="s">
        <v>255</v>
      </c>
      <c r="F70" s="1">
        <v>0</v>
      </c>
      <c r="G70" s="1" t="s">
        <v>82</v>
      </c>
      <c r="I70" s="1" t="s">
        <v>188</v>
      </c>
    </row>
    <row r="71" spans="1:9" hidden="1" x14ac:dyDescent="0.3">
      <c r="A71" s="1">
        <v>413</v>
      </c>
      <c r="B71" s="1" t="s">
        <v>304</v>
      </c>
      <c r="C71" s="1" t="s">
        <v>305</v>
      </c>
      <c r="D71" s="1" t="s">
        <v>306</v>
      </c>
      <c r="E71" s="1" t="s">
        <v>142</v>
      </c>
      <c r="F71" s="1">
        <v>0</v>
      </c>
      <c r="G71" s="1" t="s">
        <v>82</v>
      </c>
      <c r="I71" s="1" t="s">
        <v>123</v>
      </c>
    </row>
    <row r="72" spans="1:9" hidden="1" x14ac:dyDescent="0.3">
      <c r="A72" s="1">
        <v>426</v>
      </c>
      <c r="B72" s="1" t="s">
        <v>307</v>
      </c>
      <c r="C72" s="1" t="s">
        <v>308</v>
      </c>
      <c r="D72" s="1" t="s">
        <v>309</v>
      </c>
      <c r="E72" s="1" t="s">
        <v>170</v>
      </c>
      <c r="F72" s="1">
        <v>1</v>
      </c>
      <c r="G72" s="1" t="s">
        <v>143</v>
      </c>
    </row>
    <row r="73" spans="1:9" hidden="1" x14ac:dyDescent="0.3">
      <c r="A73" s="1">
        <v>436</v>
      </c>
      <c r="B73" s="1" t="s">
        <v>310</v>
      </c>
      <c r="C73" s="1" t="s">
        <v>311</v>
      </c>
      <c r="D73" s="1" t="s">
        <v>252</v>
      </c>
      <c r="E73" s="1" t="s">
        <v>255</v>
      </c>
      <c r="F73" s="1">
        <v>1</v>
      </c>
      <c r="G73" s="1" t="s">
        <v>143</v>
      </c>
    </row>
    <row r="74" spans="1:9" hidden="1" x14ac:dyDescent="0.3">
      <c r="A74" s="1">
        <v>438</v>
      </c>
      <c r="B74" s="1" t="s">
        <v>312</v>
      </c>
      <c r="C74" s="1" t="s">
        <v>313</v>
      </c>
      <c r="D74" s="1" t="s">
        <v>202</v>
      </c>
      <c r="E74" s="1" t="s">
        <v>111</v>
      </c>
      <c r="F74" s="1">
        <v>0</v>
      </c>
      <c r="G74" s="1" t="s">
        <v>82</v>
      </c>
      <c r="I74" s="1" t="s">
        <v>123</v>
      </c>
    </row>
    <row r="75" spans="1:9" hidden="1" x14ac:dyDescent="0.3">
      <c r="A75" s="1">
        <v>439</v>
      </c>
      <c r="B75" s="1" t="s">
        <v>314</v>
      </c>
      <c r="C75" s="1" t="s">
        <v>315</v>
      </c>
      <c r="D75" s="1" t="s">
        <v>316</v>
      </c>
      <c r="E75" s="1" t="s">
        <v>111</v>
      </c>
      <c r="F75" s="1">
        <v>1</v>
      </c>
      <c r="G75" s="1" t="s">
        <v>143</v>
      </c>
    </row>
    <row r="76" spans="1:9" hidden="1" x14ac:dyDescent="0.3">
      <c r="A76" s="1">
        <v>441</v>
      </c>
      <c r="B76" s="1" t="s">
        <v>317</v>
      </c>
      <c r="C76" s="1" t="s">
        <v>318</v>
      </c>
      <c r="D76" s="1" t="s">
        <v>141</v>
      </c>
      <c r="E76" s="1" t="s">
        <v>111</v>
      </c>
      <c r="F76" s="1">
        <v>1</v>
      </c>
      <c r="G76" s="1" t="s">
        <v>143</v>
      </c>
    </row>
    <row r="77" spans="1:9" hidden="1" x14ac:dyDescent="0.3">
      <c r="A77" s="1">
        <v>448</v>
      </c>
      <c r="B77" s="1" t="s">
        <v>319</v>
      </c>
      <c r="C77" s="1" t="s">
        <v>320</v>
      </c>
      <c r="D77" s="1" t="s">
        <v>270</v>
      </c>
      <c r="E77" s="1" t="s">
        <v>259</v>
      </c>
      <c r="F77" s="1">
        <v>0</v>
      </c>
      <c r="G77" s="1" t="s">
        <v>82</v>
      </c>
      <c r="I77" s="1" t="s">
        <v>188</v>
      </c>
    </row>
    <row r="78" spans="1:9" hidden="1" x14ac:dyDescent="0.3">
      <c r="A78" s="1">
        <v>454</v>
      </c>
      <c r="B78" s="1" t="s">
        <v>321</v>
      </c>
      <c r="C78" s="1" t="s">
        <v>322</v>
      </c>
      <c r="D78" s="1" t="s">
        <v>323</v>
      </c>
      <c r="E78" s="1" t="s">
        <v>122</v>
      </c>
      <c r="F78" s="1">
        <v>1</v>
      </c>
      <c r="G78" s="1" t="s">
        <v>143</v>
      </c>
    </row>
    <row r="79" spans="1:9" hidden="1" x14ac:dyDescent="0.3">
      <c r="A79" s="1">
        <v>461</v>
      </c>
      <c r="B79" s="1" t="s">
        <v>324</v>
      </c>
      <c r="C79" s="1" t="s">
        <v>325</v>
      </c>
      <c r="D79" s="1" t="s">
        <v>252</v>
      </c>
      <c r="E79" s="1" t="s">
        <v>147</v>
      </c>
      <c r="F79" s="1">
        <v>1</v>
      </c>
      <c r="G79" s="1" t="s">
        <v>143</v>
      </c>
    </row>
    <row r="80" spans="1:9" hidden="1" x14ac:dyDescent="0.3">
      <c r="A80" s="1">
        <v>462</v>
      </c>
      <c r="B80" s="1" t="s">
        <v>326</v>
      </c>
      <c r="C80" s="1" t="s">
        <v>327</v>
      </c>
      <c r="D80" s="1" t="s">
        <v>252</v>
      </c>
      <c r="E80" s="1" t="s">
        <v>255</v>
      </c>
      <c r="F80" s="1">
        <v>1</v>
      </c>
      <c r="G80" s="1" t="s">
        <v>143</v>
      </c>
    </row>
    <row r="81" spans="1:9" hidden="1" x14ac:dyDescent="0.3">
      <c r="A81" s="1">
        <v>466</v>
      </c>
      <c r="B81" s="1" t="s">
        <v>328</v>
      </c>
      <c r="C81" s="1" t="s">
        <v>329</v>
      </c>
      <c r="D81" s="1" t="s">
        <v>330</v>
      </c>
      <c r="E81" s="1" t="s">
        <v>331</v>
      </c>
      <c r="F81" s="1">
        <v>1</v>
      </c>
      <c r="G81" s="1" t="s">
        <v>143</v>
      </c>
    </row>
    <row r="82" spans="1:9" hidden="1" x14ac:dyDescent="0.3">
      <c r="A82" s="1">
        <v>475</v>
      </c>
      <c r="B82" s="1" t="s">
        <v>332</v>
      </c>
      <c r="C82" s="1" t="s">
        <v>333</v>
      </c>
      <c r="D82" s="1" t="s">
        <v>270</v>
      </c>
      <c r="E82" s="1" t="s">
        <v>331</v>
      </c>
      <c r="F82" s="1">
        <v>1</v>
      </c>
      <c r="G82" s="1" t="s">
        <v>143</v>
      </c>
    </row>
    <row r="83" spans="1:9" hidden="1" x14ac:dyDescent="0.3">
      <c r="A83" s="1">
        <v>480</v>
      </c>
      <c r="B83" s="1" t="s">
        <v>334</v>
      </c>
      <c r="C83" s="1" t="s">
        <v>335</v>
      </c>
      <c r="D83" s="1" t="s">
        <v>336</v>
      </c>
      <c r="E83" s="1" t="s">
        <v>331</v>
      </c>
      <c r="F83" s="1">
        <v>1</v>
      </c>
      <c r="G83" s="1" t="s">
        <v>143</v>
      </c>
    </row>
    <row r="84" spans="1:9" hidden="1" x14ac:dyDescent="0.3">
      <c r="A84" s="1">
        <v>482</v>
      </c>
      <c r="B84" s="1" t="s">
        <v>337</v>
      </c>
      <c r="C84" s="1" t="s">
        <v>338</v>
      </c>
      <c r="D84" s="1" t="s">
        <v>339</v>
      </c>
      <c r="E84" s="1" t="s">
        <v>340</v>
      </c>
      <c r="F84" s="1">
        <v>1</v>
      </c>
      <c r="G84" s="1" t="s">
        <v>143</v>
      </c>
    </row>
    <row r="85" spans="1:9" hidden="1" x14ac:dyDescent="0.3">
      <c r="A85" s="1">
        <v>485</v>
      </c>
      <c r="B85" s="1" t="s">
        <v>341</v>
      </c>
      <c r="C85" s="1" t="s">
        <v>342</v>
      </c>
      <c r="D85" s="1" t="s">
        <v>336</v>
      </c>
      <c r="E85" s="1" t="s">
        <v>331</v>
      </c>
      <c r="F85" s="1">
        <v>1</v>
      </c>
      <c r="G85" s="1" t="s">
        <v>143</v>
      </c>
      <c r="I85" s="1" t="s">
        <v>188</v>
      </c>
    </row>
    <row r="86" spans="1:9" hidden="1" x14ac:dyDescent="0.3">
      <c r="A86" s="1">
        <v>486</v>
      </c>
      <c r="B86" s="1" t="s">
        <v>343</v>
      </c>
      <c r="C86" s="1" t="s">
        <v>344</v>
      </c>
      <c r="D86" s="1" t="s">
        <v>345</v>
      </c>
      <c r="E86" s="1" t="s">
        <v>331</v>
      </c>
      <c r="F86" s="1">
        <v>1</v>
      </c>
      <c r="G86" s="1" t="s">
        <v>143</v>
      </c>
    </row>
    <row r="87" spans="1:9" hidden="1" x14ac:dyDescent="0.3">
      <c r="A87" s="1">
        <v>488</v>
      </c>
      <c r="B87" s="1" t="s">
        <v>346</v>
      </c>
      <c r="C87" s="1" t="s">
        <v>347</v>
      </c>
      <c r="D87" s="1" t="s">
        <v>348</v>
      </c>
      <c r="E87" s="1" t="s">
        <v>289</v>
      </c>
      <c r="F87" s="1">
        <v>1</v>
      </c>
      <c r="G87" s="1" t="s">
        <v>143</v>
      </c>
    </row>
    <row r="88" spans="1:9" hidden="1" x14ac:dyDescent="0.3">
      <c r="A88" s="1">
        <v>491</v>
      </c>
      <c r="B88" s="1" t="s">
        <v>349</v>
      </c>
      <c r="C88" s="1" t="s">
        <v>350</v>
      </c>
      <c r="D88" s="1" t="s">
        <v>141</v>
      </c>
      <c r="E88" s="1" t="s">
        <v>340</v>
      </c>
      <c r="F88" s="1">
        <v>1</v>
      </c>
      <c r="G88" s="1" t="s">
        <v>143</v>
      </c>
    </row>
    <row r="89" spans="1:9" hidden="1" x14ac:dyDescent="0.3">
      <c r="A89" s="1">
        <v>500</v>
      </c>
      <c r="B89" s="1" t="s">
        <v>351</v>
      </c>
      <c r="C89" s="1" t="s">
        <v>352</v>
      </c>
      <c r="D89" s="1" t="s">
        <v>353</v>
      </c>
      <c r="E89" s="1" t="s">
        <v>289</v>
      </c>
      <c r="F89" s="1">
        <v>0</v>
      </c>
      <c r="G89" s="1" t="s">
        <v>82</v>
      </c>
      <c r="H89" s="1" t="s">
        <v>354</v>
      </c>
      <c r="I89" s="1" t="s">
        <v>123</v>
      </c>
    </row>
    <row r="90" spans="1:9" hidden="1" x14ac:dyDescent="0.3">
      <c r="A90" s="1">
        <v>503</v>
      </c>
      <c r="B90" s="1" t="s">
        <v>355</v>
      </c>
      <c r="C90" s="1" t="s">
        <v>356</v>
      </c>
      <c r="D90" s="1" t="s">
        <v>357</v>
      </c>
      <c r="E90" s="1" t="s">
        <v>215</v>
      </c>
      <c r="F90" s="1">
        <v>1</v>
      </c>
      <c r="G90" s="1" t="s">
        <v>143</v>
      </c>
    </row>
    <row r="91" spans="1:9" hidden="1" x14ac:dyDescent="0.3">
      <c r="A91" s="1">
        <v>507</v>
      </c>
      <c r="B91" s="1" t="s">
        <v>358</v>
      </c>
      <c r="C91" s="1" t="s">
        <v>359</v>
      </c>
      <c r="D91" s="1" t="s">
        <v>360</v>
      </c>
      <c r="E91" s="1" t="s">
        <v>147</v>
      </c>
      <c r="F91" s="1">
        <v>1</v>
      </c>
      <c r="G91" s="1" t="s">
        <v>143</v>
      </c>
    </row>
    <row r="92" spans="1:9" hidden="1" x14ac:dyDescent="0.3">
      <c r="A92" s="1">
        <v>517</v>
      </c>
      <c r="B92" s="1" t="s">
        <v>361</v>
      </c>
      <c r="C92" s="1" t="s">
        <v>362</v>
      </c>
      <c r="D92" s="1" t="s">
        <v>278</v>
      </c>
      <c r="E92" s="1" t="s">
        <v>147</v>
      </c>
      <c r="F92" s="1">
        <v>0</v>
      </c>
      <c r="G92" s="1" t="s">
        <v>82</v>
      </c>
      <c r="I92" s="1" t="s">
        <v>188</v>
      </c>
    </row>
    <row r="93" spans="1:9" hidden="1" x14ac:dyDescent="0.3">
      <c r="A93" s="1">
        <v>522</v>
      </c>
      <c r="B93" s="1" t="s">
        <v>363</v>
      </c>
      <c r="C93" s="1" t="s">
        <v>364</v>
      </c>
      <c r="D93" s="1" t="s">
        <v>365</v>
      </c>
      <c r="E93" s="1" t="s">
        <v>255</v>
      </c>
      <c r="F93" s="1">
        <v>1</v>
      </c>
      <c r="G93" s="1" t="s">
        <v>143</v>
      </c>
    </row>
    <row r="94" spans="1:9" hidden="1" x14ac:dyDescent="0.3">
      <c r="A94" s="1">
        <v>530</v>
      </c>
      <c r="B94" s="1" t="s">
        <v>366</v>
      </c>
      <c r="C94" s="1" t="s">
        <v>367</v>
      </c>
      <c r="D94" s="1" t="s">
        <v>141</v>
      </c>
      <c r="E94" s="1" t="s">
        <v>340</v>
      </c>
      <c r="F94" s="1">
        <v>1</v>
      </c>
      <c r="G94" s="1" t="s">
        <v>143</v>
      </c>
    </row>
    <row r="95" spans="1:9" hidden="1" x14ac:dyDescent="0.3">
      <c r="A95" s="1">
        <v>531</v>
      </c>
      <c r="B95" s="1" t="s">
        <v>368</v>
      </c>
      <c r="C95" s="1" t="s">
        <v>369</v>
      </c>
      <c r="D95" s="1" t="s">
        <v>370</v>
      </c>
      <c r="E95" s="1" t="s">
        <v>170</v>
      </c>
      <c r="F95" s="1">
        <v>0</v>
      </c>
      <c r="G95" s="1" t="s">
        <v>82</v>
      </c>
      <c r="I95" s="1" t="s">
        <v>84</v>
      </c>
    </row>
    <row r="96" spans="1:9" hidden="1" x14ac:dyDescent="0.3">
      <c r="A96" s="1">
        <v>537</v>
      </c>
      <c r="B96" s="1" t="s">
        <v>371</v>
      </c>
      <c r="C96" s="1" t="s">
        <v>372</v>
      </c>
      <c r="D96" s="1" t="s">
        <v>365</v>
      </c>
      <c r="E96" s="1" t="s">
        <v>340</v>
      </c>
      <c r="F96" s="1">
        <v>0</v>
      </c>
      <c r="G96" s="1" t="s">
        <v>82</v>
      </c>
      <c r="I96" s="1" t="s">
        <v>188</v>
      </c>
    </row>
    <row r="97" spans="1:9" hidden="1" x14ac:dyDescent="0.3">
      <c r="A97" s="1">
        <v>548</v>
      </c>
      <c r="B97" s="1" t="s">
        <v>373</v>
      </c>
      <c r="C97" s="1" t="s">
        <v>374</v>
      </c>
      <c r="D97" s="1" t="s">
        <v>375</v>
      </c>
      <c r="E97" s="1" t="s">
        <v>142</v>
      </c>
      <c r="F97" s="1">
        <v>1</v>
      </c>
      <c r="G97" s="1" t="s">
        <v>143</v>
      </c>
      <c r="I97" s="1" t="s">
        <v>123</v>
      </c>
    </row>
    <row r="98" spans="1:9" x14ac:dyDescent="0.3">
      <c r="A98" s="1">
        <v>552</v>
      </c>
      <c r="B98" s="1" t="s">
        <v>376</v>
      </c>
      <c r="C98" s="1" t="s">
        <v>377</v>
      </c>
      <c r="D98" s="1" t="s">
        <v>378</v>
      </c>
      <c r="E98" s="1" t="s">
        <v>215</v>
      </c>
      <c r="F98" s="1">
        <v>0</v>
      </c>
      <c r="G98" s="1" t="s">
        <v>82</v>
      </c>
      <c r="I98" s="1" t="s">
        <v>123</v>
      </c>
    </row>
    <row r="99" spans="1:9" hidden="1" x14ac:dyDescent="0.3">
      <c r="A99" s="1">
        <v>559</v>
      </c>
      <c r="B99" s="1" t="s">
        <v>379</v>
      </c>
      <c r="C99" s="1" t="s">
        <v>380</v>
      </c>
      <c r="D99" s="1" t="s">
        <v>345</v>
      </c>
      <c r="E99" s="1" t="s">
        <v>331</v>
      </c>
      <c r="F99" s="1">
        <v>1</v>
      </c>
      <c r="G99" s="1" t="s">
        <v>143</v>
      </c>
    </row>
    <row r="100" spans="1:9" hidden="1" x14ac:dyDescent="0.3">
      <c r="A100" s="1">
        <v>560</v>
      </c>
      <c r="B100" s="1" t="s">
        <v>381</v>
      </c>
      <c r="C100" s="1" t="s">
        <v>382</v>
      </c>
      <c r="D100" s="1" t="s">
        <v>214</v>
      </c>
      <c r="E100" s="1" t="s">
        <v>215</v>
      </c>
      <c r="F100" s="1">
        <v>1</v>
      </c>
      <c r="G100" s="1" t="s">
        <v>143</v>
      </c>
    </row>
    <row r="101" spans="1:9" hidden="1" x14ac:dyDescent="0.3">
      <c r="A101" s="1">
        <v>563</v>
      </c>
      <c r="B101" s="1" t="s">
        <v>383</v>
      </c>
      <c r="C101" s="1" t="s">
        <v>384</v>
      </c>
      <c r="D101" s="1" t="s">
        <v>385</v>
      </c>
      <c r="E101" s="1" t="s">
        <v>142</v>
      </c>
      <c r="F101" s="1">
        <v>0</v>
      </c>
      <c r="G101" s="1" t="s">
        <v>82</v>
      </c>
      <c r="I101" s="1" t="s">
        <v>123</v>
      </c>
    </row>
    <row r="102" spans="1:9" hidden="1" x14ac:dyDescent="0.3">
      <c r="A102" s="1">
        <v>567</v>
      </c>
      <c r="B102" s="1" t="s">
        <v>386</v>
      </c>
      <c r="C102" s="1" t="s">
        <v>387</v>
      </c>
      <c r="D102" s="1" t="s">
        <v>252</v>
      </c>
      <c r="E102" s="1" t="s">
        <v>340</v>
      </c>
      <c r="F102" s="1">
        <v>1</v>
      </c>
      <c r="G102" s="1" t="s">
        <v>143</v>
      </c>
    </row>
    <row r="103" spans="1:9" hidden="1" x14ac:dyDescent="0.3">
      <c r="A103" s="1">
        <v>570</v>
      </c>
      <c r="B103" s="1" t="s">
        <v>388</v>
      </c>
      <c r="C103" s="1" t="s">
        <v>389</v>
      </c>
      <c r="D103" s="1" t="s">
        <v>330</v>
      </c>
      <c r="E103" s="1" t="s">
        <v>255</v>
      </c>
      <c r="F103" s="1">
        <v>1</v>
      </c>
      <c r="G103" s="1" t="s">
        <v>143</v>
      </c>
      <c r="I103" s="1" t="s">
        <v>84</v>
      </c>
    </row>
    <row r="104" spans="1:9" hidden="1" x14ac:dyDescent="0.3">
      <c r="A104" s="1">
        <v>575</v>
      </c>
      <c r="B104" s="1" t="s">
        <v>390</v>
      </c>
      <c r="C104" s="1" t="s">
        <v>391</v>
      </c>
      <c r="D104" s="1" t="s">
        <v>141</v>
      </c>
      <c r="E104" s="1" t="s">
        <v>147</v>
      </c>
      <c r="F104" s="1">
        <v>1</v>
      </c>
      <c r="G104" s="1" t="s">
        <v>143</v>
      </c>
    </row>
    <row r="105" spans="1:9" hidden="1" x14ac:dyDescent="0.3">
      <c r="A105" s="1">
        <v>583</v>
      </c>
      <c r="B105" s="1" t="s">
        <v>392</v>
      </c>
      <c r="C105" s="1" t="s">
        <v>393</v>
      </c>
      <c r="D105" s="1" t="s">
        <v>252</v>
      </c>
      <c r="E105" s="1" t="s">
        <v>147</v>
      </c>
      <c r="F105" s="1">
        <v>1</v>
      </c>
      <c r="G105" s="1" t="s">
        <v>143</v>
      </c>
    </row>
    <row r="106" spans="1:9" hidden="1" x14ac:dyDescent="0.3">
      <c r="A106" s="1">
        <v>587</v>
      </c>
      <c r="B106" s="1" t="s">
        <v>394</v>
      </c>
      <c r="C106" s="1" t="s">
        <v>395</v>
      </c>
      <c r="D106" s="1" t="s">
        <v>323</v>
      </c>
      <c r="E106" s="1" t="s">
        <v>122</v>
      </c>
      <c r="F106" s="1">
        <v>0</v>
      </c>
      <c r="G106" s="1" t="s">
        <v>82</v>
      </c>
      <c r="I106" s="1" t="s">
        <v>123</v>
      </c>
    </row>
    <row r="107" spans="1:9" hidden="1" x14ac:dyDescent="0.3">
      <c r="A107" s="1">
        <v>588</v>
      </c>
      <c r="B107" s="1" t="s">
        <v>396</v>
      </c>
      <c r="C107" s="1" t="s">
        <v>397</v>
      </c>
      <c r="D107" s="1" t="s">
        <v>398</v>
      </c>
      <c r="E107" s="1" t="s">
        <v>118</v>
      </c>
      <c r="F107" s="1">
        <v>0</v>
      </c>
      <c r="G107" s="1" t="s">
        <v>82</v>
      </c>
      <c r="I107" s="1" t="s">
        <v>123</v>
      </c>
    </row>
    <row r="108" spans="1:9" hidden="1" x14ac:dyDescent="0.3">
      <c r="A108" s="1">
        <v>592</v>
      </c>
      <c r="B108" s="1" t="s">
        <v>399</v>
      </c>
      <c r="C108" s="1" t="s">
        <v>400</v>
      </c>
      <c r="D108" s="1" t="s">
        <v>252</v>
      </c>
      <c r="E108" s="1" t="s">
        <v>255</v>
      </c>
      <c r="F108" s="1">
        <v>1</v>
      </c>
      <c r="G108" s="1" t="s">
        <v>143</v>
      </c>
    </row>
    <row r="109" spans="1:9" hidden="1" x14ac:dyDescent="0.3">
      <c r="A109" s="1">
        <v>593</v>
      </c>
      <c r="B109" s="1" t="s">
        <v>401</v>
      </c>
      <c r="C109" s="1" t="s">
        <v>402</v>
      </c>
      <c r="D109" s="1" t="s">
        <v>252</v>
      </c>
      <c r="E109" s="1" t="s">
        <v>255</v>
      </c>
      <c r="F109" s="1">
        <v>1</v>
      </c>
      <c r="G109" s="1" t="s">
        <v>143</v>
      </c>
    </row>
    <row r="110" spans="1:9" hidden="1" x14ac:dyDescent="0.3">
      <c r="A110" s="1">
        <v>594</v>
      </c>
      <c r="B110" s="1" t="s">
        <v>403</v>
      </c>
      <c r="C110" s="1" t="s">
        <v>404</v>
      </c>
      <c r="D110" s="1" t="s">
        <v>267</v>
      </c>
      <c r="E110" s="1" t="s">
        <v>255</v>
      </c>
      <c r="F110" s="1">
        <v>0</v>
      </c>
      <c r="G110" s="1" t="s">
        <v>82</v>
      </c>
      <c r="I110" s="1" t="s">
        <v>188</v>
      </c>
    </row>
    <row r="111" spans="1:9" hidden="1" x14ac:dyDescent="0.3">
      <c r="A111" s="1">
        <v>595</v>
      </c>
      <c r="B111" s="1" t="s">
        <v>405</v>
      </c>
      <c r="C111" s="1" t="s">
        <v>406</v>
      </c>
      <c r="D111" s="1" t="s">
        <v>141</v>
      </c>
      <c r="E111" s="1" t="s">
        <v>255</v>
      </c>
      <c r="F111" s="1">
        <v>1</v>
      </c>
      <c r="G111" s="1" t="s">
        <v>143</v>
      </c>
    </row>
    <row r="112" spans="1:9" hidden="1" x14ac:dyDescent="0.3">
      <c r="A112" s="1">
        <v>604</v>
      </c>
      <c r="B112" s="1" t="s">
        <v>407</v>
      </c>
      <c r="C112" s="1" t="s">
        <v>408</v>
      </c>
      <c r="D112" s="1" t="s">
        <v>278</v>
      </c>
      <c r="E112" s="1" t="s">
        <v>259</v>
      </c>
      <c r="F112" s="1">
        <v>0</v>
      </c>
      <c r="G112" s="1" t="s">
        <v>82</v>
      </c>
      <c r="I112" s="1" t="s">
        <v>188</v>
      </c>
    </row>
    <row r="113" spans="1:9" hidden="1" x14ac:dyDescent="0.3">
      <c r="A113" s="1">
        <v>605</v>
      </c>
      <c r="B113" s="1" t="s">
        <v>409</v>
      </c>
      <c r="C113" s="1" t="s">
        <v>410</v>
      </c>
      <c r="D113" s="1" t="s">
        <v>141</v>
      </c>
      <c r="E113" s="1" t="s">
        <v>411</v>
      </c>
      <c r="F113" s="1">
        <v>1</v>
      </c>
      <c r="G113" s="1" t="s">
        <v>143</v>
      </c>
    </row>
    <row r="114" spans="1:9" hidden="1" x14ac:dyDescent="0.3">
      <c r="A114" s="1">
        <v>609</v>
      </c>
      <c r="B114" s="1" t="s">
        <v>412</v>
      </c>
      <c r="C114" s="1" t="s">
        <v>413</v>
      </c>
      <c r="D114" s="1" t="s">
        <v>141</v>
      </c>
      <c r="E114" s="1" t="s">
        <v>340</v>
      </c>
      <c r="F114" s="1">
        <v>1</v>
      </c>
      <c r="G114" s="1" t="s">
        <v>143</v>
      </c>
    </row>
    <row r="115" spans="1:9" hidden="1" x14ac:dyDescent="0.3">
      <c r="A115" s="1">
        <v>610</v>
      </c>
      <c r="B115" s="1" t="s">
        <v>414</v>
      </c>
      <c r="C115" s="1" t="s">
        <v>415</v>
      </c>
      <c r="D115" s="1" t="s">
        <v>141</v>
      </c>
      <c r="E115" s="1" t="s">
        <v>331</v>
      </c>
      <c r="F115" s="1">
        <v>1</v>
      </c>
      <c r="G115" s="1" t="s">
        <v>143</v>
      </c>
    </row>
    <row r="116" spans="1:9" hidden="1" x14ac:dyDescent="0.3">
      <c r="A116" s="1">
        <v>613</v>
      </c>
      <c r="B116" s="1" t="s">
        <v>416</v>
      </c>
      <c r="C116" s="1" t="s">
        <v>417</v>
      </c>
      <c r="D116" s="1" t="s">
        <v>418</v>
      </c>
      <c r="E116" s="1" t="s">
        <v>419</v>
      </c>
      <c r="F116" s="1">
        <v>0</v>
      </c>
      <c r="G116" s="1" t="s">
        <v>82</v>
      </c>
      <c r="I116" s="1" t="s">
        <v>123</v>
      </c>
    </row>
    <row r="117" spans="1:9" hidden="1" x14ac:dyDescent="0.3">
      <c r="A117" s="1">
        <v>632</v>
      </c>
      <c r="B117" s="1" t="s">
        <v>420</v>
      </c>
      <c r="C117" s="1" t="s">
        <v>421</v>
      </c>
      <c r="D117" s="1" t="s">
        <v>422</v>
      </c>
      <c r="E117" s="1" t="s">
        <v>147</v>
      </c>
      <c r="F117" s="1">
        <v>1</v>
      </c>
      <c r="G117" s="1" t="s">
        <v>143</v>
      </c>
    </row>
    <row r="118" spans="1:9" hidden="1" x14ac:dyDescent="0.3">
      <c r="A118" s="1">
        <v>636</v>
      </c>
      <c r="B118" s="1" t="s">
        <v>423</v>
      </c>
      <c r="C118" s="1" t="s">
        <v>424</v>
      </c>
      <c r="D118" s="1" t="s">
        <v>422</v>
      </c>
      <c r="E118" s="1" t="s">
        <v>340</v>
      </c>
      <c r="F118" s="1">
        <v>1</v>
      </c>
      <c r="G118" s="1" t="s">
        <v>143</v>
      </c>
    </row>
    <row r="119" spans="1:9" hidden="1" x14ac:dyDescent="0.3">
      <c r="A119" s="1">
        <v>639</v>
      </c>
      <c r="B119" s="1" t="s">
        <v>425</v>
      </c>
      <c r="C119" s="1" t="s">
        <v>426</v>
      </c>
      <c r="D119" s="1" t="s">
        <v>141</v>
      </c>
      <c r="E119" s="1" t="s">
        <v>142</v>
      </c>
      <c r="F119" s="1">
        <v>1</v>
      </c>
      <c r="G119" s="1" t="s">
        <v>143</v>
      </c>
    </row>
    <row r="120" spans="1:9" x14ac:dyDescent="0.3">
      <c r="A120" s="1">
        <v>640</v>
      </c>
      <c r="B120" s="1" t="s">
        <v>427</v>
      </c>
      <c r="C120" s="1" t="s">
        <v>428</v>
      </c>
      <c r="D120" s="1" t="s">
        <v>429</v>
      </c>
      <c r="E120" s="1" t="s">
        <v>215</v>
      </c>
      <c r="F120" s="1">
        <v>0</v>
      </c>
      <c r="G120" s="1" t="s">
        <v>82</v>
      </c>
      <c r="H120" s="1" t="s">
        <v>430</v>
      </c>
      <c r="I120" s="1" t="s">
        <v>123</v>
      </c>
    </row>
    <row r="121" spans="1:9" hidden="1" x14ac:dyDescent="0.3">
      <c r="A121" s="1">
        <v>646</v>
      </c>
      <c r="B121" s="1" t="s">
        <v>431</v>
      </c>
      <c r="C121" s="1" t="s">
        <v>432</v>
      </c>
      <c r="D121" s="1" t="s">
        <v>422</v>
      </c>
      <c r="E121" s="1" t="s">
        <v>255</v>
      </c>
      <c r="F121" s="1">
        <v>1</v>
      </c>
      <c r="G121" s="1" t="s">
        <v>143</v>
      </c>
    </row>
    <row r="122" spans="1:9" hidden="1" x14ac:dyDescent="0.3">
      <c r="A122" s="1">
        <v>652</v>
      </c>
      <c r="B122" s="1" t="s">
        <v>433</v>
      </c>
      <c r="C122" s="1" t="s">
        <v>434</v>
      </c>
      <c r="D122" s="1" t="s">
        <v>435</v>
      </c>
      <c r="E122" s="1" t="s">
        <v>111</v>
      </c>
      <c r="F122" s="1">
        <v>0</v>
      </c>
      <c r="G122" s="1" t="s">
        <v>82</v>
      </c>
      <c r="I122" s="1" t="s">
        <v>123</v>
      </c>
    </row>
    <row r="123" spans="1:9" hidden="1" x14ac:dyDescent="0.3">
      <c r="A123" s="1">
        <v>653</v>
      </c>
      <c r="B123" s="1" t="s">
        <v>436</v>
      </c>
      <c r="C123" s="1" t="s">
        <v>437</v>
      </c>
      <c r="D123" s="1" t="s">
        <v>435</v>
      </c>
      <c r="E123" s="1" t="s">
        <v>111</v>
      </c>
      <c r="F123" s="1">
        <v>0</v>
      </c>
      <c r="G123" s="1" t="s">
        <v>82</v>
      </c>
      <c r="I123" s="1" t="s">
        <v>123</v>
      </c>
    </row>
    <row r="124" spans="1:9" hidden="1" x14ac:dyDescent="0.3">
      <c r="A124" s="1">
        <v>655</v>
      </c>
      <c r="B124" s="1" t="s">
        <v>438</v>
      </c>
      <c r="C124" s="1" t="s">
        <v>439</v>
      </c>
      <c r="D124" s="1" t="s">
        <v>440</v>
      </c>
      <c r="E124" s="1" t="s">
        <v>134</v>
      </c>
      <c r="F124" s="1">
        <v>0</v>
      </c>
      <c r="G124" s="1" t="s">
        <v>82</v>
      </c>
      <c r="H124" s="1" t="s">
        <v>441</v>
      </c>
      <c r="I124" s="1" t="s">
        <v>123</v>
      </c>
    </row>
    <row r="125" spans="1:9" hidden="1" x14ac:dyDescent="0.3">
      <c r="A125" s="1">
        <v>665</v>
      </c>
      <c r="B125" s="1" t="s">
        <v>442</v>
      </c>
      <c r="C125" s="1" t="s">
        <v>443</v>
      </c>
      <c r="D125" s="1" t="s">
        <v>444</v>
      </c>
      <c r="E125" s="1" t="s">
        <v>142</v>
      </c>
      <c r="F125" s="1">
        <v>1</v>
      </c>
      <c r="G125" s="1" t="s">
        <v>143</v>
      </c>
      <c r="I125" s="1" t="s">
        <v>123</v>
      </c>
    </row>
    <row r="126" spans="1:9" hidden="1" x14ac:dyDescent="0.3">
      <c r="A126" s="1">
        <v>667</v>
      </c>
      <c r="B126" s="1" t="s">
        <v>445</v>
      </c>
      <c r="C126" s="1" t="s">
        <v>446</v>
      </c>
      <c r="D126" s="1" t="s">
        <v>447</v>
      </c>
      <c r="E126" s="1" t="s">
        <v>111</v>
      </c>
      <c r="F126" s="1">
        <v>1</v>
      </c>
      <c r="G126" s="1" t="s">
        <v>143</v>
      </c>
    </row>
    <row r="127" spans="1:9" hidden="1" x14ac:dyDescent="0.3">
      <c r="A127" s="1">
        <v>670</v>
      </c>
      <c r="B127" s="1" t="s">
        <v>448</v>
      </c>
      <c r="C127" s="1" t="s">
        <v>449</v>
      </c>
      <c r="D127" s="1" t="s">
        <v>450</v>
      </c>
      <c r="E127" s="1" t="s">
        <v>91</v>
      </c>
      <c r="F127" s="1">
        <v>1</v>
      </c>
      <c r="G127" s="1" t="s">
        <v>143</v>
      </c>
      <c r="I127" s="1" t="s">
        <v>123</v>
      </c>
    </row>
    <row r="128" spans="1:9" hidden="1" x14ac:dyDescent="0.3">
      <c r="A128" s="1">
        <v>677</v>
      </c>
      <c r="B128" s="1" t="s">
        <v>451</v>
      </c>
      <c r="C128" s="1" t="s">
        <v>452</v>
      </c>
      <c r="D128" s="1" t="s">
        <v>422</v>
      </c>
      <c r="E128" s="1" t="s">
        <v>340</v>
      </c>
      <c r="F128" s="1">
        <v>1</v>
      </c>
      <c r="G128" s="1" t="s">
        <v>143</v>
      </c>
    </row>
    <row r="129" spans="1:9" hidden="1" x14ac:dyDescent="0.3">
      <c r="A129" s="1">
        <v>680</v>
      </c>
      <c r="B129" s="1" t="s">
        <v>453</v>
      </c>
      <c r="C129" s="1" t="s">
        <v>454</v>
      </c>
      <c r="D129" s="1" t="s">
        <v>455</v>
      </c>
      <c r="E129" s="1" t="s">
        <v>68</v>
      </c>
      <c r="F129" s="1">
        <v>0</v>
      </c>
      <c r="G129" s="1" t="s">
        <v>82</v>
      </c>
      <c r="H129" s="1" t="s">
        <v>456</v>
      </c>
      <c r="I129" s="1" t="s">
        <v>123</v>
      </c>
    </row>
    <row r="130" spans="1:9" hidden="1" x14ac:dyDescent="0.3">
      <c r="A130" s="1">
        <v>681</v>
      </c>
      <c r="B130" s="1" t="s">
        <v>457</v>
      </c>
      <c r="C130" s="1" t="s">
        <v>458</v>
      </c>
      <c r="D130" s="1" t="s">
        <v>459</v>
      </c>
      <c r="E130" s="1" t="s">
        <v>460</v>
      </c>
      <c r="F130" s="1">
        <v>0</v>
      </c>
      <c r="G130" s="1" t="s">
        <v>82</v>
      </c>
      <c r="I130" s="1" t="s">
        <v>123</v>
      </c>
    </row>
    <row r="131" spans="1:9" hidden="1" x14ac:dyDescent="0.3">
      <c r="A131" s="1">
        <v>687</v>
      </c>
      <c r="B131" s="1" t="s">
        <v>461</v>
      </c>
      <c r="C131" s="1" t="s">
        <v>462</v>
      </c>
      <c r="D131" s="1" t="s">
        <v>463</v>
      </c>
      <c r="E131" s="1" t="s">
        <v>289</v>
      </c>
      <c r="F131" s="1">
        <v>0</v>
      </c>
      <c r="G131" s="1" t="s">
        <v>82</v>
      </c>
      <c r="H131" s="1" t="s">
        <v>464</v>
      </c>
      <c r="I131" s="1" t="s">
        <v>84</v>
      </c>
    </row>
    <row r="132" spans="1:9" hidden="1" x14ac:dyDescent="0.3">
      <c r="A132" s="1">
        <v>694</v>
      </c>
      <c r="B132" s="1" t="s">
        <v>465</v>
      </c>
      <c r="C132" s="1" t="s">
        <v>466</v>
      </c>
      <c r="D132" s="1" t="s">
        <v>467</v>
      </c>
      <c r="E132" s="1" t="s">
        <v>215</v>
      </c>
      <c r="F132" s="1">
        <v>1</v>
      </c>
      <c r="G132" s="1" t="s">
        <v>143</v>
      </c>
    </row>
    <row r="133" spans="1:9" hidden="1" x14ac:dyDescent="0.3">
      <c r="A133" s="1">
        <v>695</v>
      </c>
      <c r="B133" s="1" t="s">
        <v>468</v>
      </c>
      <c r="C133" s="1" t="s">
        <v>469</v>
      </c>
      <c r="D133" s="1" t="s">
        <v>470</v>
      </c>
      <c r="E133" s="1" t="s">
        <v>111</v>
      </c>
      <c r="F133" s="1">
        <v>0</v>
      </c>
      <c r="G133" s="1" t="s">
        <v>82</v>
      </c>
      <c r="I133" s="1" t="s">
        <v>123</v>
      </c>
    </row>
    <row r="134" spans="1:9" hidden="1" x14ac:dyDescent="0.3">
      <c r="A134" s="1">
        <v>697</v>
      </c>
      <c r="B134" s="1" t="s">
        <v>471</v>
      </c>
      <c r="C134" s="1" t="s">
        <v>472</v>
      </c>
      <c r="D134" s="1" t="s">
        <v>473</v>
      </c>
      <c r="E134" s="1" t="s">
        <v>91</v>
      </c>
      <c r="F134" s="1">
        <v>1</v>
      </c>
      <c r="G134" s="1" t="s">
        <v>143</v>
      </c>
      <c r="I134" s="1" t="s">
        <v>123</v>
      </c>
    </row>
    <row r="135" spans="1:9" hidden="1" x14ac:dyDescent="0.3">
      <c r="A135" s="1">
        <v>704</v>
      </c>
      <c r="B135" s="1" t="s">
        <v>474</v>
      </c>
      <c r="C135" s="1" t="s">
        <v>475</v>
      </c>
      <c r="D135" s="1" t="s">
        <v>476</v>
      </c>
      <c r="E135" s="1" t="s">
        <v>142</v>
      </c>
      <c r="F135" s="1">
        <v>0</v>
      </c>
      <c r="G135" s="1" t="s">
        <v>82</v>
      </c>
      <c r="H135" s="1" t="s">
        <v>477</v>
      </c>
      <c r="I135" s="1" t="s">
        <v>123</v>
      </c>
    </row>
    <row r="136" spans="1:9" hidden="1" x14ac:dyDescent="0.3">
      <c r="A136" s="1">
        <v>705</v>
      </c>
      <c r="B136" s="1" t="s">
        <v>478</v>
      </c>
      <c r="C136" s="1" t="s">
        <v>479</v>
      </c>
      <c r="D136" s="1" t="s">
        <v>480</v>
      </c>
      <c r="E136" s="1" t="s">
        <v>481</v>
      </c>
      <c r="F136" s="1">
        <v>0</v>
      </c>
      <c r="G136" s="1" t="s">
        <v>82</v>
      </c>
      <c r="H136" s="1" t="s">
        <v>482</v>
      </c>
      <c r="I136" s="1" t="s">
        <v>123</v>
      </c>
    </row>
    <row r="137" spans="1:9" hidden="1" x14ac:dyDescent="0.3">
      <c r="A137" s="1">
        <v>706</v>
      </c>
      <c r="B137" s="1" t="s">
        <v>483</v>
      </c>
      <c r="C137" s="1" t="s">
        <v>484</v>
      </c>
      <c r="D137" s="1" t="s">
        <v>485</v>
      </c>
      <c r="E137" s="1" t="s">
        <v>111</v>
      </c>
      <c r="F137" s="1">
        <v>0</v>
      </c>
      <c r="G137" s="1" t="s">
        <v>82</v>
      </c>
      <c r="I137" s="1" t="s">
        <v>123</v>
      </c>
    </row>
    <row r="138" spans="1:9" hidden="1" x14ac:dyDescent="0.3">
      <c r="A138" s="1">
        <v>707</v>
      </c>
      <c r="B138" s="1" t="s">
        <v>486</v>
      </c>
      <c r="C138" s="1" t="s">
        <v>487</v>
      </c>
      <c r="D138" s="1" t="s">
        <v>488</v>
      </c>
      <c r="E138" s="1" t="s">
        <v>111</v>
      </c>
      <c r="F138" s="1">
        <v>1</v>
      </c>
      <c r="G138" s="1" t="s">
        <v>143</v>
      </c>
    </row>
    <row r="139" spans="1:9" hidden="1" x14ac:dyDescent="0.3">
      <c r="A139" s="1">
        <v>708</v>
      </c>
      <c r="B139" s="1" t="s">
        <v>489</v>
      </c>
      <c r="C139" s="1" t="s">
        <v>490</v>
      </c>
      <c r="D139" s="1" t="s">
        <v>491</v>
      </c>
      <c r="E139" s="1" t="s">
        <v>111</v>
      </c>
      <c r="F139" s="1">
        <v>1</v>
      </c>
      <c r="G139" s="1" t="s">
        <v>143</v>
      </c>
    </row>
    <row r="140" spans="1:9" hidden="1" x14ac:dyDescent="0.3">
      <c r="A140" s="1">
        <v>710</v>
      </c>
      <c r="B140" s="1" t="s">
        <v>492</v>
      </c>
      <c r="C140" s="1" t="s">
        <v>493</v>
      </c>
      <c r="D140" s="1" t="s">
        <v>494</v>
      </c>
      <c r="E140" s="1" t="s">
        <v>134</v>
      </c>
      <c r="F140" s="1">
        <v>1</v>
      </c>
      <c r="G140" s="1" t="s">
        <v>143</v>
      </c>
    </row>
    <row r="141" spans="1:9" hidden="1" x14ac:dyDescent="0.3">
      <c r="A141" s="1">
        <v>711</v>
      </c>
      <c r="B141" s="1" t="s">
        <v>495</v>
      </c>
      <c r="C141" s="1" t="s">
        <v>496</v>
      </c>
      <c r="D141" s="1" t="s">
        <v>230</v>
      </c>
      <c r="E141" s="1" t="s">
        <v>197</v>
      </c>
      <c r="F141" s="1">
        <v>1</v>
      </c>
      <c r="G141" s="1" t="s">
        <v>143</v>
      </c>
    </row>
    <row r="142" spans="1:9" hidden="1" x14ac:dyDescent="0.3">
      <c r="A142" s="1">
        <v>718</v>
      </c>
      <c r="B142" s="1" t="s">
        <v>497</v>
      </c>
      <c r="C142" s="1" t="s">
        <v>498</v>
      </c>
      <c r="D142" s="1" t="s">
        <v>141</v>
      </c>
      <c r="E142" s="1" t="s">
        <v>142</v>
      </c>
      <c r="F142" s="1">
        <v>1</v>
      </c>
      <c r="G142" s="1" t="s">
        <v>143</v>
      </c>
    </row>
    <row r="143" spans="1:9" hidden="1" x14ac:dyDescent="0.3">
      <c r="A143" s="1">
        <v>719</v>
      </c>
      <c r="B143" s="1" t="s">
        <v>499</v>
      </c>
      <c r="C143" s="1" t="s">
        <v>500</v>
      </c>
      <c r="D143" s="1" t="s">
        <v>501</v>
      </c>
      <c r="E143" s="1" t="s">
        <v>419</v>
      </c>
      <c r="F143" s="1">
        <v>1</v>
      </c>
      <c r="G143" s="1" t="s">
        <v>143</v>
      </c>
    </row>
    <row r="144" spans="1:9" hidden="1" x14ac:dyDescent="0.3">
      <c r="A144" s="1">
        <v>720</v>
      </c>
      <c r="B144" s="1" t="s">
        <v>502</v>
      </c>
      <c r="C144" s="1" t="s">
        <v>503</v>
      </c>
      <c r="D144" s="1" t="s">
        <v>504</v>
      </c>
      <c r="E144" s="1" t="s">
        <v>505</v>
      </c>
      <c r="F144" s="1">
        <v>0</v>
      </c>
      <c r="G144" s="1" t="s">
        <v>82</v>
      </c>
      <c r="I144" s="1" t="s">
        <v>123</v>
      </c>
    </row>
    <row r="145" spans="1:9" hidden="1" x14ac:dyDescent="0.3">
      <c r="A145" s="1">
        <v>738</v>
      </c>
      <c r="B145" s="1" t="s">
        <v>506</v>
      </c>
      <c r="C145" s="1" t="s">
        <v>507</v>
      </c>
      <c r="D145" s="1" t="s">
        <v>345</v>
      </c>
      <c r="E145" s="1" t="s">
        <v>331</v>
      </c>
      <c r="F145" s="1">
        <v>1</v>
      </c>
      <c r="G145" s="1" t="s">
        <v>143</v>
      </c>
    </row>
    <row r="146" spans="1:9" hidden="1" x14ac:dyDescent="0.3">
      <c r="A146" s="1">
        <v>741</v>
      </c>
      <c r="B146" s="1" t="s">
        <v>508</v>
      </c>
      <c r="C146" s="1" t="s">
        <v>509</v>
      </c>
      <c r="D146" s="1" t="s">
        <v>187</v>
      </c>
      <c r="E146" s="1" t="s">
        <v>65</v>
      </c>
      <c r="F146" s="1">
        <v>0</v>
      </c>
      <c r="G146" s="1" t="s">
        <v>82</v>
      </c>
      <c r="I146" s="1" t="s">
        <v>84</v>
      </c>
    </row>
    <row r="147" spans="1:9" hidden="1" x14ac:dyDescent="0.3">
      <c r="A147" s="1">
        <v>742</v>
      </c>
      <c r="B147" s="1" t="s">
        <v>510</v>
      </c>
      <c r="C147" s="1" t="s">
        <v>511</v>
      </c>
      <c r="D147" s="1" t="s">
        <v>512</v>
      </c>
      <c r="E147" s="1" t="s">
        <v>170</v>
      </c>
      <c r="F147" s="1">
        <v>1</v>
      </c>
      <c r="G147" s="1" t="s">
        <v>143</v>
      </c>
    </row>
    <row r="148" spans="1:9" hidden="1" x14ac:dyDescent="0.3">
      <c r="A148" s="1">
        <v>745</v>
      </c>
      <c r="B148" s="1" t="s">
        <v>513</v>
      </c>
      <c r="C148" s="1" t="s">
        <v>514</v>
      </c>
      <c r="D148" s="1" t="s">
        <v>202</v>
      </c>
      <c r="E148" s="1" t="s">
        <v>111</v>
      </c>
      <c r="F148" s="1">
        <v>0</v>
      </c>
      <c r="G148" s="1" t="s">
        <v>82</v>
      </c>
      <c r="I148" s="1" t="s">
        <v>123</v>
      </c>
    </row>
    <row r="149" spans="1:9" hidden="1" x14ac:dyDescent="0.3">
      <c r="A149" s="1">
        <v>746</v>
      </c>
      <c r="B149" s="1" t="s">
        <v>515</v>
      </c>
      <c r="C149" s="1" t="s">
        <v>516</v>
      </c>
      <c r="D149" s="1" t="s">
        <v>141</v>
      </c>
      <c r="E149" s="1" t="s">
        <v>134</v>
      </c>
      <c r="F149" s="1">
        <v>1</v>
      </c>
      <c r="G149" s="1" t="s">
        <v>143</v>
      </c>
    </row>
    <row r="150" spans="1:9" hidden="1" x14ac:dyDescent="0.3">
      <c r="A150" s="1">
        <v>752</v>
      </c>
      <c r="B150" s="1" t="s">
        <v>517</v>
      </c>
      <c r="C150" s="1" t="s">
        <v>518</v>
      </c>
      <c r="D150" s="1" t="s">
        <v>252</v>
      </c>
      <c r="E150" s="1" t="s">
        <v>255</v>
      </c>
      <c r="F150" s="1">
        <v>1</v>
      </c>
      <c r="G150" s="1" t="s">
        <v>143</v>
      </c>
    </row>
    <row r="151" spans="1:9" hidden="1" x14ac:dyDescent="0.3">
      <c r="A151" s="1">
        <v>756</v>
      </c>
      <c r="B151" s="1" t="s">
        <v>519</v>
      </c>
      <c r="C151" s="1" t="s">
        <v>520</v>
      </c>
      <c r="D151" s="1" t="s">
        <v>422</v>
      </c>
      <c r="E151" s="1" t="s">
        <v>255</v>
      </c>
      <c r="F151" s="1">
        <v>1</v>
      </c>
      <c r="G151" s="1" t="s">
        <v>143</v>
      </c>
    </row>
    <row r="152" spans="1:9" hidden="1" x14ac:dyDescent="0.3">
      <c r="A152" s="1">
        <v>760</v>
      </c>
      <c r="B152" s="1" t="s">
        <v>521</v>
      </c>
      <c r="C152" s="1" t="s">
        <v>522</v>
      </c>
      <c r="D152" s="1" t="s">
        <v>345</v>
      </c>
      <c r="E152" s="1" t="s">
        <v>331</v>
      </c>
      <c r="F152" s="1">
        <v>1</v>
      </c>
      <c r="G152" s="1" t="s">
        <v>143</v>
      </c>
    </row>
    <row r="153" spans="1:9" hidden="1" x14ac:dyDescent="0.3">
      <c r="A153" s="1">
        <v>763</v>
      </c>
      <c r="B153" s="1" t="s">
        <v>523</v>
      </c>
      <c r="C153" s="1" t="s">
        <v>524</v>
      </c>
      <c r="D153" s="1" t="s">
        <v>323</v>
      </c>
      <c r="E153" s="1" t="s">
        <v>65</v>
      </c>
      <c r="F153" s="1">
        <v>1</v>
      </c>
      <c r="G153" s="1" t="s">
        <v>143</v>
      </c>
    </row>
    <row r="154" spans="1:9" hidden="1" x14ac:dyDescent="0.3">
      <c r="A154" s="1">
        <v>766</v>
      </c>
      <c r="B154" s="1" t="s">
        <v>525</v>
      </c>
      <c r="C154" s="1" t="s">
        <v>526</v>
      </c>
      <c r="D154" s="1" t="s">
        <v>527</v>
      </c>
      <c r="E154" s="1" t="s">
        <v>215</v>
      </c>
      <c r="F154" s="1">
        <v>1</v>
      </c>
      <c r="G154" s="1" t="s">
        <v>143</v>
      </c>
    </row>
    <row r="155" spans="1:9" hidden="1" x14ac:dyDescent="0.3">
      <c r="A155" s="1">
        <v>769</v>
      </c>
      <c r="B155" s="1" t="s">
        <v>528</v>
      </c>
      <c r="C155" s="1" t="s">
        <v>529</v>
      </c>
      <c r="D155" s="1" t="s">
        <v>530</v>
      </c>
      <c r="E155" s="1" t="s">
        <v>95</v>
      </c>
      <c r="F155" s="1">
        <v>0</v>
      </c>
      <c r="G155" s="1" t="s">
        <v>82</v>
      </c>
      <c r="I155" s="1" t="s">
        <v>123</v>
      </c>
    </row>
    <row r="156" spans="1:9" hidden="1" x14ac:dyDescent="0.3">
      <c r="A156" s="1">
        <v>770</v>
      </c>
      <c r="B156" s="1" t="s">
        <v>531</v>
      </c>
      <c r="C156" s="1" t="s">
        <v>532</v>
      </c>
      <c r="D156" s="1" t="s">
        <v>187</v>
      </c>
      <c r="E156" s="1" t="s">
        <v>65</v>
      </c>
      <c r="F156" s="1">
        <v>1</v>
      </c>
      <c r="G156" s="1" t="s">
        <v>143</v>
      </c>
    </row>
    <row r="157" spans="1:9" hidden="1" x14ac:dyDescent="0.3">
      <c r="A157" s="1">
        <v>772</v>
      </c>
      <c r="B157" s="1" t="s">
        <v>533</v>
      </c>
      <c r="C157" s="1" t="s">
        <v>534</v>
      </c>
      <c r="D157" s="1" t="s">
        <v>360</v>
      </c>
      <c r="E157" s="1" t="s">
        <v>331</v>
      </c>
      <c r="F157" s="1">
        <v>1</v>
      </c>
      <c r="G157" s="1" t="s">
        <v>143</v>
      </c>
    </row>
    <row r="158" spans="1:9" hidden="1" x14ac:dyDescent="0.3">
      <c r="A158" s="1">
        <v>773</v>
      </c>
      <c r="B158" s="1" t="s">
        <v>535</v>
      </c>
      <c r="C158" s="1" t="s">
        <v>536</v>
      </c>
      <c r="D158" s="1" t="s">
        <v>422</v>
      </c>
      <c r="E158" s="1" t="s">
        <v>147</v>
      </c>
      <c r="F158" s="1">
        <v>1</v>
      </c>
      <c r="G158" s="1" t="s">
        <v>143</v>
      </c>
    </row>
    <row r="159" spans="1:9" hidden="1" x14ac:dyDescent="0.3">
      <c r="A159" s="1">
        <v>782</v>
      </c>
      <c r="B159" s="1" t="s">
        <v>537</v>
      </c>
      <c r="C159" s="1" t="s">
        <v>538</v>
      </c>
      <c r="D159" s="1" t="s">
        <v>258</v>
      </c>
      <c r="E159" s="1" t="s">
        <v>259</v>
      </c>
      <c r="F159" s="1">
        <v>1</v>
      </c>
      <c r="G159" s="1" t="s">
        <v>143</v>
      </c>
      <c r="I159" s="1" t="s">
        <v>188</v>
      </c>
    </row>
    <row r="160" spans="1:9" hidden="1" x14ac:dyDescent="0.3">
      <c r="A160" s="1">
        <v>783</v>
      </c>
      <c r="B160" s="1" t="s">
        <v>539</v>
      </c>
      <c r="C160" s="1" t="s">
        <v>540</v>
      </c>
      <c r="D160" s="1" t="s">
        <v>422</v>
      </c>
      <c r="E160" s="1" t="s">
        <v>255</v>
      </c>
      <c r="F160" s="1">
        <v>1</v>
      </c>
      <c r="G160" s="1" t="s">
        <v>143</v>
      </c>
    </row>
    <row r="161" spans="1:9" hidden="1" x14ac:dyDescent="0.3">
      <c r="A161" s="1">
        <v>785</v>
      </c>
      <c r="B161" s="1" t="s">
        <v>541</v>
      </c>
      <c r="C161" s="1" t="s">
        <v>542</v>
      </c>
      <c r="D161" s="1" t="s">
        <v>345</v>
      </c>
      <c r="E161" s="1" t="s">
        <v>331</v>
      </c>
      <c r="F161" s="1">
        <v>1</v>
      </c>
      <c r="G161" s="1" t="s">
        <v>143</v>
      </c>
    </row>
    <row r="162" spans="1:9" hidden="1" x14ac:dyDescent="0.3">
      <c r="A162" s="1">
        <v>796</v>
      </c>
      <c r="B162" s="1" t="s">
        <v>543</v>
      </c>
      <c r="C162" s="1" t="s">
        <v>544</v>
      </c>
      <c r="D162" s="1" t="s">
        <v>181</v>
      </c>
      <c r="E162" s="1" t="s">
        <v>111</v>
      </c>
      <c r="F162" s="1">
        <v>0</v>
      </c>
      <c r="G162" s="1" t="s">
        <v>82</v>
      </c>
      <c r="I162" s="1" t="s">
        <v>123</v>
      </c>
    </row>
    <row r="163" spans="1:9" hidden="1" x14ac:dyDescent="0.3">
      <c r="A163" s="1">
        <v>797</v>
      </c>
      <c r="B163" s="1" t="s">
        <v>545</v>
      </c>
      <c r="C163" s="1" t="s">
        <v>546</v>
      </c>
      <c r="D163" s="1" t="s">
        <v>435</v>
      </c>
      <c r="E163" s="1" t="s">
        <v>111</v>
      </c>
      <c r="F163" s="1">
        <v>0</v>
      </c>
      <c r="G163" s="1" t="s">
        <v>82</v>
      </c>
      <c r="I163" s="1" t="s">
        <v>123</v>
      </c>
    </row>
    <row r="164" spans="1:9" hidden="1" x14ac:dyDescent="0.3">
      <c r="A164" s="1">
        <v>798</v>
      </c>
      <c r="B164" s="1" t="s">
        <v>547</v>
      </c>
      <c r="C164" s="1" t="s">
        <v>548</v>
      </c>
      <c r="D164" s="1" t="s">
        <v>549</v>
      </c>
      <c r="E164" s="1" t="s">
        <v>111</v>
      </c>
      <c r="F164" s="1">
        <v>0</v>
      </c>
      <c r="G164" s="1" t="s">
        <v>82</v>
      </c>
      <c r="I164" s="1" t="s">
        <v>123</v>
      </c>
    </row>
    <row r="165" spans="1:9" hidden="1" x14ac:dyDescent="0.3">
      <c r="A165" s="1">
        <v>799</v>
      </c>
      <c r="B165" s="1" t="s">
        <v>550</v>
      </c>
      <c r="C165" s="1" t="s">
        <v>551</v>
      </c>
      <c r="D165" s="1" t="s">
        <v>435</v>
      </c>
      <c r="E165" s="1" t="s">
        <v>111</v>
      </c>
      <c r="F165" s="1">
        <v>0</v>
      </c>
      <c r="G165" s="1" t="s">
        <v>82</v>
      </c>
      <c r="I165" s="1" t="s">
        <v>123</v>
      </c>
    </row>
    <row r="166" spans="1:9" hidden="1" x14ac:dyDescent="0.3">
      <c r="A166" s="1">
        <v>802</v>
      </c>
      <c r="B166" s="1" t="s">
        <v>552</v>
      </c>
      <c r="C166" s="1" t="s">
        <v>553</v>
      </c>
      <c r="D166" s="1" t="s">
        <v>187</v>
      </c>
      <c r="E166" s="1" t="s">
        <v>177</v>
      </c>
      <c r="F166" s="1">
        <v>0</v>
      </c>
      <c r="G166" s="1" t="s">
        <v>82</v>
      </c>
      <c r="I166" s="1" t="s">
        <v>84</v>
      </c>
    </row>
    <row r="167" spans="1:9" hidden="1" x14ac:dyDescent="0.3">
      <c r="A167" s="1">
        <v>804</v>
      </c>
      <c r="B167" s="1" t="s">
        <v>554</v>
      </c>
      <c r="C167" s="1" t="s">
        <v>555</v>
      </c>
      <c r="D167" s="1" t="s">
        <v>141</v>
      </c>
      <c r="E167" s="1" t="s">
        <v>255</v>
      </c>
      <c r="F167" s="1">
        <v>1</v>
      </c>
      <c r="G167" s="1" t="s">
        <v>143</v>
      </c>
    </row>
    <row r="168" spans="1:9" hidden="1" x14ac:dyDescent="0.3">
      <c r="A168" s="1">
        <v>805</v>
      </c>
      <c r="B168" s="1" t="s">
        <v>556</v>
      </c>
      <c r="C168" s="1" t="s">
        <v>557</v>
      </c>
      <c r="D168" s="1" t="s">
        <v>270</v>
      </c>
      <c r="E168" s="1" t="s">
        <v>255</v>
      </c>
      <c r="F168" s="1">
        <v>0</v>
      </c>
      <c r="G168" s="1" t="s">
        <v>82</v>
      </c>
      <c r="I168" s="1" t="s">
        <v>188</v>
      </c>
    </row>
    <row r="169" spans="1:9" hidden="1" x14ac:dyDescent="0.3">
      <c r="A169" s="1">
        <v>807</v>
      </c>
      <c r="B169" s="1" t="s">
        <v>558</v>
      </c>
      <c r="C169" s="1" t="s">
        <v>559</v>
      </c>
      <c r="D169" s="1" t="s">
        <v>278</v>
      </c>
      <c r="E169" s="1" t="s">
        <v>259</v>
      </c>
      <c r="F169" s="1">
        <v>1</v>
      </c>
      <c r="G169" s="1" t="s">
        <v>143</v>
      </c>
    </row>
    <row r="170" spans="1:9" hidden="1" x14ac:dyDescent="0.3">
      <c r="A170" s="1">
        <v>812</v>
      </c>
      <c r="B170" s="1" t="s">
        <v>560</v>
      </c>
      <c r="C170" s="1" t="s">
        <v>561</v>
      </c>
      <c r="D170" s="1" t="s">
        <v>562</v>
      </c>
      <c r="E170" s="1" t="s">
        <v>111</v>
      </c>
      <c r="F170" s="1">
        <v>1</v>
      </c>
      <c r="G170" s="1" t="s">
        <v>143</v>
      </c>
    </row>
    <row r="171" spans="1:9" hidden="1" x14ac:dyDescent="0.3">
      <c r="A171" s="1">
        <v>814</v>
      </c>
      <c r="B171" s="1" t="s">
        <v>563</v>
      </c>
      <c r="C171" s="1" t="s">
        <v>564</v>
      </c>
      <c r="D171" s="1" t="s">
        <v>565</v>
      </c>
      <c r="E171" s="1" t="s">
        <v>419</v>
      </c>
      <c r="F171" s="1">
        <v>0</v>
      </c>
      <c r="G171" s="1" t="s">
        <v>82</v>
      </c>
      <c r="I171" s="1" t="s">
        <v>123</v>
      </c>
    </row>
    <row r="172" spans="1:9" hidden="1" x14ac:dyDescent="0.3">
      <c r="A172" s="1">
        <v>815</v>
      </c>
      <c r="B172" s="1" t="s">
        <v>566</v>
      </c>
      <c r="C172" s="1" t="s">
        <v>567</v>
      </c>
      <c r="D172" s="1" t="s">
        <v>141</v>
      </c>
      <c r="E172" s="1" t="s">
        <v>147</v>
      </c>
      <c r="F172" s="1">
        <v>1</v>
      </c>
      <c r="G172" s="1" t="s">
        <v>143</v>
      </c>
    </row>
    <row r="173" spans="1:9" x14ac:dyDescent="0.3">
      <c r="A173" s="1">
        <v>816</v>
      </c>
      <c r="B173" s="1" t="s">
        <v>568</v>
      </c>
      <c r="C173" s="1" t="s">
        <v>569</v>
      </c>
      <c r="D173" s="1" t="s">
        <v>570</v>
      </c>
      <c r="E173" s="1" t="s">
        <v>215</v>
      </c>
      <c r="F173" s="1">
        <v>0</v>
      </c>
      <c r="G173" s="1" t="s">
        <v>82</v>
      </c>
      <c r="I173" s="1" t="s">
        <v>123</v>
      </c>
    </row>
    <row r="174" spans="1:9" hidden="1" x14ac:dyDescent="0.3">
      <c r="A174" s="1">
        <v>817</v>
      </c>
      <c r="B174" s="1" t="s">
        <v>571</v>
      </c>
      <c r="C174" s="1" t="s">
        <v>572</v>
      </c>
      <c r="D174" s="1" t="s">
        <v>141</v>
      </c>
      <c r="E174" s="1" t="s">
        <v>197</v>
      </c>
      <c r="F174" s="1">
        <v>1</v>
      </c>
      <c r="G174" s="1" t="s">
        <v>143</v>
      </c>
    </row>
    <row r="175" spans="1:9" hidden="1" x14ac:dyDescent="0.3">
      <c r="A175" s="1">
        <v>818</v>
      </c>
      <c r="B175" s="1" t="s">
        <v>573</v>
      </c>
      <c r="C175" s="1" t="s">
        <v>574</v>
      </c>
      <c r="D175" s="1" t="s">
        <v>575</v>
      </c>
      <c r="E175" s="1" t="s">
        <v>111</v>
      </c>
      <c r="F175" s="1">
        <v>0</v>
      </c>
      <c r="G175" s="1" t="s">
        <v>82</v>
      </c>
      <c r="I175" s="1" t="s">
        <v>123</v>
      </c>
    </row>
    <row r="176" spans="1:9" hidden="1" x14ac:dyDescent="0.3">
      <c r="A176" s="1">
        <v>819</v>
      </c>
      <c r="B176" s="1" t="s">
        <v>576</v>
      </c>
      <c r="C176" s="1" t="s">
        <v>577</v>
      </c>
      <c r="D176" s="1" t="s">
        <v>578</v>
      </c>
      <c r="E176" s="1" t="s">
        <v>111</v>
      </c>
      <c r="F176" s="1">
        <v>0</v>
      </c>
      <c r="G176" s="1" t="s">
        <v>82</v>
      </c>
      <c r="I176" s="1" t="s">
        <v>123</v>
      </c>
    </row>
    <row r="177" spans="1:9" hidden="1" x14ac:dyDescent="0.3">
      <c r="A177" s="1">
        <v>821</v>
      </c>
      <c r="B177" s="1" t="s">
        <v>579</v>
      </c>
      <c r="C177" s="1" t="s">
        <v>580</v>
      </c>
      <c r="D177" s="1" t="s">
        <v>447</v>
      </c>
      <c r="E177" s="1" t="s">
        <v>111</v>
      </c>
      <c r="F177" s="1">
        <v>0</v>
      </c>
      <c r="G177" s="1" t="s">
        <v>82</v>
      </c>
      <c r="I177" s="1" t="s">
        <v>123</v>
      </c>
    </row>
    <row r="178" spans="1:9" hidden="1" x14ac:dyDescent="0.3">
      <c r="A178" s="1">
        <v>822</v>
      </c>
      <c r="B178" s="1" t="s">
        <v>581</v>
      </c>
      <c r="C178" s="1" t="s">
        <v>582</v>
      </c>
      <c r="D178" s="1" t="s">
        <v>583</v>
      </c>
      <c r="E178" s="1" t="s">
        <v>111</v>
      </c>
      <c r="F178" s="1">
        <v>0</v>
      </c>
      <c r="G178" s="1" t="s">
        <v>82</v>
      </c>
      <c r="I178" s="1" t="s">
        <v>123</v>
      </c>
    </row>
    <row r="179" spans="1:9" hidden="1" x14ac:dyDescent="0.3">
      <c r="A179" s="1">
        <v>823</v>
      </c>
      <c r="B179" s="1" t="s">
        <v>584</v>
      </c>
      <c r="C179" s="1" t="s">
        <v>585</v>
      </c>
      <c r="D179" s="1" t="s">
        <v>141</v>
      </c>
      <c r="E179" s="1" t="s">
        <v>111</v>
      </c>
      <c r="F179" s="1">
        <v>1</v>
      </c>
      <c r="G179" s="1" t="s">
        <v>143</v>
      </c>
    </row>
    <row r="180" spans="1:9" hidden="1" x14ac:dyDescent="0.3">
      <c r="A180" s="1">
        <v>824</v>
      </c>
      <c r="B180" s="1" t="s">
        <v>586</v>
      </c>
      <c r="C180" s="1" t="s">
        <v>587</v>
      </c>
      <c r="D180" s="1" t="s">
        <v>588</v>
      </c>
      <c r="E180" s="1" t="s">
        <v>111</v>
      </c>
      <c r="F180" s="1">
        <v>0</v>
      </c>
      <c r="G180" s="1" t="s">
        <v>82</v>
      </c>
      <c r="I180" s="1" t="s">
        <v>123</v>
      </c>
    </row>
    <row r="181" spans="1:9" hidden="1" x14ac:dyDescent="0.3">
      <c r="A181" s="1">
        <v>825</v>
      </c>
      <c r="B181" s="1" t="s">
        <v>589</v>
      </c>
      <c r="C181" s="1" t="s">
        <v>590</v>
      </c>
      <c r="D181" s="1" t="s">
        <v>591</v>
      </c>
      <c r="E181" s="1" t="s">
        <v>111</v>
      </c>
      <c r="F181" s="1">
        <v>1</v>
      </c>
      <c r="G181" s="1" t="s">
        <v>143</v>
      </c>
    </row>
    <row r="182" spans="1:9" hidden="1" x14ac:dyDescent="0.3">
      <c r="A182" s="1">
        <v>826</v>
      </c>
      <c r="B182" s="1" t="s">
        <v>592</v>
      </c>
      <c r="C182" s="1" t="s">
        <v>593</v>
      </c>
      <c r="D182" s="1" t="s">
        <v>202</v>
      </c>
      <c r="E182" s="1" t="s">
        <v>111</v>
      </c>
      <c r="F182" s="1">
        <v>0</v>
      </c>
      <c r="G182" s="1" t="s">
        <v>82</v>
      </c>
      <c r="I182" s="1" t="s">
        <v>123</v>
      </c>
    </row>
    <row r="183" spans="1:9" hidden="1" x14ac:dyDescent="0.3">
      <c r="A183" s="1">
        <v>827</v>
      </c>
      <c r="B183" s="1" t="s">
        <v>594</v>
      </c>
      <c r="C183" s="1" t="s">
        <v>595</v>
      </c>
      <c r="D183" s="1" t="s">
        <v>435</v>
      </c>
      <c r="E183" s="1" t="s">
        <v>111</v>
      </c>
      <c r="F183" s="1">
        <v>1</v>
      </c>
      <c r="G183" s="1" t="s">
        <v>143</v>
      </c>
    </row>
    <row r="184" spans="1:9" hidden="1" x14ac:dyDescent="0.3">
      <c r="A184" s="1">
        <v>832</v>
      </c>
      <c r="B184" s="1" t="s">
        <v>596</v>
      </c>
      <c r="C184" s="1" t="s">
        <v>597</v>
      </c>
      <c r="D184" s="1" t="s">
        <v>435</v>
      </c>
      <c r="E184" s="1" t="s">
        <v>111</v>
      </c>
      <c r="F184" s="1">
        <v>0</v>
      </c>
      <c r="G184" s="1" t="s">
        <v>82</v>
      </c>
      <c r="I184" s="1" t="s">
        <v>123</v>
      </c>
    </row>
    <row r="185" spans="1:9" hidden="1" x14ac:dyDescent="0.3">
      <c r="A185" s="1">
        <v>833</v>
      </c>
      <c r="B185" s="1" t="s">
        <v>598</v>
      </c>
      <c r="C185" s="1" t="s">
        <v>599</v>
      </c>
      <c r="D185" s="1" t="s">
        <v>435</v>
      </c>
      <c r="E185" s="1" t="s">
        <v>111</v>
      </c>
      <c r="F185" s="1">
        <v>1</v>
      </c>
      <c r="G185" s="1" t="s">
        <v>143</v>
      </c>
    </row>
    <row r="186" spans="1:9" hidden="1" x14ac:dyDescent="0.3">
      <c r="A186" s="1">
        <v>834</v>
      </c>
      <c r="B186" s="1" t="s">
        <v>600</v>
      </c>
      <c r="C186" s="1" t="s">
        <v>601</v>
      </c>
      <c r="D186" s="1" t="s">
        <v>435</v>
      </c>
      <c r="E186" s="1" t="s">
        <v>111</v>
      </c>
      <c r="F186" s="1">
        <v>1</v>
      </c>
      <c r="G186" s="1" t="s">
        <v>143</v>
      </c>
    </row>
    <row r="187" spans="1:9" hidden="1" x14ac:dyDescent="0.3">
      <c r="A187" s="1">
        <v>835</v>
      </c>
      <c r="B187" s="1" t="s">
        <v>602</v>
      </c>
      <c r="C187" s="1" t="s">
        <v>603</v>
      </c>
      <c r="D187" s="1" t="s">
        <v>435</v>
      </c>
      <c r="E187" s="1" t="s">
        <v>111</v>
      </c>
      <c r="F187" s="1">
        <v>1</v>
      </c>
      <c r="G187" s="1" t="s">
        <v>143</v>
      </c>
    </row>
    <row r="188" spans="1:9" hidden="1" x14ac:dyDescent="0.3">
      <c r="A188" s="1">
        <v>845</v>
      </c>
      <c r="B188" s="1" t="s">
        <v>604</v>
      </c>
      <c r="C188" s="1" t="s">
        <v>605</v>
      </c>
      <c r="D188" s="1" t="s">
        <v>165</v>
      </c>
      <c r="E188" s="1" t="s">
        <v>134</v>
      </c>
      <c r="F188" s="1">
        <v>0</v>
      </c>
      <c r="G188" s="1" t="s">
        <v>82</v>
      </c>
      <c r="H188" s="1" t="s">
        <v>606</v>
      </c>
      <c r="I188" s="1" t="s">
        <v>123</v>
      </c>
    </row>
    <row r="189" spans="1:9" hidden="1" x14ac:dyDescent="0.3">
      <c r="A189" s="1">
        <v>847</v>
      </c>
      <c r="B189" s="1" t="s">
        <v>607</v>
      </c>
      <c r="C189" s="1" t="s">
        <v>608</v>
      </c>
      <c r="D189" s="1" t="s">
        <v>345</v>
      </c>
      <c r="E189" s="1" t="s">
        <v>255</v>
      </c>
      <c r="F189" s="1">
        <v>1</v>
      </c>
      <c r="G189" s="1" t="s">
        <v>143</v>
      </c>
    </row>
    <row r="190" spans="1:9" hidden="1" x14ac:dyDescent="0.3">
      <c r="A190" s="1">
        <v>859</v>
      </c>
      <c r="B190" s="1" t="s">
        <v>609</v>
      </c>
      <c r="C190" s="1" t="s">
        <v>610</v>
      </c>
      <c r="D190" s="1" t="s">
        <v>611</v>
      </c>
      <c r="E190" s="1" t="s">
        <v>95</v>
      </c>
      <c r="F190" s="1">
        <v>0</v>
      </c>
      <c r="G190" s="1" t="s">
        <v>82</v>
      </c>
      <c r="H190" s="1" t="s">
        <v>612</v>
      </c>
      <c r="I190" s="1" t="s">
        <v>123</v>
      </c>
    </row>
    <row r="191" spans="1:9" hidden="1" x14ac:dyDescent="0.3">
      <c r="A191" s="1">
        <v>861</v>
      </c>
      <c r="B191" s="1" t="s">
        <v>613</v>
      </c>
      <c r="C191" s="1" t="s">
        <v>614</v>
      </c>
      <c r="D191" s="1" t="s">
        <v>141</v>
      </c>
      <c r="E191" s="1" t="s">
        <v>65</v>
      </c>
      <c r="F191" s="1">
        <v>1</v>
      </c>
      <c r="G191" s="1" t="s">
        <v>143</v>
      </c>
    </row>
    <row r="192" spans="1:9" hidden="1" x14ac:dyDescent="0.3">
      <c r="A192" s="1">
        <v>863</v>
      </c>
      <c r="B192" s="1" t="s">
        <v>615</v>
      </c>
      <c r="C192" s="1" t="s">
        <v>616</v>
      </c>
      <c r="D192" s="1" t="s">
        <v>617</v>
      </c>
      <c r="E192" s="1" t="s">
        <v>68</v>
      </c>
      <c r="F192" s="1">
        <v>0</v>
      </c>
      <c r="G192" s="1" t="s">
        <v>82</v>
      </c>
      <c r="H192" s="1" t="s">
        <v>618</v>
      </c>
      <c r="I192" s="1" t="s">
        <v>123</v>
      </c>
    </row>
    <row r="193" spans="1:9" hidden="1" x14ac:dyDescent="0.3">
      <c r="A193" s="1">
        <v>864</v>
      </c>
      <c r="B193" s="1" t="s">
        <v>619</v>
      </c>
      <c r="C193" s="1" t="s">
        <v>620</v>
      </c>
      <c r="D193" s="1" t="s">
        <v>455</v>
      </c>
      <c r="E193" s="1" t="s">
        <v>68</v>
      </c>
      <c r="F193" s="1">
        <v>0</v>
      </c>
      <c r="G193" s="1" t="s">
        <v>82</v>
      </c>
      <c r="I193" s="1" t="s">
        <v>123</v>
      </c>
    </row>
    <row r="194" spans="1:9" hidden="1" x14ac:dyDescent="0.3">
      <c r="A194" s="1">
        <v>869</v>
      </c>
      <c r="B194" s="1" t="s">
        <v>621</v>
      </c>
      <c r="C194" s="1" t="s">
        <v>622</v>
      </c>
      <c r="D194" s="1" t="s">
        <v>623</v>
      </c>
      <c r="E194" s="1" t="s">
        <v>111</v>
      </c>
      <c r="F194" s="1">
        <v>0</v>
      </c>
      <c r="G194" s="1" t="s">
        <v>82</v>
      </c>
      <c r="I194" s="1" t="s">
        <v>123</v>
      </c>
    </row>
    <row r="195" spans="1:9" hidden="1" x14ac:dyDescent="0.3">
      <c r="A195" s="1">
        <v>870</v>
      </c>
      <c r="B195" s="1" t="s">
        <v>624</v>
      </c>
      <c r="C195" s="1" t="s">
        <v>625</v>
      </c>
      <c r="D195" s="1" t="s">
        <v>626</v>
      </c>
      <c r="E195" s="1" t="s">
        <v>197</v>
      </c>
      <c r="F195" s="1">
        <v>0</v>
      </c>
      <c r="G195" s="1" t="s">
        <v>82</v>
      </c>
      <c r="I195" s="1" t="s">
        <v>123</v>
      </c>
    </row>
    <row r="196" spans="1:9" hidden="1" x14ac:dyDescent="0.3">
      <c r="A196" s="1">
        <v>873</v>
      </c>
      <c r="B196" s="1" t="s">
        <v>627</v>
      </c>
      <c r="C196" s="1" t="s">
        <v>628</v>
      </c>
      <c r="D196" s="1" t="s">
        <v>623</v>
      </c>
      <c r="E196" s="1" t="s">
        <v>111</v>
      </c>
      <c r="F196" s="1">
        <v>0</v>
      </c>
      <c r="G196" s="1" t="s">
        <v>82</v>
      </c>
      <c r="I196" s="1" t="s">
        <v>123</v>
      </c>
    </row>
    <row r="197" spans="1:9" hidden="1" x14ac:dyDescent="0.3">
      <c r="A197" s="1">
        <v>874</v>
      </c>
      <c r="B197" s="1" t="s">
        <v>629</v>
      </c>
      <c r="C197" s="1" t="s">
        <v>630</v>
      </c>
      <c r="D197" s="1" t="s">
        <v>141</v>
      </c>
      <c r="E197" s="1" t="s">
        <v>238</v>
      </c>
      <c r="F197" s="1">
        <v>1</v>
      </c>
      <c r="G197" s="1" t="s">
        <v>143</v>
      </c>
    </row>
    <row r="198" spans="1:9" hidden="1" x14ac:dyDescent="0.3">
      <c r="A198" s="1">
        <v>878</v>
      </c>
      <c r="B198" s="1" t="s">
        <v>631</v>
      </c>
      <c r="C198" s="1" t="s">
        <v>632</v>
      </c>
      <c r="D198" s="1" t="s">
        <v>323</v>
      </c>
      <c r="E198" s="1" t="s">
        <v>65</v>
      </c>
      <c r="F198" s="1">
        <v>1</v>
      </c>
      <c r="G198" s="1" t="s">
        <v>143</v>
      </c>
    </row>
    <row r="199" spans="1:9" hidden="1" x14ac:dyDescent="0.3">
      <c r="A199" s="1">
        <v>886</v>
      </c>
      <c r="B199" s="1" t="s">
        <v>633</v>
      </c>
      <c r="C199" s="1" t="s">
        <v>634</v>
      </c>
      <c r="D199" s="1" t="s">
        <v>252</v>
      </c>
      <c r="E199" s="1" t="s">
        <v>255</v>
      </c>
      <c r="F199" s="1">
        <v>0</v>
      </c>
      <c r="G199" s="1" t="s">
        <v>82</v>
      </c>
      <c r="I199" s="1" t="s">
        <v>188</v>
      </c>
    </row>
    <row r="200" spans="1:9" hidden="1" x14ac:dyDescent="0.3">
      <c r="A200" s="1">
        <v>889</v>
      </c>
      <c r="B200" s="1" t="s">
        <v>635</v>
      </c>
      <c r="C200" s="1" t="s">
        <v>636</v>
      </c>
      <c r="D200" s="1" t="s">
        <v>141</v>
      </c>
      <c r="E200" s="1" t="s">
        <v>340</v>
      </c>
      <c r="F200" s="1">
        <v>1</v>
      </c>
      <c r="G200" s="1" t="s">
        <v>143</v>
      </c>
    </row>
    <row r="201" spans="1:9" hidden="1" x14ac:dyDescent="0.3">
      <c r="A201" s="1">
        <v>893</v>
      </c>
      <c r="B201" s="1" t="s">
        <v>637</v>
      </c>
      <c r="C201" s="1" t="s">
        <v>638</v>
      </c>
      <c r="D201" s="1" t="s">
        <v>422</v>
      </c>
      <c r="E201" s="1" t="s">
        <v>331</v>
      </c>
      <c r="F201" s="1">
        <v>1</v>
      </c>
      <c r="G201" s="1" t="s">
        <v>143</v>
      </c>
    </row>
    <row r="202" spans="1:9" hidden="1" x14ac:dyDescent="0.3">
      <c r="A202" s="1">
        <v>894</v>
      </c>
      <c r="B202" s="1" t="s">
        <v>639</v>
      </c>
      <c r="C202" s="1" t="s">
        <v>640</v>
      </c>
      <c r="D202" s="1" t="s">
        <v>641</v>
      </c>
      <c r="E202" s="1" t="s">
        <v>111</v>
      </c>
      <c r="F202" s="1">
        <v>1</v>
      </c>
      <c r="G202" s="1" t="s">
        <v>143</v>
      </c>
    </row>
    <row r="203" spans="1:9" hidden="1" x14ac:dyDescent="0.3">
      <c r="A203" s="1">
        <v>897</v>
      </c>
      <c r="B203" s="1" t="s">
        <v>642</v>
      </c>
      <c r="C203" s="1" t="s">
        <v>643</v>
      </c>
      <c r="D203" s="1" t="s">
        <v>644</v>
      </c>
      <c r="E203" s="1" t="s">
        <v>645</v>
      </c>
      <c r="F203" s="1">
        <v>1</v>
      </c>
      <c r="G203" s="1" t="s">
        <v>143</v>
      </c>
    </row>
    <row r="204" spans="1:9" hidden="1" x14ac:dyDescent="0.3">
      <c r="A204" s="1">
        <v>899</v>
      </c>
      <c r="B204" s="1" t="s">
        <v>646</v>
      </c>
      <c r="C204" s="1" t="s">
        <v>647</v>
      </c>
      <c r="D204" s="1" t="s">
        <v>648</v>
      </c>
      <c r="E204" s="1" t="s">
        <v>134</v>
      </c>
      <c r="F204" s="1">
        <v>0</v>
      </c>
      <c r="G204" s="1" t="s">
        <v>82</v>
      </c>
      <c r="I204" s="1" t="s">
        <v>123</v>
      </c>
    </row>
    <row r="205" spans="1:9" x14ac:dyDescent="0.3">
      <c r="A205" s="1">
        <v>900</v>
      </c>
      <c r="B205" s="1" t="s">
        <v>649</v>
      </c>
      <c r="C205" s="1" t="s">
        <v>650</v>
      </c>
      <c r="D205" s="1" t="s">
        <v>651</v>
      </c>
      <c r="E205" s="1" t="s">
        <v>215</v>
      </c>
      <c r="F205" s="1">
        <v>0</v>
      </c>
      <c r="G205" s="1" t="s">
        <v>82</v>
      </c>
      <c r="I205" s="1" t="s">
        <v>123</v>
      </c>
    </row>
    <row r="206" spans="1:9" hidden="1" x14ac:dyDescent="0.3">
      <c r="A206" s="1">
        <v>906</v>
      </c>
      <c r="B206" s="1" t="s">
        <v>652</v>
      </c>
      <c r="C206" s="1" t="s">
        <v>653</v>
      </c>
      <c r="D206" s="1" t="s">
        <v>422</v>
      </c>
      <c r="E206" s="1" t="s">
        <v>331</v>
      </c>
      <c r="F206" s="1">
        <v>1</v>
      </c>
      <c r="G206" s="1" t="s">
        <v>143</v>
      </c>
    </row>
    <row r="207" spans="1:9" hidden="1" x14ac:dyDescent="0.3">
      <c r="A207" s="1">
        <v>907</v>
      </c>
      <c r="B207" s="1" t="s">
        <v>654</v>
      </c>
      <c r="C207" s="1" t="s">
        <v>655</v>
      </c>
      <c r="D207" s="1" t="s">
        <v>656</v>
      </c>
      <c r="E207" s="1" t="s">
        <v>118</v>
      </c>
      <c r="F207" s="1">
        <v>0</v>
      </c>
      <c r="G207" s="1" t="s">
        <v>82</v>
      </c>
      <c r="I207" s="1" t="s">
        <v>123</v>
      </c>
    </row>
    <row r="208" spans="1:9" hidden="1" x14ac:dyDescent="0.3">
      <c r="A208" s="1">
        <v>909</v>
      </c>
      <c r="B208" s="1" t="s">
        <v>657</v>
      </c>
      <c r="C208" s="1" t="s">
        <v>658</v>
      </c>
      <c r="D208" s="1" t="s">
        <v>184</v>
      </c>
      <c r="E208" s="1" t="s">
        <v>111</v>
      </c>
      <c r="F208" s="1">
        <v>1</v>
      </c>
      <c r="G208" s="1" t="s">
        <v>143</v>
      </c>
    </row>
    <row r="209" spans="1:9" hidden="1" x14ac:dyDescent="0.3">
      <c r="A209" s="1">
        <v>911</v>
      </c>
      <c r="B209" s="1" t="s">
        <v>659</v>
      </c>
      <c r="C209" s="1" t="s">
        <v>660</v>
      </c>
      <c r="D209" s="1" t="s">
        <v>661</v>
      </c>
      <c r="E209" s="1" t="s">
        <v>662</v>
      </c>
      <c r="F209" s="1">
        <v>0</v>
      </c>
      <c r="G209" s="1" t="s">
        <v>82</v>
      </c>
      <c r="I209" s="1" t="s">
        <v>84</v>
      </c>
    </row>
    <row r="210" spans="1:9" hidden="1" x14ac:dyDescent="0.3">
      <c r="A210" s="1">
        <v>913</v>
      </c>
      <c r="B210" s="1" t="s">
        <v>663</v>
      </c>
      <c r="C210" s="1" t="s">
        <v>664</v>
      </c>
      <c r="D210" s="1" t="s">
        <v>656</v>
      </c>
      <c r="E210" s="1" t="s">
        <v>118</v>
      </c>
      <c r="F210" s="1">
        <v>0</v>
      </c>
      <c r="G210" s="1" t="s">
        <v>82</v>
      </c>
      <c r="I210" s="1" t="s">
        <v>123</v>
      </c>
    </row>
    <row r="211" spans="1:9" hidden="1" x14ac:dyDescent="0.3">
      <c r="A211" s="1">
        <v>914</v>
      </c>
      <c r="B211" s="1" t="s">
        <v>665</v>
      </c>
      <c r="C211" s="1" t="s">
        <v>666</v>
      </c>
      <c r="D211" s="1" t="s">
        <v>667</v>
      </c>
      <c r="E211" s="1" t="s">
        <v>118</v>
      </c>
      <c r="F211" s="1">
        <v>1</v>
      </c>
      <c r="G211" s="1" t="s">
        <v>143</v>
      </c>
    </row>
    <row r="212" spans="1:9" hidden="1" x14ac:dyDescent="0.3">
      <c r="A212" s="1">
        <v>915</v>
      </c>
      <c r="B212" s="1" t="s">
        <v>668</v>
      </c>
      <c r="C212" s="1" t="s">
        <v>669</v>
      </c>
      <c r="D212" s="1" t="s">
        <v>473</v>
      </c>
      <c r="E212" s="1" t="s">
        <v>91</v>
      </c>
      <c r="F212" s="1">
        <v>0</v>
      </c>
      <c r="G212" s="1" t="s">
        <v>82</v>
      </c>
      <c r="H212" s="1" t="s">
        <v>670</v>
      </c>
      <c r="I212" s="1" t="s">
        <v>123</v>
      </c>
    </row>
    <row r="213" spans="1:9" hidden="1" x14ac:dyDescent="0.3">
      <c r="A213" s="1">
        <v>916</v>
      </c>
      <c r="B213" s="1" t="s">
        <v>671</v>
      </c>
      <c r="C213" s="1" t="s">
        <v>672</v>
      </c>
      <c r="D213" s="1" t="s">
        <v>141</v>
      </c>
      <c r="E213" s="1" t="s">
        <v>340</v>
      </c>
      <c r="F213" s="1">
        <v>1</v>
      </c>
      <c r="G213" s="1" t="s">
        <v>143</v>
      </c>
    </row>
    <row r="214" spans="1:9" hidden="1" x14ac:dyDescent="0.3">
      <c r="A214" s="1">
        <v>920</v>
      </c>
      <c r="B214" s="1" t="s">
        <v>673</v>
      </c>
      <c r="C214" s="1" t="s">
        <v>674</v>
      </c>
      <c r="D214" s="1" t="s">
        <v>675</v>
      </c>
      <c r="E214" s="1" t="s">
        <v>142</v>
      </c>
      <c r="F214" s="1">
        <v>1</v>
      </c>
      <c r="G214" s="1" t="s">
        <v>143</v>
      </c>
    </row>
    <row r="215" spans="1:9" hidden="1" x14ac:dyDescent="0.3">
      <c r="A215" s="1">
        <v>923</v>
      </c>
      <c r="B215" s="1" t="s">
        <v>676</v>
      </c>
      <c r="C215" s="1" t="s">
        <v>677</v>
      </c>
      <c r="D215" s="1" t="s">
        <v>678</v>
      </c>
      <c r="E215" s="1" t="s">
        <v>68</v>
      </c>
      <c r="F215" s="1">
        <v>1</v>
      </c>
      <c r="G215" s="1" t="s">
        <v>143</v>
      </c>
    </row>
    <row r="216" spans="1:9" hidden="1" x14ac:dyDescent="0.3">
      <c r="A216" s="1">
        <v>924</v>
      </c>
      <c r="B216" s="1" t="s">
        <v>679</v>
      </c>
      <c r="C216" s="1" t="s">
        <v>680</v>
      </c>
      <c r="D216" s="1" t="s">
        <v>681</v>
      </c>
      <c r="E216" s="1" t="s">
        <v>170</v>
      </c>
      <c r="F216" s="1">
        <v>1</v>
      </c>
      <c r="G216" s="1" t="s">
        <v>143</v>
      </c>
    </row>
    <row r="217" spans="1:9" hidden="1" x14ac:dyDescent="0.3">
      <c r="A217" s="1">
        <v>925</v>
      </c>
      <c r="B217" s="1" t="s">
        <v>682</v>
      </c>
      <c r="C217" s="1" t="s">
        <v>683</v>
      </c>
      <c r="D217" s="1" t="s">
        <v>684</v>
      </c>
      <c r="E217" s="1" t="s">
        <v>505</v>
      </c>
      <c r="F217" s="1">
        <v>1</v>
      </c>
      <c r="G217" s="1" t="s">
        <v>143</v>
      </c>
    </row>
    <row r="218" spans="1:9" hidden="1" x14ac:dyDescent="0.3">
      <c r="A218" s="1">
        <v>926</v>
      </c>
      <c r="B218" s="1" t="s">
        <v>685</v>
      </c>
      <c r="C218" s="1" t="s">
        <v>686</v>
      </c>
      <c r="D218" s="1" t="s">
        <v>687</v>
      </c>
      <c r="E218" s="1" t="s">
        <v>111</v>
      </c>
      <c r="F218" s="1">
        <v>0</v>
      </c>
      <c r="G218" s="1" t="s">
        <v>82</v>
      </c>
      <c r="I218" s="1" t="s">
        <v>123</v>
      </c>
    </row>
    <row r="219" spans="1:9" hidden="1" x14ac:dyDescent="0.3">
      <c r="A219" s="1">
        <v>928</v>
      </c>
      <c r="B219" s="1" t="s">
        <v>688</v>
      </c>
      <c r="C219" s="1" t="s">
        <v>689</v>
      </c>
      <c r="D219" s="1" t="s">
        <v>690</v>
      </c>
      <c r="E219" s="1" t="s">
        <v>130</v>
      </c>
      <c r="F219" s="1">
        <v>0</v>
      </c>
      <c r="G219" s="1" t="s">
        <v>82</v>
      </c>
      <c r="I219" s="1" t="s">
        <v>123</v>
      </c>
    </row>
    <row r="220" spans="1:9" hidden="1" x14ac:dyDescent="0.3">
      <c r="A220" s="1">
        <v>929</v>
      </c>
      <c r="B220" s="1" t="s">
        <v>691</v>
      </c>
      <c r="C220" s="1" t="s">
        <v>692</v>
      </c>
      <c r="D220" s="1" t="s">
        <v>693</v>
      </c>
      <c r="E220" s="1" t="s">
        <v>134</v>
      </c>
      <c r="F220" s="1">
        <v>0</v>
      </c>
      <c r="G220" s="1" t="s">
        <v>82</v>
      </c>
      <c r="I220" s="1" t="s">
        <v>123</v>
      </c>
    </row>
    <row r="221" spans="1:9" hidden="1" x14ac:dyDescent="0.3">
      <c r="A221" s="1">
        <v>930</v>
      </c>
      <c r="B221" s="1" t="s">
        <v>694</v>
      </c>
      <c r="C221" s="1" t="s">
        <v>695</v>
      </c>
      <c r="D221" s="1" t="s">
        <v>588</v>
      </c>
      <c r="E221" s="1" t="s">
        <v>111</v>
      </c>
      <c r="F221" s="1">
        <v>1</v>
      </c>
      <c r="G221" s="1" t="s">
        <v>143</v>
      </c>
    </row>
    <row r="222" spans="1:9" hidden="1" x14ac:dyDescent="0.3">
      <c r="A222" s="1">
        <v>931</v>
      </c>
      <c r="B222" s="1" t="s">
        <v>696</v>
      </c>
      <c r="C222" s="1" t="s">
        <v>697</v>
      </c>
      <c r="D222" s="1" t="s">
        <v>141</v>
      </c>
      <c r="E222" s="1" t="s">
        <v>147</v>
      </c>
      <c r="F222" s="1">
        <v>1</v>
      </c>
      <c r="G222" s="1" t="s">
        <v>143</v>
      </c>
    </row>
    <row r="223" spans="1:9" hidden="1" x14ac:dyDescent="0.3">
      <c r="A223" s="1">
        <v>932</v>
      </c>
      <c r="B223" s="1" t="s">
        <v>698</v>
      </c>
      <c r="C223" s="1" t="s">
        <v>699</v>
      </c>
      <c r="D223" s="1" t="s">
        <v>422</v>
      </c>
      <c r="E223" s="1" t="s">
        <v>340</v>
      </c>
      <c r="F223" s="1">
        <v>1</v>
      </c>
      <c r="G223" s="1" t="s">
        <v>143</v>
      </c>
    </row>
    <row r="224" spans="1:9" hidden="1" x14ac:dyDescent="0.3">
      <c r="A224" s="1">
        <v>934</v>
      </c>
      <c r="B224" s="1" t="s">
        <v>700</v>
      </c>
      <c r="C224" s="1" t="s">
        <v>701</v>
      </c>
      <c r="D224" s="1" t="s">
        <v>422</v>
      </c>
      <c r="E224" s="1" t="s">
        <v>147</v>
      </c>
      <c r="F224" s="1">
        <v>1</v>
      </c>
      <c r="G224" s="1" t="s">
        <v>143</v>
      </c>
    </row>
    <row r="225" spans="1:9" hidden="1" x14ac:dyDescent="0.3">
      <c r="A225" s="1">
        <v>935</v>
      </c>
      <c r="B225" s="1" t="s">
        <v>702</v>
      </c>
      <c r="C225" s="1" t="s">
        <v>703</v>
      </c>
      <c r="D225" s="1" t="s">
        <v>422</v>
      </c>
      <c r="E225" s="1" t="s">
        <v>147</v>
      </c>
      <c r="F225" s="1">
        <v>1</v>
      </c>
      <c r="G225" s="1" t="s">
        <v>143</v>
      </c>
    </row>
    <row r="226" spans="1:9" hidden="1" x14ac:dyDescent="0.3">
      <c r="A226" s="1">
        <v>936</v>
      </c>
      <c r="B226" s="1" t="s">
        <v>704</v>
      </c>
      <c r="C226" s="1" t="s">
        <v>705</v>
      </c>
      <c r="D226" s="1" t="s">
        <v>422</v>
      </c>
      <c r="E226" s="1" t="s">
        <v>147</v>
      </c>
      <c r="F226" s="1">
        <v>1</v>
      </c>
      <c r="G226" s="1" t="s">
        <v>143</v>
      </c>
    </row>
    <row r="227" spans="1:9" hidden="1" x14ac:dyDescent="0.3">
      <c r="A227" s="1">
        <v>937</v>
      </c>
      <c r="B227" s="1" t="s">
        <v>706</v>
      </c>
      <c r="C227" s="1" t="s">
        <v>707</v>
      </c>
      <c r="D227" s="1" t="s">
        <v>252</v>
      </c>
      <c r="E227" s="1" t="s">
        <v>255</v>
      </c>
      <c r="F227" s="1">
        <v>1</v>
      </c>
      <c r="G227" s="1" t="s">
        <v>143</v>
      </c>
    </row>
    <row r="228" spans="1:9" hidden="1" x14ac:dyDescent="0.3">
      <c r="A228" s="1">
        <v>938</v>
      </c>
      <c r="B228" s="1" t="s">
        <v>708</v>
      </c>
      <c r="C228" s="1" t="s">
        <v>709</v>
      </c>
      <c r="D228" s="1" t="s">
        <v>141</v>
      </c>
      <c r="E228" s="1" t="s">
        <v>255</v>
      </c>
      <c r="F228" s="1">
        <v>1</v>
      </c>
      <c r="G228" s="1" t="s">
        <v>143</v>
      </c>
    </row>
    <row r="229" spans="1:9" hidden="1" x14ac:dyDescent="0.3">
      <c r="A229" s="1">
        <v>940</v>
      </c>
      <c r="B229" s="1" t="s">
        <v>710</v>
      </c>
      <c r="C229" s="1" t="s">
        <v>711</v>
      </c>
      <c r="D229" s="1" t="s">
        <v>252</v>
      </c>
      <c r="E229" s="1" t="s">
        <v>255</v>
      </c>
      <c r="F229" s="1">
        <v>0</v>
      </c>
      <c r="G229" s="1" t="s">
        <v>82</v>
      </c>
      <c r="I229" s="1" t="s">
        <v>188</v>
      </c>
    </row>
    <row r="230" spans="1:9" hidden="1" x14ac:dyDescent="0.3">
      <c r="A230" s="1">
        <v>942</v>
      </c>
      <c r="B230" s="1" t="s">
        <v>712</v>
      </c>
      <c r="C230" s="1" t="s">
        <v>713</v>
      </c>
      <c r="D230" s="1" t="s">
        <v>141</v>
      </c>
      <c r="E230" s="1" t="s">
        <v>340</v>
      </c>
      <c r="F230" s="1">
        <v>1</v>
      </c>
      <c r="G230" s="1" t="s">
        <v>143</v>
      </c>
    </row>
    <row r="231" spans="1:9" hidden="1" x14ac:dyDescent="0.3">
      <c r="A231" s="1">
        <v>944</v>
      </c>
      <c r="B231" s="1" t="s">
        <v>714</v>
      </c>
      <c r="C231" s="1" t="s">
        <v>715</v>
      </c>
      <c r="D231" s="1" t="s">
        <v>278</v>
      </c>
      <c r="E231" s="1" t="s">
        <v>259</v>
      </c>
      <c r="F231" s="1">
        <v>0</v>
      </c>
      <c r="G231" s="1" t="s">
        <v>82</v>
      </c>
      <c r="I231" s="1" t="s">
        <v>188</v>
      </c>
    </row>
    <row r="232" spans="1:9" hidden="1" x14ac:dyDescent="0.3">
      <c r="A232" s="1">
        <v>947</v>
      </c>
      <c r="B232" s="1" t="s">
        <v>716</v>
      </c>
      <c r="C232" s="1" t="s">
        <v>717</v>
      </c>
      <c r="D232" s="1" t="s">
        <v>718</v>
      </c>
      <c r="E232" s="1" t="s">
        <v>91</v>
      </c>
      <c r="F232" s="1">
        <v>0</v>
      </c>
      <c r="G232" s="1" t="s">
        <v>82</v>
      </c>
      <c r="I232" s="1" t="s">
        <v>123</v>
      </c>
    </row>
    <row r="233" spans="1:9" hidden="1" x14ac:dyDescent="0.3">
      <c r="A233" s="1">
        <v>949</v>
      </c>
      <c r="B233" s="1" t="s">
        <v>719</v>
      </c>
      <c r="C233" s="1" t="s">
        <v>720</v>
      </c>
      <c r="D233" s="1" t="s">
        <v>721</v>
      </c>
      <c r="E233" s="1" t="s">
        <v>68</v>
      </c>
      <c r="F233" s="1">
        <v>0</v>
      </c>
      <c r="G233" s="1" t="s">
        <v>82</v>
      </c>
      <c r="I233" s="1" t="s">
        <v>123</v>
      </c>
    </row>
    <row r="234" spans="1:9" hidden="1" x14ac:dyDescent="0.3">
      <c r="A234" s="1">
        <v>950</v>
      </c>
      <c r="B234" s="1" t="s">
        <v>722</v>
      </c>
      <c r="C234" s="1" t="s">
        <v>723</v>
      </c>
      <c r="D234" s="1" t="s">
        <v>724</v>
      </c>
      <c r="E234" s="1" t="s">
        <v>111</v>
      </c>
      <c r="F234" s="1">
        <v>0</v>
      </c>
      <c r="G234" s="1" t="s">
        <v>82</v>
      </c>
      <c r="I234" s="1" t="s">
        <v>123</v>
      </c>
    </row>
    <row r="235" spans="1:9" hidden="1" x14ac:dyDescent="0.3">
      <c r="A235" s="1">
        <v>951</v>
      </c>
      <c r="B235" s="1" t="s">
        <v>725</v>
      </c>
      <c r="C235" s="1" t="s">
        <v>726</v>
      </c>
      <c r="D235" s="1" t="s">
        <v>156</v>
      </c>
      <c r="E235" s="1" t="s">
        <v>111</v>
      </c>
      <c r="F235" s="1">
        <v>1</v>
      </c>
      <c r="G235" s="1" t="s">
        <v>143</v>
      </c>
    </row>
    <row r="236" spans="1:9" hidden="1" x14ac:dyDescent="0.3">
      <c r="A236" s="1">
        <v>953</v>
      </c>
      <c r="B236" s="1" t="s">
        <v>727</v>
      </c>
      <c r="C236" s="1" t="s">
        <v>728</v>
      </c>
      <c r="D236" s="1" t="s">
        <v>422</v>
      </c>
      <c r="E236" s="1" t="s">
        <v>340</v>
      </c>
      <c r="F236" s="1">
        <v>1</v>
      </c>
      <c r="G236" s="1" t="s">
        <v>143</v>
      </c>
    </row>
    <row r="237" spans="1:9" hidden="1" x14ac:dyDescent="0.3">
      <c r="A237" s="1">
        <v>954</v>
      </c>
      <c r="B237" s="1" t="s">
        <v>729</v>
      </c>
      <c r="C237" s="1" t="s">
        <v>730</v>
      </c>
      <c r="D237" s="1" t="s">
        <v>252</v>
      </c>
      <c r="E237" s="1" t="s">
        <v>255</v>
      </c>
      <c r="F237" s="1">
        <v>0</v>
      </c>
      <c r="G237" s="1" t="s">
        <v>82</v>
      </c>
      <c r="I237" s="1" t="s">
        <v>188</v>
      </c>
    </row>
    <row r="238" spans="1:9" hidden="1" x14ac:dyDescent="0.3">
      <c r="A238" s="1">
        <v>956</v>
      </c>
      <c r="B238" s="1" t="s">
        <v>731</v>
      </c>
      <c r="C238" s="1" t="s">
        <v>732</v>
      </c>
      <c r="D238" s="1" t="s">
        <v>141</v>
      </c>
      <c r="E238" s="1" t="s">
        <v>331</v>
      </c>
      <c r="F238" s="1">
        <v>1</v>
      </c>
      <c r="G238" s="1" t="s">
        <v>143</v>
      </c>
    </row>
    <row r="239" spans="1:9" hidden="1" x14ac:dyDescent="0.3">
      <c r="A239" s="1">
        <v>957</v>
      </c>
      <c r="B239" s="1" t="s">
        <v>733</v>
      </c>
      <c r="C239" s="1" t="s">
        <v>734</v>
      </c>
      <c r="D239" s="1" t="s">
        <v>252</v>
      </c>
      <c r="E239" s="1" t="s">
        <v>255</v>
      </c>
      <c r="F239" s="1">
        <v>1</v>
      </c>
      <c r="G239" s="1" t="s">
        <v>143</v>
      </c>
    </row>
    <row r="240" spans="1:9" hidden="1" x14ac:dyDescent="0.3">
      <c r="A240" s="1">
        <v>959</v>
      </c>
      <c r="B240" s="1" t="s">
        <v>735</v>
      </c>
      <c r="C240" s="1" t="s">
        <v>736</v>
      </c>
      <c r="D240" s="1" t="s">
        <v>737</v>
      </c>
      <c r="E240" s="1" t="s">
        <v>111</v>
      </c>
      <c r="F240" s="1">
        <v>1</v>
      </c>
      <c r="G240" s="1" t="s">
        <v>143</v>
      </c>
    </row>
    <row r="241" spans="1:9" hidden="1" x14ac:dyDescent="0.3">
      <c r="A241" s="1">
        <v>961</v>
      </c>
      <c r="B241" s="1" t="s">
        <v>738</v>
      </c>
      <c r="C241" s="1" t="s">
        <v>739</v>
      </c>
      <c r="D241" s="1" t="s">
        <v>740</v>
      </c>
      <c r="E241" s="1" t="s">
        <v>142</v>
      </c>
      <c r="F241" s="1">
        <v>1</v>
      </c>
      <c r="G241" s="1" t="s">
        <v>143</v>
      </c>
    </row>
    <row r="242" spans="1:9" hidden="1" x14ac:dyDescent="0.3">
      <c r="A242" s="1">
        <v>962</v>
      </c>
      <c r="B242" s="1" t="s">
        <v>741</v>
      </c>
      <c r="C242" s="1" t="s">
        <v>742</v>
      </c>
      <c r="D242" s="1" t="s">
        <v>693</v>
      </c>
      <c r="E242" s="1" t="s">
        <v>134</v>
      </c>
      <c r="F242" s="1">
        <v>0</v>
      </c>
      <c r="G242" s="1" t="s">
        <v>82</v>
      </c>
      <c r="I242" s="1" t="s">
        <v>123</v>
      </c>
    </row>
    <row r="243" spans="1:9" hidden="1" x14ac:dyDescent="0.3">
      <c r="A243" s="1">
        <v>963</v>
      </c>
      <c r="B243" s="1" t="s">
        <v>743</v>
      </c>
      <c r="C243" s="1" t="s">
        <v>744</v>
      </c>
      <c r="D243" s="1" t="s">
        <v>745</v>
      </c>
      <c r="E243" s="1" t="s">
        <v>68</v>
      </c>
      <c r="F243" s="1">
        <v>1</v>
      </c>
      <c r="G243" s="1" t="s">
        <v>143</v>
      </c>
    </row>
    <row r="244" spans="1:9" hidden="1" x14ac:dyDescent="0.3">
      <c r="A244" s="1">
        <v>964</v>
      </c>
      <c r="B244" s="1" t="s">
        <v>746</v>
      </c>
      <c r="C244" s="1" t="s">
        <v>747</v>
      </c>
      <c r="D244" s="1" t="s">
        <v>748</v>
      </c>
      <c r="E244" s="1" t="s">
        <v>134</v>
      </c>
      <c r="F244" s="1">
        <v>0</v>
      </c>
      <c r="G244" s="1" t="s">
        <v>82</v>
      </c>
      <c r="I244" s="1" t="s">
        <v>123</v>
      </c>
    </row>
    <row r="245" spans="1:9" hidden="1" x14ac:dyDescent="0.3">
      <c r="A245" s="1">
        <v>965</v>
      </c>
      <c r="B245" s="1" t="s">
        <v>749</v>
      </c>
      <c r="C245" s="1" t="s">
        <v>750</v>
      </c>
      <c r="D245" s="1" t="s">
        <v>751</v>
      </c>
      <c r="E245" s="1" t="s">
        <v>142</v>
      </c>
      <c r="F245" s="1">
        <v>1</v>
      </c>
      <c r="G245" s="1" t="s">
        <v>143</v>
      </c>
    </row>
    <row r="246" spans="1:9" hidden="1" x14ac:dyDescent="0.3">
      <c r="A246" s="1">
        <v>966</v>
      </c>
      <c r="B246" s="1" t="s">
        <v>752</v>
      </c>
      <c r="C246" s="1" t="s">
        <v>753</v>
      </c>
      <c r="D246" s="1" t="s">
        <v>476</v>
      </c>
      <c r="E246" s="1" t="s">
        <v>130</v>
      </c>
      <c r="F246" s="1">
        <v>0</v>
      </c>
      <c r="G246" s="1" t="s">
        <v>82</v>
      </c>
      <c r="I246" s="1" t="s">
        <v>123</v>
      </c>
    </row>
    <row r="247" spans="1:9" hidden="1" x14ac:dyDescent="0.3">
      <c r="A247" s="1">
        <v>967</v>
      </c>
      <c r="B247" s="1" t="s">
        <v>754</v>
      </c>
      <c r="C247" s="1" t="s">
        <v>755</v>
      </c>
      <c r="D247" s="1" t="s">
        <v>756</v>
      </c>
      <c r="E247" s="1" t="s">
        <v>111</v>
      </c>
      <c r="F247" s="1">
        <v>1</v>
      </c>
      <c r="G247" s="1" t="s">
        <v>143</v>
      </c>
    </row>
    <row r="248" spans="1:9" hidden="1" x14ac:dyDescent="0.3">
      <c r="A248" s="1">
        <v>968</v>
      </c>
      <c r="B248" s="1" t="s">
        <v>757</v>
      </c>
      <c r="C248" s="1" t="s">
        <v>758</v>
      </c>
      <c r="D248" s="1" t="s">
        <v>759</v>
      </c>
      <c r="E248" s="1" t="s">
        <v>259</v>
      </c>
      <c r="F248" s="1">
        <v>0</v>
      </c>
      <c r="G248" s="1" t="s">
        <v>82</v>
      </c>
      <c r="I248" s="1" t="s">
        <v>84</v>
      </c>
    </row>
    <row r="249" spans="1:9" hidden="1" x14ac:dyDescent="0.3">
      <c r="A249" s="1">
        <v>976</v>
      </c>
      <c r="B249" s="1" t="s">
        <v>760</v>
      </c>
      <c r="C249" s="1" t="s">
        <v>761</v>
      </c>
      <c r="D249" s="1" t="s">
        <v>141</v>
      </c>
      <c r="E249" s="1" t="s">
        <v>340</v>
      </c>
      <c r="F249" s="1">
        <v>1</v>
      </c>
      <c r="G249" s="1" t="s">
        <v>143</v>
      </c>
    </row>
    <row r="250" spans="1:9" hidden="1" x14ac:dyDescent="0.3">
      <c r="A250" s="1">
        <v>978</v>
      </c>
      <c r="B250" s="1" t="s">
        <v>762</v>
      </c>
      <c r="C250" s="1" t="s">
        <v>763</v>
      </c>
      <c r="D250" s="1" t="s">
        <v>126</v>
      </c>
      <c r="E250" s="1" t="s">
        <v>111</v>
      </c>
      <c r="F250" s="1">
        <v>0</v>
      </c>
      <c r="G250" s="1" t="s">
        <v>82</v>
      </c>
      <c r="I250" s="1" t="s">
        <v>123</v>
      </c>
    </row>
    <row r="251" spans="1:9" hidden="1" x14ac:dyDescent="0.3">
      <c r="A251" s="1">
        <v>979</v>
      </c>
      <c r="B251" s="1" t="s">
        <v>764</v>
      </c>
      <c r="C251" s="1" t="s">
        <v>765</v>
      </c>
      <c r="D251" s="1" t="s">
        <v>766</v>
      </c>
      <c r="E251" s="1" t="s">
        <v>111</v>
      </c>
      <c r="F251" s="1">
        <v>1</v>
      </c>
      <c r="G251" s="1" t="s">
        <v>143</v>
      </c>
    </row>
    <row r="252" spans="1:9" hidden="1" x14ac:dyDescent="0.3">
      <c r="A252" s="1">
        <v>981</v>
      </c>
      <c r="B252" s="1" t="s">
        <v>767</v>
      </c>
      <c r="C252" s="1" t="s">
        <v>768</v>
      </c>
      <c r="D252" s="1" t="s">
        <v>435</v>
      </c>
      <c r="E252" s="1" t="s">
        <v>111</v>
      </c>
      <c r="F252" s="1">
        <v>1</v>
      </c>
      <c r="G252" s="1" t="s">
        <v>143</v>
      </c>
    </row>
    <row r="253" spans="1:9" hidden="1" x14ac:dyDescent="0.3">
      <c r="A253" s="1">
        <v>982</v>
      </c>
      <c r="B253" s="1" t="s">
        <v>769</v>
      </c>
      <c r="C253" s="1" t="s">
        <v>770</v>
      </c>
      <c r="D253" s="1" t="s">
        <v>435</v>
      </c>
      <c r="E253" s="1" t="s">
        <v>111</v>
      </c>
      <c r="F253" s="1">
        <v>1</v>
      </c>
      <c r="G253" s="1" t="s">
        <v>143</v>
      </c>
    </row>
    <row r="254" spans="1:9" hidden="1" x14ac:dyDescent="0.3">
      <c r="A254" s="1">
        <v>985</v>
      </c>
      <c r="B254" s="1" t="s">
        <v>771</v>
      </c>
      <c r="C254" s="1" t="s">
        <v>772</v>
      </c>
      <c r="D254" s="1" t="s">
        <v>141</v>
      </c>
      <c r="E254" s="1" t="s">
        <v>142</v>
      </c>
      <c r="F254" s="1">
        <v>1</v>
      </c>
      <c r="G254" s="1" t="s">
        <v>143</v>
      </c>
    </row>
    <row r="255" spans="1:9" hidden="1" x14ac:dyDescent="0.3">
      <c r="A255" s="1">
        <v>986</v>
      </c>
      <c r="B255" s="1" t="s">
        <v>773</v>
      </c>
      <c r="C255" s="1" t="s">
        <v>774</v>
      </c>
      <c r="D255" s="1" t="s">
        <v>675</v>
      </c>
      <c r="E255" s="1" t="s">
        <v>142</v>
      </c>
      <c r="F255" s="1">
        <v>1</v>
      </c>
      <c r="G255" s="1" t="s">
        <v>143</v>
      </c>
    </row>
    <row r="256" spans="1:9" hidden="1" x14ac:dyDescent="0.3">
      <c r="A256" s="1">
        <v>989</v>
      </c>
      <c r="B256" s="1" t="s">
        <v>775</v>
      </c>
      <c r="C256" s="1" t="s">
        <v>776</v>
      </c>
      <c r="D256" s="1" t="s">
        <v>447</v>
      </c>
      <c r="E256" s="1" t="s">
        <v>111</v>
      </c>
      <c r="F256" s="1">
        <v>1</v>
      </c>
      <c r="G256" s="1" t="s">
        <v>143</v>
      </c>
      <c r="I256" s="1" t="s">
        <v>123</v>
      </c>
    </row>
    <row r="257" spans="1:9" hidden="1" x14ac:dyDescent="0.3">
      <c r="A257" s="1">
        <v>990</v>
      </c>
      <c r="B257" s="1" t="s">
        <v>777</v>
      </c>
      <c r="C257" s="1" t="s">
        <v>778</v>
      </c>
      <c r="D257" s="1" t="s">
        <v>779</v>
      </c>
      <c r="E257" s="1" t="s">
        <v>331</v>
      </c>
      <c r="F257" s="1">
        <v>1</v>
      </c>
      <c r="G257" s="1" t="s">
        <v>143</v>
      </c>
    </row>
    <row r="258" spans="1:9" hidden="1" x14ac:dyDescent="0.3">
      <c r="A258" s="1">
        <v>994</v>
      </c>
      <c r="B258" s="1" t="s">
        <v>780</v>
      </c>
      <c r="C258" s="1" t="s">
        <v>781</v>
      </c>
      <c r="D258" s="1" t="s">
        <v>252</v>
      </c>
      <c r="E258" s="1" t="s">
        <v>255</v>
      </c>
      <c r="F258" s="1">
        <v>0</v>
      </c>
      <c r="G258" s="1" t="s">
        <v>82</v>
      </c>
      <c r="I258" s="1" t="s">
        <v>188</v>
      </c>
    </row>
    <row r="259" spans="1:9" hidden="1" x14ac:dyDescent="0.3">
      <c r="A259" s="1">
        <v>996</v>
      </c>
      <c r="B259" s="1" t="s">
        <v>782</v>
      </c>
      <c r="C259" s="1" t="s">
        <v>783</v>
      </c>
      <c r="D259" s="1" t="s">
        <v>141</v>
      </c>
      <c r="E259" s="1" t="s">
        <v>255</v>
      </c>
      <c r="F259" s="1">
        <v>1</v>
      </c>
      <c r="G259" s="1" t="s">
        <v>143</v>
      </c>
    </row>
    <row r="260" spans="1:9" hidden="1" x14ac:dyDescent="0.3">
      <c r="A260" s="1">
        <v>997</v>
      </c>
      <c r="B260" s="1" t="s">
        <v>784</v>
      </c>
      <c r="C260" s="1" t="s">
        <v>785</v>
      </c>
      <c r="D260" s="1" t="s">
        <v>786</v>
      </c>
      <c r="E260" s="1" t="s">
        <v>245</v>
      </c>
      <c r="F260" s="1">
        <v>0</v>
      </c>
      <c r="G260" s="1" t="s">
        <v>82</v>
      </c>
      <c r="I260" s="1" t="s">
        <v>84</v>
      </c>
    </row>
    <row r="261" spans="1:9" hidden="1" x14ac:dyDescent="0.3">
      <c r="A261" s="1">
        <v>999</v>
      </c>
      <c r="B261" s="1" t="s">
        <v>787</v>
      </c>
      <c r="C261" s="1" t="s">
        <v>788</v>
      </c>
      <c r="D261" s="1" t="s">
        <v>141</v>
      </c>
      <c r="E261" s="1" t="s">
        <v>255</v>
      </c>
      <c r="F261" s="1">
        <v>1</v>
      </c>
      <c r="G261" s="1" t="s">
        <v>143</v>
      </c>
    </row>
    <row r="262" spans="1:9" hidden="1" x14ac:dyDescent="0.3">
      <c r="A262" s="1">
        <v>1001</v>
      </c>
      <c r="B262" s="1" t="s">
        <v>789</v>
      </c>
      <c r="C262" s="1" t="s">
        <v>790</v>
      </c>
      <c r="D262" s="1" t="s">
        <v>252</v>
      </c>
      <c r="E262" s="1" t="s">
        <v>259</v>
      </c>
      <c r="F262" s="1">
        <v>0</v>
      </c>
      <c r="G262" s="1" t="s">
        <v>82</v>
      </c>
      <c r="I262" s="1" t="s">
        <v>188</v>
      </c>
    </row>
    <row r="263" spans="1:9" hidden="1" x14ac:dyDescent="0.3">
      <c r="A263" s="1">
        <v>1002</v>
      </c>
      <c r="B263" s="1" t="s">
        <v>791</v>
      </c>
      <c r="C263" s="1" t="s">
        <v>792</v>
      </c>
      <c r="D263" s="1" t="s">
        <v>793</v>
      </c>
      <c r="E263" s="1" t="s">
        <v>111</v>
      </c>
      <c r="F263" s="1">
        <v>1</v>
      </c>
      <c r="G263" s="1" t="s">
        <v>143</v>
      </c>
    </row>
    <row r="264" spans="1:9" hidden="1" x14ac:dyDescent="0.3">
      <c r="A264" s="1">
        <v>1005</v>
      </c>
      <c r="B264" s="1" t="s">
        <v>794</v>
      </c>
      <c r="C264" s="1" t="s">
        <v>795</v>
      </c>
      <c r="D264" s="1" t="s">
        <v>278</v>
      </c>
      <c r="E264" s="1" t="s">
        <v>255</v>
      </c>
      <c r="F264" s="1">
        <v>1</v>
      </c>
      <c r="G264" s="1" t="s">
        <v>143</v>
      </c>
      <c r="I264" s="1" t="s">
        <v>188</v>
      </c>
    </row>
    <row r="265" spans="1:9" hidden="1" x14ac:dyDescent="0.3">
      <c r="A265" s="1">
        <v>1006</v>
      </c>
      <c r="B265" s="1" t="s">
        <v>796</v>
      </c>
      <c r="C265" s="1" t="s">
        <v>797</v>
      </c>
      <c r="D265" s="1" t="s">
        <v>278</v>
      </c>
      <c r="E265" s="1" t="s">
        <v>147</v>
      </c>
      <c r="F265" s="1">
        <v>0</v>
      </c>
      <c r="G265" s="1" t="s">
        <v>82</v>
      </c>
      <c r="I265" s="1" t="s">
        <v>188</v>
      </c>
    </row>
    <row r="266" spans="1:9" hidden="1" x14ac:dyDescent="0.3">
      <c r="A266" s="1">
        <v>1009</v>
      </c>
      <c r="B266" s="1" t="s">
        <v>798</v>
      </c>
      <c r="C266" s="1" t="s">
        <v>799</v>
      </c>
      <c r="D266" s="1" t="s">
        <v>252</v>
      </c>
      <c r="E266" s="1" t="s">
        <v>331</v>
      </c>
      <c r="F266" s="1">
        <v>1</v>
      </c>
      <c r="G266" s="1" t="s">
        <v>143</v>
      </c>
    </row>
    <row r="267" spans="1:9" hidden="1" x14ac:dyDescent="0.3">
      <c r="A267" s="1">
        <v>1010</v>
      </c>
      <c r="B267" s="1" t="s">
        <v>800</v>
      </c>
      <c r="C267" s="1" t="s">
        <v>801</v>
      </c>
      <c r="D267" s="1" t="s">
        <v>802</v>
      </c>
      <c r="E267" s="1" t="s">
        <v>68</v>
      </c>
      <c r="F267" s="1">
        <v>1</v>
      </c>
      <c r="G267" s="1" t="s">
        <v>143</v>
      </c>
    </row>
    <row r="268" spans="1:9" hidden="1" x14ac:dyDescent="0.3">
      <c r="A268" s="1">
        <v>1011</v>
      </c>
      <c r="B268" s="1" t="s">
        <v>803</v>
      </c>
      <c r="C268" s="1" t="s">
        <v>804</v>
      </c>
      <c r="D268" s="1" t="s">
        <v>805</v>
      </c>
      <c r="E268" s="1" t="s">
        <v>68</v>
      </c>
      <c r="F268" s="1">
        <v>0</v>
      </c>
      <c r="G268" s="1" t="s">
        <v>82</v>
      </c>
      <c r="I268" s="1" t="s">
        <v>123</v>
      </c>
    </row>
    <row r="269" spans="1:9" hidden="1" x14ac:dyDescent="0.3">
      <c r="A269" s="1">
        <v>1016</v>
      </c>
      <c r="B269" s="1" t="s">
        <v>806</v>
      </c>
      <c r="C269" s="1" t="s">
        <v>807</v>
      </c>
      <c r="D269" s="1" t="s">
        <v>345</v>
      </c>
      <c r="E269" s="1" t="s">
        <v>331</v>
      </c>
      <c r="F269" s="1">
        <v>1</v>
      </c>
      <c r="G269" s="1" t="s">
        <v>143</v>
      </c>
    </row>
    <row r="270" spans="1:9" hidden="1" x14ac:dyDescent="0.3">
      <c r="A270" s="1">
        <v>1019</v>
      </c>
      <c r="B270" s="1" t="s">
        <v>808</v>
      </c>
      <c r="C270" s="1" t="s">
        <v>809</v>
      </c>
      <c r="D270" s="1" t="s">
        <v>270</v>
      </c>
      <c r="E270" s="1" t="s">
        <v>259</v>
      </c>
      <c r="F270" s="1">
        <v>0</v>
      </c>
      <c r="G270" s="1" t="s">
        <v>82</v>
      </c>
      <c r="I270" s="1" t="s">
        <v>188</v>
      </c>
    </row>
    <row r="271" spans="1:9" hidden="1" x14ac:dyDescent="0.3">
      <c r="A271" s="1">
        <v>1021</v>
      </c>
      <c r="B271" s="1" t="s">
        <v>810</v>
      </c>
      <c r="C271" s="1" t="s">
        <v>811</v>
      </c>
      <c r="D271" s="1" t="s">
        <v>779</v>
      </c>
      <c r="E271" s="1" t="s">
        <v>340</v>
      </c>
      <c r="F271" s="1">
        <v>1</v>
      </c>
      <c r="G271" s="1" t="s">
        <v>143</v>
      </c>
      <c r="I271" s="1" t="s">
        <v>84</v>
      </c>
    </row>
    <row r="272" spans="1:9" hidden="1" x14ac:dyDescent="0.3">
      <c r="A272" s="1">
        <v>1023</v>
      </c>
      <c r="B272" s="1" t="s">
        <v>812</v>
      </c>
      <c r="C272" s="1" t="s">
        <v>813</v>
      </c>
      <c r="D272" s="1" t="s">
        <v>447</v>
      </c>
      <c r="E272" s="1" t="s">
        <v>65</v>
      </c>
      <c r="F272" s="1">
        <v>1</v>
      </c>
      <c r="G272" s="1" t="s">
        <v>143</v>
      </c>
      <c r="I272" s="1" t="s">
        <v>123</v>
      </c>
    </row>
    <row r="273" spans="1:9" hidden="1" x14ac:dyDescent="0.3">
      <c r="A273" s="1">
        <v>1024</v>
      </c>
      <c r="B273" s="1" t="s">
        <v>814</v>
      </c>
      <c r="C273" s="1" t="s">
        <v>815</v>
      </c>
      <c r="D273" s="1" t="s">
        <v>641</v>
      </c>
      <c r="E273" s="1" t="s">
        <v>111</v>
      </c>
      <c r="F273" s="1">
        <v>1</v>
      </c>
      <c r="G273" s="1" t="s">
        <v>143</v>
      </c>
      <c r="I273" s="1" t="s">
        <v>123</v>
      </c>
    </row>
    <row r="274" spans="1:9" hidden="1" x14ac:dyDescent="0.3">
      <c r="A274" s="1">
        <v>1026</v>
      </c>
      <c r="B274" s="1" t="s">
        <v>816</v>
      </c>
      <c r="C274" s="1" t="s">
        <v>817</v>
      </c>
      <c r="D274" s="1" t="s">
        <v>345</v>
      </c>
      <c r="E274" s="1" t="s">
        <v>255</v>
      </c>
      <c r="F274" s="1">
        <v>1</v>
      </c>
      <c r="G274" s="1" t="s">
        <v>143</v>
      </c>
    </row>
    <row r="275" spans="1:9" hidden="1" x14ac:dyDescent="0.3">
      <c r="A275" s="1">
        <v>1028</v>
      </c>
      <c r="B275" s="1" t="s">
        <v>818</v>
      </c>
      <c r="C275" s="1" t="s">
        <v>819</v>
      </c>
      <c r="D275" s="1" t="s">
        <v>252</v>
      </c>
      <c r="E275" s="1" t="s">
        <v>340</v>
      </c>
      <c r="F275" s="1">
        <v>0</v>
      </c>
      <c r="G275" s="1" t="s">
        <v>82</v>
      </c>
      <c r="I275" s="1" t="s">
        <v>188</v>
      </c>
    </row>
    <row r="276" spans="1:9" hidden="1" x14ac:dyDescent="0.3">
      <c r="A276" s="1">
        <v>1031</v>
      </c>
      <c r="B276" s="1" t="s">
        <v>820</v>
      </c>
      <c r="C276" s="1" t="s">
        <v>821</v>
      </c>
      <c r="D276" s="1" t="s">
        <v>822</v>
      </c>
      <c r="E276" s="1" t="s">
        <v>419</v>
      </c>
      <c r="F276" s="1">
        <v>1</v>
      </c>
      <c r="G276" s="1" t="s">
        <v>143</v>
      </c>
    </row>
    <row r="277" spans="1:9" hidden="1" x14ac:dyDescent="0.3">
      <c r="A277" s="1">
        <v>1032</v>
      </c>
      <c r="B277" s="1" t="s">
        <v>823</v>
      </c>
      <c r="C277" s="1" t="s">
        <v>824</v>
      </c>
      <c r="D277" s="1" t="s">
        <v>825</v>
      </c>
      <c r="E277" s="1" t="s">
        <v>826</v>
      </c>
      <c r="F277" s="1">
        <v>0</v>
      </c>
      <c r="G277" s="1" t="s">
        <v>82</v>
      </c>
      <c r="H277" s="1" t="s">
        <v>827</v>
      </c>
      <c r="I277" s="1" t="s">
        <v>123</v>
      </c>
    </row>
    <row r="278" spans="1:9" hidden="1" x14ac:dyDescent="0.3">
      <c r="A278" s="1">
        <v>1033</v>
      </c>
      <c r="B278" s="1" t="s">
        <v>828</v>
      </c>
      <c r="C278" s="1" t="s">
        <v>829</v>
      </c>
      <c r="D278" s="1" t="s">
        <v>830</v>
      </c>
      <c r="E278" s="1" t="s">
        <v>91</v>
      </c>
      <c r="F278" s="1">
        <v>0</v>
      </c>
      <c r="G278" s="1" t="s">
        <v>82</v>
      </c>
      <c r="I278" s="1" t="s">
        <v>123</v>
      </c>
    </row>
    <row r="279" spans="1:9" hidden="1" x14ac:dyDescent="0.3">
      <c r="A279" s="1">
        <v>1034</v>
      </c>
      <c r="B279" s="1" t="s">
        <v>831</v>
      </c>
      <c r="C279" s="1" t="s">
        <v>832</v>
      </c>
      <c r="D279" s="1" t="s">
        <v>141</v>
      </c>
      <c r="E279" s="1" t="s">
        <v>340</v>
      </c>
      <c r="F279" s="1">
        <v>1</v>
      </c>
      <c r="G279" s="1" t="s">
        <v>143</v>
      </c>
    </row>
    <row r="280" spans="1:9" hidden="1" x14ac:dyDescent="0.3">
      <c r="A280" s="1">
        <v>1037</v>
      </c>
      <c r="B280" s="1" t="s">
        <v>833</v>
      </c>
      <c r="C280" s="1" t="s">
        <v>834</v>
      </c>
      <c r="D280" s="1" t="s">
        <v>422</v>
      </c>
      <c r="E280" s="1" t="s">
        <v>255</v>
      </c>
      <c r="F280" s="1">
        <v>1</v>
      </c>
      <c r="G280" s="1" t="s">
        <v>143</v>
      </c>
    </row>
    <row r="281" spans="1:9" hidden="1" x14ac:dyDescent="0.3">
      <c r="A281" s="1">
        <v>1040</v>
      </c>
      <c r="B281" s="1" t="s">
        <v>835</v>
      </c>
      <c r="C281" s="1" t="s">
        <v>836</v>
      </c>
      <c r="D281" s="1" t="s">
        <v>422</v>
      </c>
      <c r="E281" s="1" t="s">
        <v>147</v>
      </c>
      <c r="F281" s="1">
        <v>1</v>
      </c>
      <c r="G281" s="1" t="s">
        <v>143</v>
      </c>
    </row>
    <row r="282" spans="1:9" hidden="1" x14ac:dyDescent="0.3">
      <c r="A282" s="1">
        <v>1041</v>
      </c>
      <c r="B282" s="1" t="s">
        <v>837</v>
      </c>
      <c r="C282" s="1" t="s">
        <v>838</v>
      </c>
      <c r="D282" s="1" t="s">
        <v>141</v>
      </c>
      <c r="E282" s="1" t="s">
        <v>340</v>
      </c>
      <c r="F282" s="1">
        <v>1</v>
      </c>
      <c r="G282" s="1" t="s">
        <v>143</v>
      </c>
    </row>
    <row r="283" spans="1:9" hidden="1" x14ac:dyDescent="0.3">
      <c r="A283" s="1">
        <v>1042</v>
      </c>
      <c r="B283" s="1" t="s">
        <v>839</v>
      </c>
      <c r="C283" s="1" t="s">
        <v>840</v>
      </c>
      <c r="D283" s="1" t="s">
        <v>841</v>
      </c>
      <c r="E283" s="1" t="s">
        <v>289</v>
      </c>
      <c r="F283" s="1">
        <v>1</v>
      </c>
      <c r="G283" s="1" t="s">
        <v>143</v>
      </c>
    </row>
    <row r="284" spans="1:9" hidden="1" x14ac:dyDescent="0.3">
      <c r="A284" s="1">
        <v>1043</v>
      </c>
      <c r="B284" s="1" t="s">
        <v>842</v>
      </c>
      <c r="C284" s="1" t="s">
        <v>843</v>
      </c>
      <c r="D284" s="1" t="s">
        <v>844</v>
      </c>
      <c r="E284" s="1" t="s">
        <v>331</v>
      </c>
      <c r="F284" s="1">
        <v>1</v>
      </c>
      <c r="G284" s="1" t="s">
        <v>143</v>
      </c>
    </row>
    <row r="285" spans="1:9" hidden="1" x14ac:dyDescent="0.3">
      <c r="A285" s="1">
        <v>1044</v>
      </c>
      <c r="B285" s="1" t="s">
        <v>845</v>
      </c>
      <c r="C285" s="1" t="s">
        <v>846</v>
      </c>
      <c r="D285" s="1" t="s">
        <v>847</v>
      </c>
      <c r="E285" s="1" t="s">
        <v>111</v>
      </c>
      <c r="F285" s="1">
        <v>1</v>
      </c>
      <c r="G285" s="1" t="s">
        <v>143</v>
      </c>
    </row>
    <row r="286" spans="1:9" hidden="1" x14ac:dyDescent="0.3">
      <c r="A286" s="1">
        <v>1045</v>
      </c>
      <c r="B286" s="1" t="s">
        <v>848</v>
      </c>
      <c r="C286" s="1" t="s">
        <v>849</v>
      </c>
      <c r="D286" s="1" t="s">
        <v>330</v>
      </c>
      <c r="E286" s="1" t="s">
        <v>340</v>
      </c>
      <c r="F286" s="1">
        <v>1</v>
      </c>
      <c r="G286" s="1" t="s">
        <v>143</v>
      </c>
    </row>
    <row r="287" spans="1:9" hidden="1" x14ac:dyDescent="0.3">
      <c r="A287" s="1">
        <v>1046</v>
      </c>
      <c r="B287" s="1" t="s">
        <v>850</v>
      </c>
      <c r="C287" s="1" t="s">
        <v>851</v>
      </c>
      <c r="D287" s="1" t="s">
        <v>852</v>
      </c>
      <c r="E287" s="1" t="s">
        <v>215</v>
      </c>
      <c r="F287" s="1">
        <v>1</v>
      </c>
      <c r="G287" s="1" t="s">
        <v>143</v>
      </c>
    </row>
    <row r="288" spans="1:9" hidden="1" x14ac:dyDescent="0.3">
      <c r="A288" s="1">
        <v>1047</v>
      </c>
      <c r="B288" s="1" t="s">
        <v>853</v>
      </c>
      <c r="C288" s="1" t="s">
        <v>854</v>
      </c>
      <c r="D288" s="1" t="s">
        <v>270</v>
      </c>
      <c r="E288" s="1" t="s">
        <v>147</v>
      </c>
      <c r="F288" s="1">
        <v>1</v>
      </c>
      <c r="G288" s="1" t="s">
        <v>143</v>
      </c>
    </row>
    <row r="289" spans="1:9" hidden="1" x14ac:dyDescent="0.3">
      <c r="A289" s="1">
        <v>1048</v>
      </c>
      <c r="B289" s="1" t="s">
        <v>855</v>
      </c>
      <c r="C289" s="1" t="s">
        <v>856</v>
      </c>
      <c r="D289" s="1" t="s">
        <v>252</v>
      </c>
      <c r="E289" s="1" t="s">
        <v>147</v>
      </c>
      <c r="F289" s="1">
        <v>1</v>
      </c>
      <c r="G289" s="1" t="s">
        <v>143</v>
      </c>
    </row>
    <row r="290" spans="1:9" hidden="1" x14ac:dyDescent="0.3">
      <c r="A290" s="1">
        <v>1052</v>
      </c>
      <c r="B290" s="1" t="s">
        <v>857</v>
      </c>
      <c r="C290" s="1" t="s">
        <v>858</v>
      </c>
      <c r="D290" s="1" t="s">
        <v>230</v>
      </c>
      <c r="E290" s="1" t="s">
        <v>197</v>
      </c>
      <c r="F290" s="1">
        <v>1</v>
      </c>
      <c r="G290" s="1" t="s">
        <v>143</v>
      </c>
    </row>
    <row r="291" spans="1:9" hidden="1" x14ac:dyDescent="0.3">
      <c r="A291" s="1">
        <v>1054</v>
      </c>
      <c r="B291" s="1" t="s">
        <v>859</v>
      </c>
      <c r="C291" s="1" t="s">
        <v>860</v>
      </c>
      <c r="D291" s="1" t="s">
        <v>270</v>
      </c>
      <c r="E291" s="1" t="s">
        <v>147</v>
      </c>
      <c r="F291" s="1">
        <v>1</v>
      </c>
      <c r="G291" s="1" t="s">
        <v>143</v>
      </c>
    </row>
    <row r="292" spans="1:9" hidden="1" x14ac:dyDescent="0.3">
      <c r="A292" s="1">
        <v>1055</v>
      </c>
      <c r="B292" s="1" t="s">
        <v>861</v>
      </c>
      <c r="C292" s="1" t="s">
        <v>862</v>
      </c>
      <c r="D292" s="1" t="s">
        <v>252</v>
      </c>
      <c r="E292" s="1" t="s">
        <v>147</v>
      </c>
      <c r="F292" s="1">
        <v>1</v>
      </c>
      <c r="G292" s="1" t="s">
        <v>143</v>
      </c>
    </row>
    <row r="293" spans="1:9" hidden="1" x14ac:dyDescent="0.3">
      <c r="A293" s="1">
        <v>1056</v>
      </c>
      <c r="B293" s="1" t="s">
        <v>863</v>
      </c>
      <c r="C293" s="1" t="s">
        <v>864</v>
      </c>
      <c r="D293" s="1" t="s">
        <v>252</v>
      </c>
      <c r="E293" s="1" t="s">
        <v>259</v>
      </c>
      <c r="F293" s="1">
        <v>0</v>
      </c>
      <c r="G293" s="1" t="s">
        <v>82</v>
      </c>
      <c r="I293" s="1" t="s">
        <v>188</v>
      </c>
    </row>
    <row r="294" spans="1:9" hidden="1" x14ac:dyDescent="0.3">
      <c r="A294" s="1">
        <v>1057</v>
      </c>
      <c r="B294" s="1" t="s">
        <v>865</v>
      </c>
      <c r="C294" s="1" t="s">
        <v>866</v>
      </c>
      <c r="D294" s="1" t="s">
        <v>141</v>
      </c>
      <c r="E294" s="1" t="s">
        <v>340</v>
      </c>
      <c r="F294" s="1">
        <v>1</v>
      </c>
      <c r="G294" s="1" t="s">
        <v>143</v>
      </c>
    </row>
    <row r="295" spans="1:9" hidden="1" x14ac:dyDescent="0.3">
      <c r="A295" s="1">
        <v>1058</v>
      </c>
      <c r="B295" s="1" t="s">
        <v>867</v>
      </c>
      <c r="C295" s="1" t="s">
        <v>868</v>
      </c>
      <c r="D295" s="1" t="s">
        <v>422</v>
      </c>
      <c r="E295" s="1" t="s">
        <v>147</v>
      </c>
      <c r="F295" s="1">
        <v>1</v>
      </c>
      <c r="G295" s="1" t="s">
        <v>143</v>
      </c>
    </row>
    <row r="296" spans="1:9" hidden="1" x14ac:dyDescent="0.3">
      <c r="A296" s="1">
        <v>1059</v>
      </c>
      <c r="B296" s="1" t="s">
        <v>869</v>
      </c>
      <c r="C296" s="1" t="s">
        <v>870</v>
      </c>
      <c r="D296" s="1" t="s">
        <v>422</v>
      </c>
      <c r="E296" s="1" t="s">
        <v>147</v>
      </c>
      <c r="F296" s="1">
        <v>1</v>
      </c>
      <c r="G296" s="1" t="s">
        <v>143</v>
      </c>
    </row>
    <row r="297" spans="1:9" hidden="1" x14ac:dyDescent="0.3">
      <c r="A297" s="1">
        <v>1060</v>
      </c>
      <c r="B297" s="1" t="s">
        <v>871</v>
      </c>
      <c r="C297" s="1" t="s">
        <v>872</v>
      </c>
      <c r="D297" s="1" t="s">
        <v>270</v>
      </c>
      <c r="E297" s="1" t="s">
        <v>340</v>
      </c>
      <c r="F297" s="1">
        <v>0</v>
      </c>
      <c r="G297" s="1" t="s">
        <v>82</v>
      </c>
      <c r="I297" s="1" t="s">
        <v>188</v>
      </c>
    </row>
    <row r="298" spans="1:9" hidden="1" x14ac:dyDescent="0.3">
      <c r="A298" s="1">
        <v>1061</v>
      </c>
      <c r="B298" s="1" t="s">
        <v>873</v>
      </c>
      <c r="C298" s="1" t="s">
        <v>874</v>
      </c>
      <c r="D298" s="1" t="s">
        <v>422</v>
      </c>
      <c r="E298" s="1" t="s">
        <v>147</v>
      </c>
      <c r="F298" s="1">
        <v>1</v>
      </c>
      <c r="G298" s="1" t="s">
        <v>143</v>
      </c>
    </row>
    <row r="299" spans="1:9" hidden="1" x14ac:dyDescent="0.3">
      <c r="A299" s="1">
        <v>1062</v>
      </c>
      <c r="B299" s="1" t="s">
        <v>875</v>
      </c>
      <c r="C299" s="1" t="s">
        <v>876</v>
      </c>
      <c r="D299" s="1" t="s">
        <v>422</v>
      </c>
      <c r="E299" s="1" t="s">
        <v>255</v>
      </c>
      <c r="F299" s="1">
        <v>1</v>
      </c>
      <c r="G299" s="1" t="s">
        <v>143</v>
      </c>
    </row>
    <row r="300" spans="1:9" hidden="1" x14ac:dyDescent="0.3">
      <c r="A300" s="1">
        <v>1064</v>
      </c>
      <c r="B300" s="1" t="s">
        <v>877</v>
      </c>
      <c r="C300" s="1" t="s">
        <v>878</v>
      </c>
      <c r="D300" s="1" t="s">
        <v>252</v>
      </c>
      <c r="E300" s="1" t="s">
        <v>147</v>
      </c>
      <c r="F300" s="1">
        <v>0</v>
      </c>
      <c r="G300" s="1" t="s">
        <v>82</v>
      </c>
      <c r="I300" s="1" t="s">
        <v>188</v>
      </c>
    </row>
    <row r="301" spans="1:9" hidden="1" x14ac:dyDescent="0.3">
      <c r="A301" s="1">
        <v>1065</v>
      </c>
      <c r="B301" s="1" t="s">
        <v>879</v>
      </c>
      <c r="C301" s="1" t="s">
        <v>880</v>
      </c>
      <c r="D301" s="1" t="s">
        <v>258</v>
      </c>
      <c r="E301" s="1" t="s">
        <v>255</v>
      </c>
      <c r="F301" s="1">
        <v>1</v>
      </c>
      <c r="G301" s="1" t="s">
        <v>143</v>
      </c>
    </row>
    <row r="302" spans="1:9" hidden="1" x14ac:dyDescent="0.3">
      <c r="A302" s="1">
        <v>1067</v>
      </c>
      <c r="B302" s="1" t="s">
        <v>881</v>
      </c>
      <c r="C302" s="1" t="s">
        <v>882</v>
      </c>
      <c r="D302" s="1" t="s">
        <v>330</v>
      </c>
      <c r="E302" s="1" t="s">
        <v>147</v>
      </c>
      <c r="F302" s="1">
        <v>1</v>
      </c>
      <c r="G302" s="1" t="s">
        <v>143</v>
      </c>
    </row>
    <row r="303" spans="1:9" hidden="1" x14ac:dyDescent="0.3">
      <c r="A303" s="1">
        <v>1068</v>
      </c>
      <c r="B303" s="1" t="s">
        <v>883</v>
      </c>
      <c r="C303" s="1" t="s">
        <v>884</v>
      </c>
      <c r="D303" s="1" t="s">
        <v>693</v>
      </c>
      <c r="E303" s="1" t="s">
        <v>134</v>
      </c>
      <c r="F303" s="1">
        <v>1</v>
      </c>
      <c r="G303" s="1" t="s">
        <v>143</v>
      </c>
      <c r="I303" s="1" t="s">
        <v>123</v>
      </c>
    </row>
    <row r="304" spans="1:9" hidden="1" x14ac:dyDescent="0.3">
      <c r="A304" s="1">
        <v>1069</v>
      </c>
      <c r="B304" s="1" t="s">
        <v>885</v>
      </c>
      <c r="C304" s="1" t="s">
        <v>886</v>
      </c>
      <c r="D304" s="1" t="s">
        <v>887</v>
      </c>
      <c r="E304" s="1" t="s">
        <v>111</v>
      </c>
      <c r="F304" s="1">
        <v>1</v>
      </c>
      <c r="G304" s="1" t="s">
        <v>143</v>
      </c>
    </row>
    <row r="305" spans="1:9" hidden="1" x14ac:dyDescent="0.3">
      <c r="A305" s="1">
        <v>1070</v>
      </c>
      <c r="B305" s="1" t="s">
        <v>888</v>
      </c>
      <c r="C305" s="1" t="s">
        <v>889</v>
      </c>
      <c r="D305" s="1" t="s">
        <v>890</v>
      </c>
      <c r="E305" s="1" t="s">
        <v>419</v>
      </c>
      <c r="F305" s="1">
        <v>0</v>
      </c>
      <c r="G305" s="1" t="s">
        <v>82</v>
      </c>
      <c r="I305" s="1" t="s">
        <v>123</v>
      </c>
    </row>
    <row r="306" spans="1:9" hidden="1" x14ac:dyDescent="0.3">
      <c r="A306" s="1">
        <v>1071</v>
      </c>
      <c r="B306" s="1" t="s">
        <v>891</v>
      </c>
      <c r="C306" s="1" t="s">
        <v>892</v>
      </c>
      <c r="D306" s="1" t="s">
        <v>252</v>
      </c>
      <c r="E306" s="1" t="s">
        <v>340</v>
      </c>
      <c r="F306" s="1">
        <v>1</v>
      </c>
      <c r="G306" s="1" t="s">
        <v>143</v>
      </c>
    </row>
    <row r="307" spans="1:9" hidden="1" x14ac:dyDescent="0.3">
      <c r="A307" s="1">
        <v>1073</v>
      </c>
      <c r="B307" s="1" t="s">
        <v>893</v>
      </c>
      <c r="C307" s="1" t="s">
        <v>894</v>
      </c>
      <c r="D307" s="1" t="s">
        <v>422</v>
      </c>
      <c r="E307" s="1" t="s">
        <v>147</v>
      </c>
      <c r="F307" s="1">
        <v>1</v>
      </c>
      <c r="G307" s="1" t="s">
        <v>143</v>
      </c>
    </row>
    <row r="308" spans="1:9" hidden="1" x14ac:dyDescent="0.3">
      <c r="A308" s="1">
        <v>1074</v>
      </c>
      <c r="B308" s="1" t="s">
        <v>895</v>
      </c>
      <c r="C308" s="1" t="s">
        <v>896</v>
      </c>
      <c r="D308" s="1" t="s">
        <v>345</v>
      </c>
      <c r="E308" s="1" t="s">
        <v>255</v>
      </c>
      <c r="F308" s="1">
        <v>1</v>
      </c>
      <c r="G308" s="1" t="s">
        <v>143</v>
      </c>
    </row>
    <row r="309" spans="1:9" hidden="1" x14ac:dyDescent="0.3">
      <c r="A309" s="1">
        <v>1075</v>
      </c>
      <c r="B309" s="1" t="s">
        <v>897</v>
      </c>
      <c r="C309" s="1" t="s">
        <v>898</v>
      </c>
      <c r="D309" s="1" t="s">
        <v>278</v>
      </c>
      <c r="E309" s="1" t="s">
        <v>147</v>
      </c>
      <c r="F309" s="1">
        <v>1</v>
      </c>
      <c r="G309" s="1" t="s">
        <v>143</v>
      </c>
    </row>
    <row r="310" spans="1:9" hidden="1" x14ac:dyDescent="0.3">
      <c r="A310" s="1">
        <v>1076</v>
      </c>
      <c r="B310" s="1" t="s">
        <v>899</v>
      </c>
      <c r="C310" s="1" t="s">
        <v>900</v>
      </c>
      <c r="D310" s="1" t="s">
        <v>270</v>
      </c>
      <c r="E310" s="1" t="s">
        <v>340</v>
      </c>
      <c r="F310" s="1">
        <v>0</v>
      </c>
      <c r="G310" s="1" t="s">
        <v>82</v>
      </c>
      <c r="I310" s="1" t="s">
        <v>188</v>
      </c>
    </row>
    <row r="311" spans="1:9" hidden="1" x14ac:dyDescent="0.3">
      <c r="A311" s="1">
        <v>1077</v>
      </c>
      <c r="B311" s="1" t="s">
        <v>901</v>
      </c>
      <c r="C311" s="1" t="s">
        <v>902</v>
      </c>
      <c r="D311" s="1" t="s">
        <v>278</v>
      </c>
      <c r="E311" s="1" t="s">
        <v>147</v>
      </c>
      <c r="F311" s="1">
        <v>1</v>
      </c>
      <c r="G311" s="1" t="s">
        <v>143</v>
      </c>
    </row>
    <row r="312" spans="1:9" hidden="1" x14ac:dyDescent="0.3">
      <c r="A312" s="1">
        <v>1078</v>
      </c>
      <c r="B312" s="1" t="s">
        <v>903</v>
      </c>
      <c r="C312" s="1" t="s">
        <v>904</v>
      </c>
      <c r="D312" s="1" t="s">
        <v>278</v>
      </c>
      <c r="E312" s="1" t="s">
        <v>340</v>
      </c>
      <c r="F312" s="1">
        <v>1</v>
      </c>
      <c r="G312" s="1" t="s">
        <v>143</v>
      </c>
    </row>
    <row r="313" spans="1:9" hidden="1" x14ac:dyDescent="0.3">
      <c r="A313" s="1">
        <v>1079</v>
      </c>
      <c r="B313" s="1" t="s">
        <v>905</v>
      </c>
      <c r="C313" s="1" t="s">
        <v>906</v>
      </c>
      <c r="D313" s="1" t="s">
        <v>278</v>
      </c>
      <c r="E313" s="1" t="s">
        <v>340</v>
      </c>
      <c r="F313" s="1">
        <v>0</v>
      </c>
      <c r="G313" s="1" t="s">
        <v>82</v>
      </c>
      <c r="H313" s="1" t="s">
        <v>907</v>
      </c>
      <c r="I313" s="1" t="s">
        <v>188</v>
      </c>
    </row>
    <row r="314" spans="1:9" hidden="1" x14ac:dyDescent="0.3">
      <c r="A314" s="1">
        <v>1080</v>
      </c>
      <c r="B314" s="1" t="s">
        <v>908</v>
      </c>
      <c r="C314" s="1" t="s">
        <v>909</v>
      </c>
      <c r="D314" s="1" t="s">
        <v>252</v>
      </c>
      <c r="E314" s="1" t="s">
        <v>340</v>
      </c>
      <c r="F314" s="1">
        <v>1</v>
      </c>
      <c r="G314" s="1" t="s">
        <v>143</v>
      </c>
    </row>
    <row r="315" spans="1:9" hidden="1" x14ac:dyDescent="0.3">
      <c r="A315" s="1">
        <v>1082</v>
      </c>
      <c r="B315" s="1" t="s">
        <v>910</v>
      </c>
      <c r="C315" s="1" t="s">
        <v>911</v>
      </c>
      <c r="D315" s="1" t="s">
        <v>336</v>
      </c>
      <c r="E315" s="1" t="s">
        <v>331</v>
      </c>
      <c r="F315" s="1">
        <v>1</v>
      </c>
      <c r="G315" s="1" t="s">
        <v>143</v>
      </c>
    </row>
    <row r="316" spans="1:9" hidden="1" x14ac:dyDescent="0.3">
      <c r="A316" s="1">
        <v>1083</v>
      </c>
      <c r="B316" s="1" t="s">
        <v>912</v>
      </c>
      <c r="C316" s="1" t="s">
        <v>913</v>
      </c>
      <c r="D316" s="1" t="s">
        <v>422</v>
      </c>
      <c r="E316" s="1" t="s">
        <v>147</v>
      </c>
      <c r="F316" s="1">
        <v>1</v>
      </c>
      <c r="G316" s="1" t="s">
        <v>143</v>
      </c>
    </row>
    <row r="317" spans="1:9" hidden="1" x14ac:dyDescent="0.3">
      <c r="A317" s="1">
        <v>1084</v>
      </c>
      <c r="B317" s="1" t="s">
        <v>914</v>
      </c>
      <c r="C317" s="1" t="s">
        <v>915</v>
      </c>
      <c r="D317" s="1" t="s">
        <v>252</v>
      </c>
      <c r="E317" s="1" t="s">
        <v>259</v>
      </c>
      <c r="F317" s="1">
        <v>0</v>
      </c>
      <c r="G317" s="1" t="s">
        <v>82</v>
      </c>
      <c r="I317" s="1" t="s">
        <v>188</v>
      </c>
    </row>
    <row r="318" spans="1:9" hidden="1" x14ac:dyDescent="0.3">
      <c r="A318" s="1">
        <v>1085</v>
      </c>
      <c r="B318" s="1" t="s">
        <v>916</v>
      </c>
      <c r="C318" s="1" t="s">
        <v>917</v>
      </c>
      <c r="D318" s="1" t="s">
        <v>252</v>
      </c>
      <c r="E318" s="1" t="s">
        <v>340</v>
      </c>
      <c r="F318" s="1">
        <v>0</v>
      </c>
      <c r="G318" s="1" t="s">
        <v>82</v>
      </c>
      <c r="I318" s="1" t="s">
        <v>188</v>
      </c>
    </row>
    <row r="319" spans="1:9" hidden="1" x14ac:dyDescent="0.3">
      <c r="A319" s="1">
        <v>1086</v>
      </c>
      <c r="B319" s="1" t="s">
        <v>918</v>
      </c>
      <c r="C319" s="1" t="s">
        <v>919</v>
      </c>
      <c r="D319" s="1" t="s">
        <v>252</v>
      </c>
      <c r="E319" s="1" t="s">
        <v>147</v>
      </c>
      <c r="F319" s="1">
        <v>1</v>
      </c>
      <c r="G319" s="1" t="s">
        <v>143</v>
      </c>
    </row>
    <row r="320" spans="1:9" hidden="1" x14ac:dyDescent="0.3">
      <c r="A320" s="1">
        <v>1088</v>
      </c>
      <c r="B320" s="1" t="s">
        <v>920</v>
      </c>
      <c r="C320" s="1" t="s">
        <v>921</v>
      </c>
      <c r="D320" s="1" t="s">
        <v>922</v>
      </c>
      <c r="E320" s="1" t="s">
        <v>645</v>
      </c>
      <c r="F320" s="1">
        <v>1</v>
      </c>
      <c r="G320" s="1" t="s">
        <v>143</v>
      </c>
    </row>
    <row r="321" spans="1:9" hidden="1" x14ac:dyDescent="0.3">
      <c r="A321" s="1">
        <v>1090</v>
      </c>
      <c r="B321" s="1" t="s">
        <v>923</v>
      </c>
      <c r="C321" s="1" t="s">
        <v>924</v>
      </c>
      <c r="D321" s="1" t="s">
        <v>623</v>
      </c>
      <c r="E321" s="1" t="s">
        <v>111</v>
      </c>
      <c r="F321" s="1">
        <v>1</v>
      </c>
      <c r="G321" s="1" t="s">
        <v>143</v>
      </c>
    </row>
    <row r="322" spans="1:9" hidden="1" x14ac:dyDescent="0.3">
      <c r="A322" s="1">
        <v>1091</v>
      </c>
      <c r="B322" s="1" t="s">
        <v>925</v>
      </c>
      <c r="C322" s="1" t="s">
        <v>926</v>
      </c>
      <c r="D322" s="1" t="s">
        <v>623</v>
      </c>
      <c r="E322" s="1" t="s">
        <v>111</v>
      </c>
      <c r="F322" s="1">
        <v>1</v>
      </c>
      <c r="G322" s="1" t="s">
        <v>143</v>
      </c>
    </row>
    <row r="323" spans="1:9" hidden="1" x14ac:dyDescent="0.3">
      <c r="A323" s="1">
        <v>1093</v>
      </c>
      <c r="B323" s="1" t="s">
        <v>927</v>
      </c>
      <c r="C323" s="1" t="s">
        <v>928</v>
      </c>
      <c r="D323" s="1" t="s">
        <v>230</v>
      </c>
      <c r="E323" s="1" t="s">
        <v>197</v>
      </c>
      <c r="F323" s="1">
        <v>1</v>
      </c>
      <c r="G323" s="1" t="s">
        <v>143</v>
      </c>
      <c r="I323" s="1" t="s">
        <v>123</v>
      </c>
    </row>
    <row r="324" spans="1:9" hidden="1" x14ac:dyDescent="0.3">
      <c r="A324" s="1">
        <v>1094</v>
      </c>
      <c r="B324" s="1" t="s">
        <v>929</v>
      </c>
      <c r="C324" s="1" t="s">
        <v>930</v>
      </c>
      <c r="D324" s="1" t="s">
        <v>931</v>
      </c>
      <c r="E324" s="1" t="s">
        <v>134</v>
      </c>
      <c r="F324" s="1">
        <v>0</v>
      </c>
      <c r="G324" s="1" t="s">
        <v>82</v>
      </c>
      <c r="I324" s="1" t="s">
        <v>123</v>
      </c>
    </row>
    <row r="325" spans="1:9" hidden="1" x14ac:dyDescent="0.3">
      <c r="A325" s="1">
        <v>1096</v>
      </c>
      <c r="B325" s="1" t="s">
        <v>932</v>
      </c>
      <c r="C325" s="1" t="s">
        <v>933</v>
      </c>
      <c r="D325" s="1" t="s">
        <v>934</v>
      </c>
      <c r="E325" s="1" t="s">
        <v>147</v>
      </c>
      <c r="F325" s="1">
        <v>1</v>
      </c>
      <c r="G325" s="1" t="s">
        <v>143</v>
      </c>
    </row>
    <row r="326" spans="1:9" hidden="1" x14ac:dyDescent="0.3">
      <c r="A326" s="1">
        <v>1097</v>
      </c>
      <c r="B326" s="1" t="s">
        <v>935</v>
      </c>
      <c r="C326" s="1" t="s">
        <v>936</v>
      </c>
      <c r="D326" s="1" t="s">
        <v>252</v>
      </c>
      <c r="E326" s="1" t="s">
        <v>147</v>
      </c>
      <c r="F326" s="1">
        <v>1</v>
      </c>
      <c r="G326" s="1" t="s">
        <v>143</v>
      </c>
    </row>
    <row r="327" spans="1:9" hidden="1" x14ac:dyDescent="0.3">
      <c r="A327" s="1">
        <v>1098</v>
      </c>
      <c r="B327" s="1" t="s">
        <v>937</v>
      </c>
      <c r="C327" s="1" t="s">
        <v>938</v>
      </c>
      <c r="D327" s="1" t="s">
        <v>422</v>
      </c>
      <c r="E327" s="1" t="s">
        <v>147</v>
      </c>
      <c r="F327" s="1">
        <v>1</v>
      </c>
      <c r="G327" s="1" t="s">
        <v>143</v>
      </c>
    </row>
    <row r="328" spans="1:9" hidden="1" x14ac:dyDescent="0.3">
      <c r="A328" s="1">
        <v>1099</v>
      </c>
      <c r="B328" s="1" t="s">
        <v>939</v>
      </c>
      <c r="C328" s="1" t="s">
        <v>940</v>
      </c>
      <c r="D328" s="1" t="s">
        <v>422</v>
      </c>
      <c r="E328" s="1" t="s">
        <v>147</v>
      </c>
      <c r="F328" s="1">
        <v>1</v>
      </c>
      <c r="G328" s="1" t="s">
        <v>143</v>
      </c>
    </row>
    <row r="329" spans="1:9" hidden="1" x14ac:dyDescent="0.3">
      <c r="A329" s="1">
        <v>1100</v>
      </c>
      <c r="B329" s="1" t="s">
        <v>941</v>
      </c>
      <c r="C329" s="1" t="s">
        <v>942</v>
      </c>
      <c r="D329" s="1" t="s">
        <v>422</v>
      </c>
      <c r="E329" s="1" t="s">
        <v>147</v>
      </c>
      <c r="F329" s="1">
        <v>1</v>
      </c>
      <c r="G329" s="1" t="s">
        <v>143</v>
      </c>
    </row>
    <row r="330" spans="1:9" hidden="1" x14ac:dyDescent="0.3">
      <c r="A330" s="1">
        <v>1102</v>
      </c>
      <c r="B330" s="1" t="s">
        <v>943</v>
      </c>
      <c r="C330" s="1" t="s">
        <v>944</v>
      </c>
      <c r="D330" s="1" t="s">
        <v>422</v>
      </c>
      <c r="E330" s="1" t="s">
        <v>147</v>
      </c>
      <c r="F330" s="1">
        <v>1</v>
      </c>
      <c r="G330" s="1" t="s">
        <v>143</v>
      </c>
    </row>
    <row r="331" spans="1:9" hidden="1" x14ac:dyDescent="0.3">
      <c r="A331" s="1">
        <v>1103</v>
      </c>
      <c r="B331" s="1" t="s">
        <v>945</v>
      </c>
      <c r="C331" s="1" t="s">
        <v>946</v>
      </c>
      <c r="D331" s="1" t="s">
        <v>422</v>
      </c>
      <c r="E331" s="1" t="s">
        <v>147</v>
      </c>
      <c r="F331" s="1">
        <v>1</v>
      </c>
      <c r="G331" s="1" t="s">
        <v>143</v>
      </c>
    </row>
    <row r="332" spans="1:9" hidden="1" x14ac:dyDescent="0.3">
      <c r="A332" s="1">
        <v>1105</v>
      </c>
      <c r="B332" s="1" t="s">
        <v>947</v>
      </c>
      <c r="C332" s="1" t="s">
        <v>948</v>
      </c>
      <c r="D332" s="1" t="s">
        <v>422</v>
      </c>
      <c r="E332" s="1" t="s">
        <v>147</v>
      </c>
      <c r="F332" s="1">
        <v>1</v>
      </c>
      <c r="G332" s="1" t="s">
        <v>143</v>
      </c>
    </row>
    <row r="333" spans="1:9" hidden="1" x14ac:dyDescent="0.3">
      <c r="A333" s="1">
        <v>1106</v>
      </c>
      <c r="B333" s="1" t="s">
        <v>949</v>
      </c>
      <c r="C333" s="1" t="s">
        <v>950</v>
      </c>
      <c r="D333" s="1" t="s">
        <v>422</v>
      </c>
      <c r="E333" s="1" t="s">
        <v>147</v>
      </c>
      <c r="F333" s="1">
        <v>1</v>
      </c>
      <c r="G333" s="1" t="s">
        <v>143</v>
      </c>
    </row>
    <row r="334" spans="1:9" hidden="1" x14ac:dyDescent="0.3">
      <c r="A334" s="1">
        <v>1107</v>
      </c>
      <c r="B334" s="1" t="s">
        <v>951</v>
      </c>
      <c r="C334" s="1" t="s">
        <v>952</v>
      </c>
      <c r="D334" s="1" t="s">
        <v>252</v>
      </c>
      <c r="E334" s="1" t="s">
        <v>147</v>
      </c>
      <c r="F334" s="1">
        <v>1</v>
      </c>
      <c r="G334" s="1" t="s">
        <v>143</v>
      </c>
    </row>
    <row r="335" spans="1:9" hidden="1" x14ac:dyDescent="0.3">
      <c r="A335" s="1">
        <v>1108</v>
      </c>
      <c r="B335" s="1" t="s">
        <v>953</v>
      </c>
      <c r="C335" s="1" t="s">
        <v>954</v>
      </c>
      <c r="D335" s="1" t="s">
        <v>360</v>
      </c>
      <c r="E335" s="1" t="s">
        <v>147</v>
      </c>
      <c r="F335" s="1">
        <v>1</v>
      </c>
      <c r="G335" s="1" t="s">
        <v>143</v>
      </c>
    </row>
    <row r="336" spans="1:9" hidden="1" x14ac:dyDescent="0.3">
      <c r="A336" s="1">
        <v>1111</v>
      </c>
      <c r="B336" s="1" t="s">
        <v>955</v>
      </c>
      <c r="C336" s="1" t="s">
        <v>956</v>
      </c>
      <c r="D336" s="1" t="s">
        <v>422</v>
      </c>
      <c r="E336" s="1" t="s">
        <v>340</v>
      </c>
      <c r="F336" s="1">
        <v>1</v>
      </c>
      <c r="G336" s="1" t="s">
        <v>143</v>
      </c>
    </row>
    <row r="337" spans="1:9" hidden="1" x14ac:dyDescent="0.3">
      <c r="A337" s="1">
        <v>1112</v>
      </c>
      <c r="B337" s="1" t="s">
        <v>957</v>
      </c>
      <c r="C337" s="1" t="s">
        <v>958</v>
      </c>
      <c r="D337" s="1" t="s">
        <v>278</v>
      </c>
      <c r="E337" s="1" t="s">
        <v>340</v>
      </c>
      <c r="F337" s="1">
        <v>1</v>
      </c>
      <c r="G337" s="1" t="s">
        <v>143</v>
      </c>
      <c r="I337" s="1" t="s">
        <v>188</v>
      </c>
    </row>
    <row r="338" spans="1:9" hidden="1" x14ac:dyDescent="0.3">
      <c r="A338" s="1">
        <v>1114</v>
      </c>
      <c r="B338" s="1" t="s">
        <v>959</v>
      </c>
      <c r="C338" s="1" t="s">
        <v>960</v>
      </c>
      <c r="D338" s="1" t="s">
        <v>141</v>
      </c>
      <c r="E338" s="1" t="s">
        <v>340</v>
      </c>
      <c r="F338" s="1">
        <v>1</v>
      </c>
      <c r="G338" s="1" t="s">
        <v>143</v>
      </c>
    </row>
    <row r="339" spans="1:9" hidden="1" x14ac:dyDescent="0.3">
      <c r="A339" s="1">
        <v>1117</v>
      </c>
      <c r="B339" s="1" t="s">
        <v>961</v>
      </c>
      <c r="C339" s="1" t="s">
        <v>962</v>
      </c>
      <c r="D339" s="1" t="s">
        <v>422</v>
      </c>
      <c r="E339" s="1" t="s">
        <v>340</v>
      </c>
      <c r="F339" s="1">
        <v>1</v>
      </c>
      <c r="G339" s="1" t="s">
        <v>143</v>
      </c>
    </row>
    <row r="340" spans="1:9" hidden="1" x14ac:dyDescent="0.3">
      <c r="A340" s="1">
        <v>1118</v>
      </c>
      <c r="B340" s="1" t="s">
        <v>963</v>
      </c>
      <c r="C340" s="1" t="s">
        <v>964</v>
      </c>
      <c r="D340" s="1" t="s">
        <v>278</v>
      </c>
      <c r="E340" s="1" t="s">
        <v>340</v>
      </c>
      <c r="F340" s="1">
        <v>1</v>
      </c>
      <c r="G340" s="1" t="s">
        <v>143</v>
      </c>
    </row>
    <row r="341" spans="1:9" hidden="1" x14ac:dyDescent="0.3">
      <c r="A341" s="1">
        <v>1119</v>
      </c>
      <c r="B341" s="1" t="s">
        <v>965</v>
      </c>
      <c r="C341" s="1" t="s">
        <v>966</v>
      </c>
      <c r="D341" s="1" t="s">
        <v>252</v>
      </c>
      <c r="E341" s="1" t="s">
        <v>340</v>
      </c>
      <c r="F341" s="1">
        <v>1</v>
      </c>
      <c r="G341" s="1" t="s">
        <v>143</v>
      </c>
      <c r="I341" s="1" t="s">
        <v>188</v>
      </c>
    </row>
    <row r="342" spans="1:9" hidden="1" x14ac:dyDescent="0.3">
      <c r="A342" s="1">
        <v>1120</v>
      </c>
      <c r="B342" s="1" t="s">
        <v>967</v>
      </c>
      <c r="C342" s="1" t="s">
        <v>968</v>
      </c>
      <c r="D342" s="1" t="s">
        <v>252</v>
      </c>
      <c r="E342" s="1" t="s">
        <v>340</v>
      </c>
      <c r="F342" s="1">
        <v>1</v>
      </c>
      <c r="G342" s="1" t="s">
        <v>143</v>
      </c>
    </row>
    <row r="343" spans="1:9" hidden="1" x14ac:dyDescent="0.3">
      <c r="A343" s="1">
        <v>1122</v>
      </c>
      <c r="B343" s="1" t="s">
        <v>969</v>
      </c>
      <c r="C343" s="1" t="s">
        <v>970</v>
      </c>
      <c r="D343" s="1" t="s">
        <v>971</v>
      </c>
      <c r="E343" s="1" t="s">
        <v>142</v>
      </c>
      <c r="F343" s="1">
        <v>1</v>
      </c>
      <c r="G343" s="1" t="s">
        <v>143</v>
      </c>
    </row>
    <row r="344" spans="1:9" x14ac:dyDescent="0.3">
      <c r="A344" s="1">
        <v>1124</v>
      </c>
      <c r="B344" s="1" t="s">
        <v>972</v>
      </c>
      <c r="C344" s="1" t="s">
        <v>973</v>
      </c>
      <c r="D344" s="1" t="s">
        <v>214</v>
      </c>
      <c r="E344" s="1" t="s">
        <v>215</v>
      </c>
      <c r="F344" s="1">
        <v>0</v>
      </c>
      <c r="G344" s="1" t="s">
        <v>82</v>
      </c>
      <c r="I344" s="1" t="s">
        <v>123</v>
      </c>
    </row>
    <row r="345" spans="1:9" hidden="1" x14ac:dyDescent="0.3">
      <c r="A345" s="1">
        <v>1125</v>
      </c>
      <c r="B345" s="1" t="s">
        <v>974</v>
      </c>
      <c r="C345" s="1" t="s">
        <v>975</v>
      </c>
      <c r="D345" s="1" t="s">
        <v>141</v>
      </c>
      <c r="E345" s="1" t="s">
        <v>68</v>
      </c>
      <c r="F345" s="1">
        <v>1</v>
      </c>
      <c r="G345" s="1" t="s">
        <v>143</v>
      </c>
    </row>
    <row r="346" spans="1:9" hidden="1" x14ac:dyDescent="0.3">
      <c r="A346" s="1">
        <v>1126</v>
      </c>
      <c r="B346" s="1" t="s">
        <v>976</v>
      </c>
      <c r="C346" s="1" t="s">
        <v>977</v>
      </c>
      <c r="D346" s="1" t="s">
        <v>623</v>
      </c>
      <c r="E346" s="1" t="s">
        <v>111</v>
      </c>
      <c r="F346" s="1">
        <v>1</v>
      </c>
      <c r="G346" s="1" t="s">
        <v>143</v>
      </c>
    </row>
    <row r="347" spans="1:9" hidden="1" x14ac:dyDescent="0.3">
      <c r="A347" s="1">
        <v>1127</v>
      </c>
      <c r="B347" s="1" t="s">
        <v>978</v>
      </c>
      <c r="C347" s="1" t="s">
        <v>979</v>
      </c>
      <c r="D347" s="1" t="s">
        <v>623</v>
      </c>
      <c r="E347" s="1" t="s">
        <v>111</v>
      </c>
      <c r="F347" s="1">
        <v>1</v>
      </c>
      <c r="G347" s="1" t="s">
        <v>143</v>
      </c>
    </row>
    <row r="348" spans="1:9" hidden="1" x14ac:dyDescent="0.3">
      <c r="A348" s="1">
        <v>1128</v>
      </c>
      <c r="B348" s="1" t="s">
        <v>980</v>
      </c>
      <c r="C348" s="1" t="s">
        <v>981</v>
      </c>
      <c r="D348" s="1" t="s">
        <v>623</v>
      </c>
      <c r="E348" s="1" t="s">
        <v>111</v>
      </c>
      <c r="F348" s="1">
        <v>1</v>
      </c>
      <c r="G348" s="1" t="s">
        <v>143</v>
      </c>
    </row>
    <row r="349" spans="1:9" hidden="1" x14ac:dyDescent="0.3">
      <c r="A349" s="1">
        <v>1129</v>
      </c>
      <c r="B349" s="1" t="s">
        <v>982</v>
      </c>
      <c r="C349" s="1" t="s">
        <v>983</v>
      </c>
      <c r="D349" s="1" t="s">
        <v>447</v>
      </c>
      <c r="E349" s="1" t="s">
        <v>111</v>
      </c>
      <c r="F349" s="1">
        <v>1</v>
      </c>
      <c r="G349" s="1" t="s">
        <v>143</v>
      </c>
      <c r="I349" s="1" t="s">
        <v>123</v>
      </c>
    </row>
    <row r="350" spans="1:9" hidden="1" x14ac:dyDescent="0.3">
      <c r="A350" s="1">
        <v>1130</v>
      </c>
      <c r="B350" s="1" t="s">
        <v>984</v>
      </c>
      <c r="C350" s="1" t="s">
        <v>985</v>
      </c>
      <c r="D350" s="1" t="s">
        <v>986</v>
      </c>
      <c r="E350" s="1" t="s">
        <v>142</v>
      </c>
      <c r="F350" s="1">
        <v>1</v>
      </c>
      <c r="G350" s="1" t="s">
        <v>143</v>
      </c>
    </row>
    <row r="351" spans="1:9" hidden="1" x14ac:dyDescent="0.3">
      <c r="A351" s="1">
        <v>1131</v>
      </c>
      <c r="B351" s="1" t="s">
        <v>987</v>
      </c>
      <c r="C351" s="1" t="s">
        <v>988</v>
      </c>
      <c r="D351" s="1" t="s">
        <v>989</v>
      </c>
      <c r="E351" s="1" t="s">
        <v>118</v>
      </c>
      <c r="F351" s="1">
        <v>1</v>
      </c>
      <c r="G351" s="1" t="s">
        <v>143</v>
      </c>
    </row>
    <row r="352" spans="1:9" hidden="1" x14ac:dyDescent="0.3">
      <c r="A352" s="1">
        <v>1135</v>
      </c>
      <c r="B352" s="1" t="s">
        <v>990</v>
      </c>
      <c r="C352" s="1" t="s">
        <v>991</v>
      </c>
      <c r="D352" s="1" t="s">
        <v>992</v>
      </c>
      <c r="E352" s="1" t="s">
        <v>505</v>
      </c>
      <c r="F352" s="1">
        <v>0</v>
      </c>
      <c r="G352" s="1" t="s">
        <v>82</v>
      </c>
      <c r="H352" s="1" t="s">
        <v>993</v>
      </c>
      <c r="I352" s="1" t="s">
        <v>123</v>
      </c>
    </row>
    <row r="353" spans="1:9" hidden="1" x14ac:dyDescent="0.3">
      <c r="A353" s="1">
        <v>1136</v>
      </c>
      <c r="B353" s="1" t="s">
        <v>994</v>
      </c>
      <c r="C353" s="1" t="s">
        <v>995</v>
      </c>
      <c r="D353" s="1" t="s">
        <v>345</v>
      </c>
      <c r="E353" s="1" t="s">
        <v>255</v>
      </c>
      <c r="F353" s="1">
        <v>1</v>
      </c>
      <c r="G353" s="1" t="s">
        <v>143</v>
      </c>
    </row>
    <row r="354" spans="1:9" hidden="1" x14ac:dyDescent="0.3">
      <c r="A354" s="1">
        <v>1137</v>
      </c>
      <c r="B354" s="1" t="s">
        <v>996</v>
      </c>
      <c r="C354" s="1" t="s">
        <v>997</v>
      </c>
      <c r="D354" s="1" t="s">
        <v>252</v>
      </c>
      <c r="E354" s="1" t="s">
        <v>259</v>
      </c>
      <c r="F354" s="1">
        <v>1</v>
      </c>
      <c r="G354" s="1" t="s">
        <v>143</v>
      </c>
    </row>
    <row r="355" spans="1:9" hidden="1" x14ac:dyDescent="0.3">
      <c r="A355" s="1">
        <v>1139</v>
      </c>
      <c r="B355" s="1" t="s">
        <v>998</v>
      </c>
      <c r="C355" s="1" t="s">
        <v>999</v>
      </c>
      <c r="D355" s="1" t="s">
        <v>278</v>
      </c>
      <c r="E355" s="1" t="s">
        <v>147</v>
      </c>
      <c r="F355" s="1">
        <v>1</v>
      </c>
      <c r="G355" s="1" t="s">
        <v>143</v>
      </c>
    </row>
    <row r="356" spans="1:9" hidden="1" x14ac:dyDescent="0.3">
      <c r="A356" s="1">
        <v>1141</v>
      </c>
      <c r="B356" s="1" t="s">
        <v>1000</v>
      </c>
      <c r="C356" s="1" t="s">
        <v>1001</v>
      </c>
      <c r="D356" s="1" t="s">
        <v>422</v>
      </c>
      <c r="E356" s="1" t="s">
        <v>147</v>
      </c>
      <c r="F356" s="1">
        <v>1</v>
      </c>
      <c r="G356" s="1" t="s">
        <v>143</v>
      </c>
    </row>
    <row r="357" spans="1:9" hidden="1" x14ac:dyDescent="0.3">
      <c r="A357" s="1">
        <v>1142</v>
      </c>
      <c r="B357" s="1" t="s">
        <v>1002</v>
      </c>
      <c r="C357" s="1" t="s">
        <v>1003</v>
      </c>
      <c r="D357" s="1" t="s">
        <v>252</v>
      </c>
      <c r="E357" s="1" t="s">
        <v>147</v>
      </c>
      <c r="F357" s="1">
        <v>1</v>
      </c>
      <c r="G357" s="1" t="s">
        <v>143</v>
      </c>
    </row>
    <row r="358" spans="1:9" hidden="1" x14ac:dyDescent="0.3">
      <c r="A358" s="1">
        <v>1144</v>
      </c>
      <c r="B358" s="1" t="s">
        <v>1004</v>
      </c>
      <c r="C358" s="1" t="s">
        <v>1005</v>
      </c>
      <c r="D358" s="1" t="s">
        <v>1006</v>
      </c>
      <c r="E358" s="1" t="s">
        <v>111</v>
      </c>
      <c r="F358" s="1">
        <v>0</v>
      </c>
      <c r="G358" s="1" t="s">
        <v>82</v>
      </c>
      <c r="I358" s="1" t="s">
        <v>123</v>
      </c>
    </row>
    <row r="359" spans="1:9" hidden="1" x14ac:dyDescent="0.3">
      <c r="A359" s="1">
        <v>1145</v>
      </c>
      <c r="B359" s="1" t="s">
        <v>1007</v>
      </c>
      <c r="C359" s="1" t="s">
        <v>1008</v>
      </c>
      <c r="D359" s="1" t="s">
        <v>65</v>
      </c>
      <c r="E359" s="1" t="s">
        <v>142</v>
      </c>
      <c r="F359" s="1">
        <v>1</v>
      </c>
      <c r="G359" s="1" t="s">
        <v>143</v>
      </c>
    </row>
    <row r="360" spans="1:9" hidden="1" x14ac:dyDescent="0.3">
      <c r="A360" s="1">
        <v>1146</v>
      </c>
      <c r="B360" s="1" t="s">
        <v>1009</v>
      </c>
      <c r="C360" s="1" t="s">
        <v>1010</v>
      </c>
      <c r="D360" s="1" t="s">
        <v>934</v>
      </c>
      <c r="E360" s="1" t="s">
        <v>411</v>
      </c>
      <c r="F360" s="1">
        <v>1</v>
      </c>
      <c r="G360" s="1" t="s">
        <v>143</v>
      </c>
    </row>
    <row r="361" spans="1:9" hidden="1" x14ac:dyDescent="0.3">
      <c r="A361" s="1">
        <v>1147</v>
      </c>
      <c r="B361" s="1" t="s">
        <v>1011</v>
      </c>
      <c r="C361" s="1" t="s">
        <v>1012</v>
      </c>
      <c r="D361" s="1" t="s">
        <v>1013</v>
      </c>
      <c r="E361" s="1" t="s">
        <v>460</v>
      </c>
      <c r="F361" s="1">
        <v>1</v>
      </c>
      <c r="G361" s="1" t="s">
        <v>143</v>
      </c>
    </row>
    <row r="362" spans="1:9" hidden="1" x14ac:dyDescent="0.3">
      <c r="A362" s="1">
        <v>1148</v>
      </c>
      <c r="B362" s="1" t="s">
        <v>1014</v>
      </c>
      <c r="C362" s="1" t="s">
        <v>1015</v>
      </c>
      <c r="D362" s="1" t="s">
        <v>690</v>
      </c>
      <c r="E362" s="1" t="s">
        <v>130</v>
      </c>
      <c r="F362" s="1">
        <v>0</v>
      </c>
      <c r="G362" s="1" t="s">
        <v>82</v>
      </c>
      <c r="I362" s="1" t="s">
        <v>123</v>
      </c>
    </row>
    <row r="363" spans="1:9" hidden="1" x14ac:dyDescent="0.3">
      <c r="A363" s="1">
        <v>1149</v>
      </c>
      <c r="B363" s="1" t="s">
        <v>1016</v>
      </c>
      <c r="C363" s="1" t="s">
        <v>1017</v>
      </c>
      <c r="D363" s="1" t="s">
        <v>1018</v>
      </c>
      <c r="E363" s="1" t="s">
        <v>1019</v>
      </c>
      <c r="F363" s="1">
        <v>0</v>
      </c>
      <c r="G363" s="1" t="s">
        <v>82</v>
      </c>
      <c r="I363" s="1" t="s">
        <v>84</v>
      </c>
    </row>
    <row r="364" spans="1:9" hidden="1" x14ac:dyDescent="0.3">
      <c r="A364" s="1">
        <v>1150</v>
      </c>
      <c r="B364" s="1" t="s">
        <v>1020</v>
      </c>
      <c r="C364" s="1" t="s">
        <v>1021</v>
      </c>
      <c r="D364" s="1" t="s">
        <v>422</v>
      </c>
      <c r="E364" s="1" t="s">
        <v>340</v>
      </c>
      <c r="F364" s="1">
        <v>1</v>
      </c>
      <c r="G364" s="1" t="s">
        <v>143</v>
      </c>
    </row>
    <row r="365" spans="1:9" hidden="1" x14ac:dyDescent="0.3">
      <c r="A365" s="1">
        <v>1151</v>
      </c>
      <c r="B365" s="1" t="s">
        <v>1022</v>
      </c>
      <c r="C365" s="1" t="s">
        <v>1023</v>
      </c>
      <c r="D365" s="1" t="s">
        <v>252</v>
      </c>
      <c r="E365" s="1" t="s">
        <v>340</v>
      </c>
      <c r="F365" s="1">
        <v>1</v>
      </c>
      <c r="G365" s="1" t="s">
        <v>143</v>
      </c>
    </row>
    <row r="366" spans="1:9" hidden="1" x14ac:dyDescent="0.3">
      <c r="A366" s="1">
        <v>1152</v>
      </c>
      <c r="B366" s="1" t="s">
        <v>1024</v>
      </c>
      <c r="C366" s="1" t="s">
        <v>1025</v>
      </c>
      <c r="D366" s="1" t="s">
        <v>422</v>
      </c>
      <c r="E366" s="1" t="s">
        <v>340</v>
      </c>
      <c r="F366" s="1">
        <v>1</v>
      </c>
      <c r="G366" s="1" t="s">
        <v>143</v>
      </c>
    </row>
    <row r="367" spans="1:9" hidden="1" x14ac:dyDescent="0.3">
      <c r="A367" s="1">
        <v>1153</v>
      </c>
      <c r="B367" s="1" t="s">
        <v>1026</v>
      </c>
      <c r="C367" s="1" t="s">
        <v>1027</v>
      </c>
      <c r="D367" s="1" t="s">
        <v>252</v>
      </c>
      <c r="E367" s="1" t="s">
        <v>147</v>
      </c>
      <c r="F367" s="1">
        <v>0</v>
      </c>
      <c r="G367" s="1" t="s">
        <v>82</v>
      </c>
      <c r="I367" s="1" t="s">
        <v>188</v>
      </c>
    </row>
    <row r="368" spans="1:9" hidden="1" x14ac:dyDescent="0.3">
      <c r="A368" s="1">
        <v>1154</v>
      </c>
      <c r="B368" s="1" t="s">
        <v>1028</v>
      </c>
      <c r="C368" s="1" t="s">
        <v>1029</v>
      </c>
      <c r="D368" s="1" t="s">
        <v>1030</v>
      </c>
      <c r="E368" s="1" t="s">
        <v>134</v>
      </c>
      <c r="F368" s="1">
        <v>1</v>
      </c>
      <c r="G368" s="1" t="s">
        <v>143</v>
      </c>
    </row>
    <row r="369" spans="1:9" hidden="1" x14ac:dyDescent="0.3">
      <c r="A369" s="1">
        <v>1155</v>
      </c>
      <c r="B369" s="1" t="s">
        <v>1031</v>
      </c>
      <c r="C369" s="1" t="s">
        <v>1032</v>
      </c>
      <c r="D369" s="1" t="s">
        <v>1033</v>
      </c>
      <c r="E369" s="1" t="s">
        <v>111</v>
      </c>
      <c r="F369" s="1">
        <v>0</v>
      </c>
      <c r="G369" s="1" t="s">
        <v>82</v>
      </c>
      <c r="I369" s="1" t="s">
        <v>123</v>
      </c>
    </row>
    <row r="370" spans="1:9" hidden="1" x14ac:dyDescent="0.3">
      <c r="A370" s="1">
        <v>1156</v>
      </c>
      <c r="B370" s="1" t="s">
        <v>1034</v>
      </c>
      <c r="C370" s="1" t="s">
        <v>1035</v>
      </c>
      <c r="D370" s="1" t="s">
        <v>141</v>
      </c>
      <c r="E370" s="1" t="s">
        <v>91</v>
      </c>
      <c r="F370" s="1">
        <v>1</v>
      </c>
      <c r="G370" s="1" t="s">
        <v>143</v>
      </c>
    </row>
    <row r="371" spans="1:9" hidden="1" x14ac:dyDescent="0.3">
      <c r="A371" s="1">
        <v>1158</v>
      </c>
      <c r="B371" s="1" t="s">
        <v>1036</v>
      </c>
      <c r="C371" s="1" t="s">
        <v>1037</v>
      </c>
      <c r="D371" s="1" t="s">
        <v>141</v>
      </c>
      <c r="E371" s="1" t="s">
        <v>147</v>
      </c>
      <c r="F371" s="1">
        <v>1</v>
      </c>
      <c r="G371" s="1" t="s">
        <v>143</v>
      </c>
    </row>
    <row r="372" spans="1:9" hidden="1" x14ac:dyDescent="0.3">
      <c r="A372" s="1">
        <v>1160</v>
      </c>
      <c r="B372" s="1" t="s">
        <v>1038</v>
      </c>
      <c r="C372" s="1" t="s">
        <v>1039</v>
      </c>
      <c r="D372" s="1" t="s">
        <v>1040</v>
      </c>
      <c r="E372" s="1" t="s">
        <v>118</v>
      </c>
      <c r="F372" s="1">
        <v>0</v>
      </c>
      <c r="G372" s="1" t="s">
        <v>82</v>
      </c>
      <c r="I372" s="1" t="s">
        <v>123</v>
      </c>
    </row>
    <row r="373" spans="1:9" hidden="1" x14ac:dyDescent="0.3">
      <c r="A373" s="1">
        <v>1161</v>
      </c>
      <c r="B373" s="1" t="s">
        <v>1041</v>
      </c>
      <c r="C373" s="1" t="s">
        <v>1042</v>
      </c>
      <c r="D373" s="1" t="s">
        <v>187</v>
      </c>
      <c r="E373" s="1" t="s">
        <v>65</v>
      </c>
      <c r="F373" s="1">
        <v>1</v>
      </c>
      <c r="G373" s="1" t="s">
        <v>143</v>
      </c>
    </row>
    <row r="374" spans="1:9" hidden="1" x14ac:dyDescent="0.3">
      <c r="A374" s="1">
        <v>1162</v>
      </c>
      <c r="B374" s="1" t="s">
        <v>1043</v>
      </c>
      <c r="C374" s="1" t="s">
        <v>1044</v>
      </c>
      <c r="D374" s="1" t="s">
        <v>675</v>
      </c>
      <c r="E374" s="1" t="s">
        <v>142</v>
      </c>
      <c r="F374" s="1">
        <v>1</v>
      </c>
      <c r="G374" s="1" t="s">
        <v>143</v>
      </c>
    </row>
    <row r="375" spans="1:9" hidden="1" x14ac:dyDescent="0.3">
      <c r="A375" s="1">
        <v>1163</v>
      </c>
      <c r="B375" s="1" t="s">
        <v>1045</v>
      </c>
      <c r="C375" s="1" t="s">
        <v>1046</v>
      </c>
      <c r="D375" s="1" t="s">
        <v>1047</v>
      </c>
      <c r="E375" s="1" t="s">
        <v>142</v>
      </c>
      <c r="F375" s="1">
        <v>1</v>
      </c>
      <c r="G375" s="1" t="s">
        <v>143</v>
      </c>
    </row>
    <row r="376" spans="1:9" hidden="1" x14ac:dyDescent="0.3">
      <c r="A376" s="1">
        <v>1164</v>
      </c>
      <c r="B376" s="1" t="s">
        <v>1048</v>
      </c>
      <c r="C376" s="1" t="s">
        <v>1049</v>
      </c>
      <c r="D376" s="1" t="s">
        <v>422</v>
      </c>
      <c r="E376" s="1" t="s">
        <v>147</v>
      </c>
      <c r="F376" s="1">
        <v>1</v>
      </c>
      <c r="G376" s="1" t="s">
        <v>143</v>
      </c>
    </row>
    <row r="377" spans="1:9" hidden="1" x14ac:dyDescent="0.3">
      <c r="A377" s="1">
        <v>1165</v>
      </c>
      <c r="B377" s="1" t="s">
        <v>1050</v>
      </c>
      <c r="C377" s="1" t="s">
        <v>1051</v>
      </c>
      <c r="D377" s="1" t="s">
        <v>422</v>
      </c>
      <c r="E377" s="1" t="s">
        <v>147</v>
      </c>
      <c r="F377" s="1">
        <v>1</v>
      </c>
      <c r="G377" s="1" t="s">
        <v>143</v>
      </c>
    </row>
    <row r="378" spans="1:9" hidden="1" x14ac:dyDescent="0.3">
      <c r="A378" s="1">
        <v>1166</v>
      </c>
      <c r="B378" s="1" t="s">
        <v>1052</v>
      </c>
      <c r="C378" s="1" t="s">
        <v>1053</v>
      </c>
      <c r="D378" s="1" t="s">
        <v>422</v>
      </c>
      <c r="E378" s="1" t="s">
        <v>147</v>
      </c>
      <c r="F378" s="1">
        <v>1</v>
      </c>
      <c r="G378" s="1" t="s">
        <v>143</v>
      </c>
    </row>
    <row r="379" spans="1:9" hidden="1" x14ac:dyDescent="0.3">
      <c r="A379" s="1">
        <v>1167</v>
      </c>
      <c r="B379" s="1" t="s">
        <v>1054</v>
      </c>
      <c r="C379" s="1" t="s">
        <v>1055</v>
      </c>
      <c r="D379" s="1" t="s">
        <v>360</v>
      </c>
      <c r="E379" s="1" t="s">
        <v>147</v>
      </c>
      <c r="F379" s="1">
        <v>1</v>
      </c>
      <c r="G379" s="1" t="s">
        <v>143</v>
      </c>
    </row>
    <row r="380" spans="1:9" hidden="1" x14ac:dyDescent="0.3">
      <c r="A380" s="1">
        <v>1168</v>
      </c>
      <c r="B380" s="1" t="s">
        <v>1056</v>
      </c>
      <c r="C380" s="1" t="s">
        <v>1057</v>
      </c>
      <c r="D380" s="1" t="s">
        <v>422</v>
      </c>
      <c r="E380" s="1" t="s">
        <v>147</v>
      </c>
      <c r="F380" s="1">
        <v>1</v>
      </c>
      <c r="G380" s="1" t="s">
        <v>143</v>
      </c>
    </row>
    <row r="381" spans="1:9" hidden="1" x14ac:dyDescent="0.3">
      <c r="A381" s="1">
        <v>1169</v>
      </c>
      <c r="B381" s="1" t="s">
        <v>1058</v>
      </c>
      <c r="C381" s="1" t="s">
        <v>1059</v>
      </c>
      <c r="D381" s="1" t="s">
        <v>278</v>
      </c>
      <c r="E381" s="1" t="s">
        <v>340</v>
      </c>
      <c r="F381" s="1">
        <v>1</v>
      </c>
      <c r="G381" s="1" t="s">
        <v>143</v>
      </c>
    </row>
    <row r="382" spans="1:9" hidden="1" x14ac:dyDescent="0.3">
      <c r="A382" s="1">
        <v>1170</v>
      </c>
      <c r="B382" s="1" t="s">
        <v>1060</v>
      </c>
      <c r="C382" s="1" t="s">
        <v>1061</v>
      </c>
      <c r="D382" s="1" t="s">
        <v>422</v>
      </c>
      <c r="E382" s="1" t="s">
        <v>147</v>
      </c>
      <c r="F382" s="1">
        <v>1</v>
      </c>
      <c r="G382" s="1" t="s">
        <v>143</v>
      </c>
    </row>
    <row r="383" spans="1:9" hidden="1" x14ac:dyDescent="0.3">
      <c r="A383" s="1">
        <v>1171</v>
      </c>
      <c r="B383" s="1" t="s">
        <v>1062</v>
      </c>
      <c r="C383" s="1" t="s">
        <v>1063</v>
      </c>
      <c r="D383" s="1" t="s">
        <v>141</v>
      </c>
      <c r="E383" s="1" t="s">
        <v>331</v>
      </c>
      <c r="F383" s="1">
        <v>1</v>
      </c>
      <c r="G383" s="1" t="s">
        <v>143</v>
      </c>
    </row>
    <row r="384" spans="1:9" hidden="1" x14ac:dyDescent="0.3">
      <c r="A384" s="1">
        <v>1172</v>
      </c>
      <c r="B384" s="1" t="s">
        <v>1064</v>
      </c>
      <c r="C384" s="1" t="s">
        <v>1065</v>
      </c>
      <c r="D384" s="1" t="s">
        <v>252</v>
      </c>
      <c r="E384" s="1" t="s">
        <v>147</v>
      </c>
      <c r="F384" s="1">
        <v>0</v>
      </c>
      <c r="G384" s="1" t="s">
        <v>82</v>
      </c>
      <c r="I384" s="1" t="s">
        <v>188</v>
      </c>
    </row>
    <row r="385" spans="1:9" hidden="1" x14ac:dyDescent="0.3">
      <c r="A385" s="1">
        <v>1173</v>
      </c>
      <c r="B385" s="1" t="s">
        <v>1066</v>
      </c>
      <c r="C385" s="1" t="s">
        <v>1067</v>
      </c>
      <c r="D385" s="1" t="s">
        <v>252</v>
      </c>
      <c r="E385" s="1" t="s">
        <v>147</v>
      </c>
      <c r="F385" s="1">
        <v>1</v>
      </c>
      <c r="G385" s="1" t="s">
        <v>143</v>
      </c>
    </row>
    <row r="386" spans="1:9" hidden="1" x14ac:dyDescent="0.3">
      <c r="A386" s="1">
        <v>1174</v>
      </c>
      <c r="B386" s="1" t="s">
        <v>1068</v>
      </c>
      <c r="C386" s="1" t="s">
        <v>1069</v>
      </c>
      <c r="D386" s="1" t="s">
        <v>278</v>
      </c>
      <c r="E386" s="1" t="s">
        <v>147</v>
      </c>
      <c r="F386" s="1">
        <v>1</v>
      </c>
      <c r="G386" s="1" t="s">
        <v>143</v>
      </c>
    </row>
    <row r="387" spans="1:9" hidden="1" x14ac:dyDescent="0.3">
      <c r="A387" s="1">
        <v>1175</v>
      </c>
      <c r="B387" s="1" t="s">
        <v>1070</v>
      </c>
      <c r="C387" s="1" t="s">
        <v>1071</v>
      </c>
      <c r="D387" s="1" t="s">
        <v>270</v>
      </c>
      <c r="E387" s="1" t="s">
        <v>340</v>
      </c>
      <c r="F387" s="1">
        <v>1</v>
      </c>
      <c r="G387" s="1" t="s">
        <v>143</v>
      </c>
    </row>
    <row r="388" spans="1:9" hidden="1" x14ac:dyDescent="0.3">
      <c r="A388" s="1">
        <v>1176</v>
      </c>
      <c r="B388" s="1" t="s">
        <v>1072</v>
      </c>
      <c r="C388" s="1" t="s">
        <v>1073</v>
      </c>
      <c r="D388" s="1" t="s">
        <v>422</v>
      </c>
      <c r="E388" s="1" t="s">
        <v>259</v>
      </c>
      <c r="F388" s="1">
        <v>1</v>
      </c>
      <c r="G388" s="1" t="s">
        <v>143</v>
      </c>
    </row>
    <row r="389" spans="1:9" hidden="1" x14ac:dyDescent="0.3">
      <c r="A389" s="1">
        <v>1177</v>
      </c>
      <c r="B389" s="1" t="s">
        <v>1074</v>
      </c>
      <c r="C389" s="1" t="s">
        <v>1075</v>
      </c>
      <c r="D389" s="1" t="s">
        <v>252</v>
      </c>
      <c r="E389" s="1" t="s">
        <v>147</v>
      </c>
      <c r="F389" s="1">
        <v>0</v>
      </c>
      <c r="G389" s="1" t="s">
        <v>82</v>
      </c>
      <c r="I389" s="1" t="s">
        <v>188</v>
      </c>
    </row>
    <row r="390" spans="1:9" hidden="1" x14ac:dyDescent="0.3">
      <c r="A390" s="1">
        <v>1178</v>
      </c>
      <c r="B390" s="1" t="s">
        <v>1076</v>
      </c>
      <c r="C390" s="1" t="s">
        <v>1077</v>
      </c>
      <c r="D390" s="1" t="s">
        <v>252</v>
      </c>
      <c r="E390" s="1" t="s">
        <v>259</v>
      </c>
      <c r="F390" s="1">
        <v>1</v>
      </c>
      <c r="G390" s="1" t="s">
        <v>143</v>
      </c>
      <c r="I390" s="1" t="s">
        <v>188</v>
      </c>
    </row>
    <row r="391" spans="1:9" hidden="1" x14ac:dyDescent="0.3">
      <c r="A391" s="1">
        <v>1179</v>
      </c>
      <c r="B391" s="1" t="s">
        <v>1078</v>
      </c>
      <c r="C391" s="1" t="s">
        <v>1079</v>
      </c>
      <c r="D391" s="1" t="s">
        <v>252</v>
      </c>
      <c r="E391" s="1" t="s">
        <v>147</v>
      </c>
      <c r="F391" s="1">
        <v>1</v>
      </c>
      <c r="G391" s="1" t="s">
        <v>143</v>
      </c>
    </row>
    <row r="392" spans="1:9" hidden="1" x14ac:dyDescent="0.3">
      <c r="A392" s="1">
        <v>1180</v>
      </c>
      <c r="B392" s="1" t="s">
        <v>1080</v>
      </c>
      <c r="C392" s="1" t="s">
        <v>1081</v>
      </c>
      <c r="D392" s="1" t="s">
        <v>252</v>
      </c>
      <c r="E392" s="1" t="s">
        <v>255</v>
      </c>
      <c r="F392" s="1">
        <v>1</v>
      </c>
      <c r="G392" s="1" t="s">
        <v>143</v>
      </c>
    </row>
    <row r="393" spans="1:9" hidden="1" x14ac:dyDescent="0.3">
      <c r="A393" s="1">
        <v>1181</v>
      </c>
      <c r="B393" s="1" t="s">
        <v>1082</v>
      </c>
      <c r="C393" s="1" t="s">
        <v>1083</v>
      </c>
      <c r="D393" s="1" t="s">
        <v>141</v>
      </c>
      <c r="E393" s="1" t="s">
        <v>340</v>
      </c>
      <c r="F393" s="1">
        <v>1</v>
      </c>
      <c r="G393" s="1" t="s">
        <v>143</v>
      </c>
    </row>
    <row r="394" spans="1:9" hidden="1" x14ac:dyDescent="0.3">
      <c r="A394" s="1">
        <v>1182</v>
      </c>
      <c r="B394" s="1" t="s">
        <v>1084</v>
      </c>
      <c r="C394" s="1" t="s">
        <v>1085</v>
      </c>
      <c r="D394" s="1" t="s">
        <v>278</v>
      </c>
      <c r="E394" s="1" t="s">
        <v>147</v>
      </c>
      <c r="F394" s="1">
        <v>1</v>
      </c>
      <c r="G394" s="1" t="s">
        <v>143</v>
      </c>
    </row>
    <row r="395" spans="1:9" hidden="1" x14ac:dyDescent="0.3">
      <c r="A395" s="1">
        <v>1183</v>
      </c>
      <c r="B395" s="1" t="s">
        <v>1086</v>
      </c>
      <c r="C395" s="1" t="s">
        <v>1087</v>
      </c>
      <c r="D395" s="1" t="s">
        <v>1088</v>
      </c>
      <c r="E395" s="1" t="s">
        <v>215</v>
      </c>
      <c r="F395" s="1">
        <v>1</v>
      </c>
      <c r="G395" s="1" t="s">
        <v>143</v>
      </c>
    </row>
    <row r="396" spans="1:9" hidden="1" x14ac:dyDescent="0.3">
      <c r="A396" s="1">
        <v>1184</v>
      </c>
      <c r="B396" s="1" t="s">
        <v>1089</v>
      </c>
      <c r="C396" s="1" t="s">
        <v>1090</v>
      </c>
      <c r="D396" s="1" t="s">
        <v>1091</v>
      </c>
      <c r="E396" s="1" t="s">
        <v>142</v>
      </c>
      <c r="F396" s="1">
        <v>0</v>
      </c>
      <c r="G396" s="1" t="s">
        <v>82</v>
      </c>
      <c r="I396" s="1" t="s">
        <v>123</v>
      </c>
    </row>
    <row r="397" spans="1:9" hidden="1" x14ac:dyDescent="0.3">
      <c r="A397" s="1">
        <v>1185</v>
      </c>
      <c r="B397" s="1" t="s">
        <v>1092</v>
      </c>
      <c r="C397" s="1" t="s">
        <v>1093</v>
      </c>
      <c r="D397" s="1" t="s">
        <v>141</v>
      </c>
      <c r="E397" s="1" t="s">
        <v>68</v>
      </c>
      <c r="F397" s="1">
        <v>1</v>
      </c>
      <c r="G397" s="1" t="s">
        <v>143</v>
      </c>
    </row>
    <row r="398" spans="1:9" hidden="1" x14ac:dyDescent="0.3">
      <c r="A398" s="1">
        <v>1186</v>
      </c>
      <c r="B398" s="1" t="s">
        <v>1094</v>
      </c>
      <c r="C398" s="1" t="s">
        <v>1095</v>
      </c>
      <c r="D398" s="1" t="s">
        <v>1096</v>
      </c>
      <c r="E398" s="1" t="s">
        <v>65</v>
      </c>
      <c r="F398" s="1">
        <v>1</v>
      </c>
      <c r="G398" s="1" t="s">
        <v>143</v>
      </c>
    </row>
    <row r="399" spans="1:9" hidden="1" x14ac:dyDescent="0.3">
      <c r="A399" s="1">
        <v>1187</v>
      </c>
      <c r="B399" s="1" t="s">
        <v>1097</v>
      </c>
      <c r="C399" s="1" t="s">
        <v>1098</v>
      </c>
      <c r="D399" s="1" t="s">
        <v>675</v>
      </c>
      <c r="E399" s="1" t="s">
        <v>142</v>
      </c>
      <c r="F399" s="1">
        <v>1</v>
      </c>
      <c r="G399" s="1" t="s">
        <v>143</v>
      </c>
    </row>
    <row r="400" spans="1:9" hidden="1" x14ac:dyDescent="0.3">
      <c r="A400" s="1">
        <v>1188</v>
      </c>
      <c r="B400" s="1" t="s">
        <v>1099</v>
      </c>
      <c r="C400" s="1" t="s">
        <v>1100</v>
      </c>
      <c r="D400" s="1" t="s">
        <v>494</v>
      </c>
      <c r="E400" s="1" t="s">
        <v>134</v>
      </c>
      <c r="F400" s="1">
        <v>1</v>
      </c>
      <c r="G400" s="1" t="s">
        <v>143</v>
      </c>
    </row>
    <row r="401" spans="1:9" hidden="1" x14ac:dyDescent="0.3">
      <c r="A401" s="1">
        <v>1190</v>
      </c>
      <c r="B401" s="1" t="s">
        <v>1101</v>
      </c>
      <c r="C401" s="1" t="s">
        <v>1102</v>
      </c>
      <c r="D401" s="1" t="s">
        <v>422</v>
      </c>
      <c r="E401" s="1" t="s">
        <v>147</v>
      </c>
      <c r="F401" s="1">
        <v>1</v>
      </c>
      <c r="G401" s="1" t="s">
        <v>143</v>
      </c>
    </row>
    <row r="402" spans="1:9" hidden="1" x14ac:dyDescent="0.3">
      <c r="A402" s="1">
        <v>1191</v>
      </c>
      <c r="B402" s="1" t="s">
        <v>1103</v>
      </c>
      <c r="C402" s="1" t="s">
        <v>1104</v>
      </c>
      <c r="D402" s="1" t="s">
        <v>422</v>
      </c>
      <c r="E402" s="1" t="s">
        <v>147</v>
      </c>
      <c r="F402" s="1">
        <v>1</v>
      </c>
      <c r="G402" s="1" t="s">
        <v>143</v>
      </c>
    </row>
    <row r="403" spans="1:9" hidden="1" x14ac:dyDescent="0.3">
      <c r="A403" s="1">
        <v>1192</v>
      </c>
      <c r="B403" s="1" t="s">
        <v>1105</v>
      </c>
      <c r="C403" s="1" t="s">
        <v>1106</v>
      </c>
      <c r="D403" s="1" t="s">
        <v>278</v>
      </c>
      <c r="E403" s="1" t="s">
        <v>147</v>
      </c>
      <c r="F403" s="1">
        <v>1</v>
      </c>
      <c r="G403" s="1" t="s">
        <v>143</v>
      </c>
    </row>
    <row r="404" spans="1:9" hidden="1" x14ac:dyDescent="0.3">
      <c r="A404" s="1">
        <v>1193</v>
      </c>
      <c r="B404" s="1" t="s">
        <v>1107</v>
      </c>
      <c r="C404" s="1" t="s">
        <v>1108</v>
      </c>
      <c r="D404" s="1" t="s">
        <v>422</v>
      </c>
      <c r="E404" s="1" t="s">
        <v>147</v>
      </c>
      <c r="F404" s="1">
        <v>1</v>
      </c>
      <c r="G404" s="1" t="s">
        <v>143</v>
      </c>
    </row>
    <row r="405" spans="1:9" hidden="1" x14ac:dyDescent="0.3">
      <c r="A405" s="1">
        <v>1194</v>
      </c>
      <c r="B405" s="1" t="s">
        <v>1109</v>
      </c>
      <c r="C405" s="1" t="s">
        <v>1110</v>
      </c>
      <c r="D405" s="1" t="s">
        <v>422</v>
      </c>
      <c r="E405" s="1" t="s">
        <v>255</v>
      </c>
      <c r="F405" s="1">
        <v>1</v>
      </c>
      <c r="G405" s="1" t="s">
        <v>143</v>
      </c>
    </row>
    <row r="406" spans="1:9" hidden="1" x14ac:dyDescent="0.3">
      <c r="A406" s="1">
        <v>1195</v>
      </c>
      <c r="B406" s="1" t="s">
        <v>1111</v>
      </c>
      <c r="C406" s="1" t="s">
        <v>1112</v>
      </c>
      <c r="D406" s="1" t="s">
        <v>1113</v>
      </c>
      <c r="E406" s="1" t="s">
        <v>1114</v>
      </c>
      <c r="F406" s="1">
        <v>1</v>
      </c>
      <c r="G406" s="1" t="s">
        <v>143</v>
      </c>
    </row>
    <row r="407" spans="1:9" hidden="1" x14ac:dyDescent="0.3">
      <c r="A407" s="1">
        <v>1196</v>
      </c>
      <c r="B407" s="1" t="s">
        <v>1115</v>
      </c>
      <c r="C407" s="1" t="s">
        <v>1116</v>
      </c>
      <c r="D407" s="1" t="s">
        <v>345</v>
      </c>
      <c r="E407" s="1" t="s">
        <v>331</v>
      </c>
      <c r="F407" s="1">
        <v>1</v>
      </c>
      <c r="G407" s="1" t="s">
        <v>143</v>
      </c>
    </row>
    <row r="408" spans="1:9" hidden="1" x14ac:dyDescent="0.3">
      <c r="A408" s="1">
        <v>1197</v>
      </c>
      <c r="B408" s="1" t="s">
        <v>1117</v>
      </c>
      <c r="C408" s="1" t="s">
        <v>1118</v>
      </c>
      <c r="D408" s="1" t="s">
        <v>278</v>
      </c>
      <c r="E408" s="1" t="s">
        <v>331</v>
      </c>
      <c r="F408" s="1">
        <v>1</v>
      </c>
      <c r="G408" s="1" t="s">
        <v>143</v>
      </c>
    </row>
    <row r="409" spans="1:9" hidden="1" x14ac:dyDescent="0.3">
      <c r="A409" s="1">
        <v>1198</v>
      </c>
      <c r="B409" s="1" t="s">
        <v>1119</v>
      </c>
      <c r="C409" s="1" t="s">
        <v>1120</v>
      </c>
      <c r="D409" s="1" t="s">
        <v>345</v>
      </c>
      <c r="E409" s="1" t="s">
        <v>331</v>
      </c>
      <c r="F409" s="1">
        <v>1</v>
      </c>
      <c r="G409" s="1" t="s">
        <v>143</v>
      </c>
    </row>
    <row r="410" spans="1:9" hidden="1" x14ac:dyDescent="0.3">
      <c r="A410" s="1">
        <v>1199</v>
      </c>
      <c r="B410" s="1" t="s">
        <v>1121</v>
      </c>
      <c r="C410" s="1" t="s">
        <v>1122</v>
      </c>
      <c r="D410" s="1" t="s">
        <v>422</v>
      </c>
      <c r="E410" s="1" t="s">
        <v>340</v>
      </c>
      <c r="F410" s="1">
        <v>1</v>
      </c>
      <c r="G410" s="1" t="s">
        <v>143</v>
      </c>
    </row>
    <row r="411" spans="1:9" hidden="1" x14ac:dyDescent="0.3">
      <c r="A411" s="1">
        <v>1200</v>
      </c>
      <c r="B411" s="1" t="s">
        <v>1123</v>
      </c>
      <c r="C411" s="1" t="s">
        <v>1124</v>
      </c>
      <c r="D411" s="1" t="s">
        <v>422</v>
      </c>
      <c r="E411" s="1" t="s">
        <v>340</v>
      </c>
      <c r="F411" s="1">
        <v>1</v>
      </c>
      <c r="G411" s="1" t="s">
        <v>143</v>
      </c>
    </row>
    <row r="412" spans="1:9" hidden="1" x14ac:dyDescent="0.3">
      <c r="A412" s="1">
        <v>1201</v>
      </c>
      <c r="B412" s="1" t="s">
        <v>1125</v>
      </c>
      <c r="C412" s="1" t="s">
        <v>1126</v>
      </c>
      <c r="D412" s="1" t="s">
        <v>278</v>
      </c>
      <c r="E412" s="1" t="s">
        <v>340</v>
      </c>
      <c r="F412" s="1">
        <v>0</v>
      </c>
      <c r="G412" s="1" t="s">
        <v>82</v>
      </c>
      <c r="I412" s="1" t="s">
        <v>188</v>
      </c>
    </row>
    <row r="413" spans="1:9" hidden="1" x14ac:dyDescent="0.3">
      <c r="A413" s="1">
        <v>1202</v>
      </c>
      <c r="B413" s="1" t="s">
        <v>1127</v>
      </c>
      <c r="C413" s="1" t="s">
        <v>1128</v>
      </c>
      <c r="D413" s="1" t="s">
        <v>422</v>
      </c>
      <c r="E413" s="1" t="s">
        <v>340</v>
      </c>
      <c r="F413" s="1">
        <v>1</v>
      </c>
      <c r="G413" s="1" t="s">
        <v>143</v>
      </c>
    </row>
    <row r="414" spans="1:9" hidden="1" x14ac:dyDescent="0.3">
      <c r="A414" s="1">
        <v>1203</v>
      </c>
      <c r="B414" s="1" t="s">
        <v>1129</v>
      </c>
      <c r="C414" s="1" t="s">
        <v>1130</v>
      </c>
      <c r="D414" s="1" t="s">
        <v>422</v>
      </c>
      <c r="E414" s="1" t="s">
        <v>340</v>
      </c>
      <c r="F414" s="1">
        <v>1</v>
      </c>
      <c r="G414" s="1" t="s">
        <v>143</v>
      </c>
    </row>
    <row r="415" spans="1:9" hidden="1" x14ac:dyDescent="0.3">
      <c r="A415" s="1">
        <v>1204</v>
      </c>
      <c r="B415" s="1" t="s">
        <v>1131</v>
      </c>
      <c r="C415" s="1" t="s">
        <v>1132</v>
      </c>
      <c r="D415" s="1" t="s">
        <v>422</v>
      </c>
      <c r="E415" s="1" t="s">
        <v>340</v>
      </c>
      <c r="F415" s="1">
        <v>1</v>
      </c>
      <c r="G415" s="1" t="s">
        <v>143</v>
      </c>
    </row>
    <row r="416" spans="1:9" hidden="1" x14ac:dyDescent="0.3">
      <c r="A416" s="1">
        <v>1205</v>
      </c>
      <c r="B416" s="1" t="s">
        <v>1133</v>
      </c>
      <c r="C416" s="1" t="s">
        <v>1134</v>
      </c>
      <c r="D416" s="1" t="s">
        <v>501</v>
      </c>
      <c r="E416" s="1" t="s">
        <v>419</v>
      </c>
      <c r="F416" s="1">
        <v>1</v>
      </c>
      <c r="G416" s="1" t="s">
        <v>143</v>
      </c>
      <c r="I416" s="1" t="s">
        <v>123</v>
      </c>
    </row>
    <row r="417" spans="1:9" hidden="1" x14ac:dyDescent="0.3">
      <c r="A417" s="1">
        <v>1206</v>
      </c>
      <c r="B417" s="1" t="s">
        <v>1135</v>
      </c>
      <c r="C417" s="1" t="s">
        <v>1136</v>
      </c>
      <c r="D417" s="1" t="s">
        <v>675</v>
      </c>
      <c r="E417" s="1" t="s">
        <v>142</v>
      </c>
      <c r="F417" s="1">
        <v>1</v>
      </c>
      <c r="G417" s="1" t="s">
        <v>143</v>
      </c>
    </row>
    <row r="418" spans="1:9" hidden="1" x14ac:dyDescent="0.3">
      <c r="A418" s="1">
        <v>1207</v>
      </c>
      <c r="B418" s="1" t="s">
        <v>1137</v>
      </c>
      <c r="C418" s="1" t="s">
        <v>1138</v>
      </c>
      <c r="D418" s="1" t="s">
        <v>675</v>
      </c>
      <c r="E418" s="1" t="s">
        <v>142</v>
      </c>
      <c r="F418" s="1">
        <v>1</v>
      </c>
      <c r="G418" s="1" t="s">
        <v>143</v>
      </c>
    </row>
    <row r="419" spans="1:9" hidden="1" x14ac:dyDescent="0.3">
      <c r="A419" s="1">
        <v>1208</v>
      </c>
      <c r="B419" s="1" t="s">
        <v>1139</v>
      </c>
      <c r="C419" s="1" t="s">
        <v>1140</v>
      </c>
      <c r="D419" s="1" t="s">
        <v>641</v>
      </c>
      <c r="E419" s="1" t="s">
        <v>111</v>
      </c>
      <c r="F419" s="1">
        <v>1</v>
      </c>
      <c r="G419" s="1" t="s">
        <v>143</v>
      </c>
    </row>
    <row r="420" spans="1:9" hidden="1" x14ac:dyDescent="0.3">
      <c r="A420" s="1">
        <v>1209</v>
      </c>
      <c r="B420" s="1" t="s">
        <v>1141</v>
      </c>
      <c r="C420" s="1" t="s">
        <v>1142</v>
      </c>
      <c r="D420" s="1" t="s">
        <v>1143</v>
      </c>
      <c r="E420" s="1" t="s">
        <v>111</v>
      </c>
      <c r="F420" s="1">
        <v>0</v>
      </c>
      <c r="G420" s="1" t="s">
        <v>82</v>
      </c>
      <c r="I420" s="1" t="s">
        <v>123</v>
      </c>
    </row>
    <row r="421" spans="1:9" hidden="1" x14ac:dyDescent="0.3">
      <c r="A421" s="1">
        <v>1210</v>
      </c>
      <c r="B421" s="1" t="s">
        <v>1144</v>
      </c>
      <c r="C421" s="1" t="s">
        <v>1145</v>
      </c>
      <c r="D421" s="1" t="s">
        <v>1146</v>
      </c>
      <c r="E421" s="1" t="s">
        <v>111</v>
      </c>
      <c r="F421" s="1">
        <v>1</v>
      </c>
      <c r="G421" s="1" t="s">
        <v>143</v>
      </c>
    </row>
    <row r="422" spans="1:9" hidden="1" x14ac:dyDescent="0.3">
      <c r="A422" s="1">
        <v>1211</v>
      </c>
      <c r="B422" s="1" t="s">
        <v>1147</v>
      </c>
      <c r="C422" s="1" t="s">
        <v>1148</v>
      </c>
      <c r="D422" s="1" t="s">
        <v>623</v>
      </c>
      <c r="E422" s="1" t="s">
        <v>111</v>
      </c>
      <c r="F422" s="1">
        <v>0</v>
      </c>
      <c r="G422" s="1" t="s">
        <v>82</v>
      </c>
      <c r="I422" s="1" t="s">
        <v>123</v>
      </c>
    </row>
    <row r="423" spans="1:9" x14ac:dyDescent="0.3">
      <c r="A423" s="1">
        <v>1212</v>
      </c>
      <c r="B423" s="1" t="s">
        <v>1149</v>
      </c>
      <c r="C423" s="1" t="s">
        <v>1150</v>
      </c>
      <c r="D423" s="1" t="s">
        <v>429</v>
      </c>
      <c r="E423" s="1" t="s">
        <v>215</v>
      </c>
      <c r="F423" s="1">
        <v>0</v>
      </c>
      <c r="G423" s="1" t="s">
        <v>82</v>
      </c>
      <c r="I423" s="1" t="s">
        <v>123</v>
      </c>
    </row>
    <row r="424" spans="1:9" hidden="1" x14ac:dyDescent="0.3">
      <c r="A424" s="1">
        <v>1213</v>
      </c>
      <c r="B424" s="1" t="s">
        <v>1151</v>
      </c>
      <c r="C424" s="1" t="s">
        <v>1152</v>
      </c>
      <c r="D424" s="1" t="s">
        <v>1153</v>
      </c>
      <c r="E424" s="1" t="s">
        <v>91</v>
      </c>
      <c r="F424" s="1">
        <v>1</v>
      </c>
      <c r="G424" s="1" t="s">
        <v>143</v>
      </c>
    </row>
    <row r="425" spans="1:9" hidden="1" x14ac:dyDescent="0.3">
      <c r="A425" s="1">
        <v>1214</v>
      </c>
      <c r="B425" s="1" t="s">
        <v>1154</v>
      </c>
      <c r="C425" s="1" t="s">
        <v>1155</v>
      </c>
      <c r="D425" s="1" t="s">
        <v>1156</v>
      </c>
      <c r="E425" s="1" t="s">
        <v>91</v>
      </c>
      <c r="F425" s="1">
        <v>0</v>
      </c>
      <c r="G425" s="1" t="s">
        <v>82</v>
      </c>
      <c r="I425" s="1" t="s">
        <v>123</v>
      </c>
    </row>
    <row r="426" spans="1:9" hidden="1" x14ac:dyDescent="0.3">
      <c r="A426" s="1">
        <v>1215</v>
      </c>
      <c r="B426" s="1" t="s">
        <v>1157</v>
      </c>
      <c r="C426" s="1" t="s">
        <v>1158</v>
      </c>
      <c r="D426" s="1" t="s">
        <v>1159</v>
      </c>
      <c r="E426" s="1" t="s">
        <v>134</v>
      </c>
      <c r="F426" s="1">
        <v>1</v>
      </c>
      <c r="G426" s="1" t="s">
        <v>143</v>
      </c>
    </row>
    <row r="427" spans="1:9" hidden="1" x14ac:dyDescent="0.3">
      <c r="A427" s="1">
        <v>1216</v>
      </c>
      <c r="B427" s="1" t="s">
        <v>1160</v>
      </c>
      <c r="C427" s="1" t="s">
        <v>1161</v>
      </c>
      <c r="D427" s="1" t="s">
        <v>252</v>
      </c>
      <c r="E427" s="1" t="s">
        <v>255</v>
      </c>
      <c r="F427" s="1">
        <v>1</v>
      </c>
      <c r="G427" s="1" t="s">
        <v>143</v>
      </c>
    </row>
    <row r="428" spans="1:9" hidden="1" x14ac:dyDescent="0.3">
      <c r="A428" s="1">
        <v>1217</v>
      </c>
      <c r="B428" s="1" t="s">
        <v>1162</v>
      </c>
      <c r="C428" s="1" t="s">
        <v>1163</v>
      </c>
      <c r="D428" s="1" t="s">
        <v>278</v>
      </c>
      <c r="E428" s="1" t="s">
        <v>255</v>
      </c>
      <c r="F428" s="1">
        <v>1</v>
      </c>
      <c r="G428" s="1" t="s">
        <v>143</v>
      </c>
    </row>
    <row r="429" spans="1:9" hidden="1" x14ac:dyDescent="0.3">
      <c r="A429" s="1">
        <v>1218</v>
      </c>
      <c r="B429" s="1" t="s">
        <v>1164</v>
      </c>
      <c r="C429" s="1" t="s">
        <v>1165</v>
      </c>
      <c r="D429" s="1" t="s">
        <v>278</v>
      </c>
      <c r="E429" s="1" t="s">
        <v>259</v>
      </c>
      <c r="F429" s="1">
        <v>1</v>
      </c>
      <c r="G429" s="1" t="s">
        <v>143</v>
      </c>
    </row>
    <row r="430" spans="1:9" hidden="1" x14ac:dyDescent="0.3">
      <c r="A430" s="1">
        <v>1219</v>
      </c>
      <c r="B430" s="1" t="s">
        <v>1166</v>
      </c>
      <c r="C430" s="1" t="s">
        <v>1167</v>
      </c>
      <c r="D430" s="1" t="s">
        <v>422</v>
      </c>
      <c r="E430" s="1" t="s">
        <v>255</v>
      </c>
      <c r="F430" s="1">
        <v>1</v>
      </c>
      <c r="G430" s="1" t="s">
        <v>143</v>
      </c>
    </row>
    <row r="431" spans="1:9" hidden="1" x14ac:dyDescent="0.3">
      <c r="A431" s="1">
        <v>1220</v>
      </c>
      <c r="B431" s="1" t="s">
        <v>1168</v>
      </c>
      <c r="C431" s="1" t="s">
        <v>1169</v>
      </c>
      <c r="D431" s="1" t="s">
        <v>252</v>
      </c>
      <c r="E431" s="1" t="s">
        <v>255</v>
      </c>
      <c r="F431" s="1">
        <v>0</v>
      </c>
      <c r="G431" s="1" t="s">
        <v>82</v>
      </c>
      <c r="I431" s="1" t="s">
        <v>188</v>
      </c>
    </row>
    <row r="432" spans="1:9" hidden="1" x14ac:dyDescent="0.3">
      <c r="A432" s="1">
        <v>1223</v>
      </c>
      <c r="B432" s="1" t="s">
        <v>1170</v>
      </c>
      <c r="C432" s="1" t="s">
        <v>1171</v>
      </c>
      <c r="D432" s="1" t="s">
        <v>422</v>
      </c>
      <c r="E432" s="1" t="s">
        <v>147</v>
      </c>
      <c r="F432" s="1">
        <v>1</v>
      </c>
      <c r="G432" s="1" t="s">
        <v>143</v>
      </c>
    </row>
    <row r="433" spans="1:7" hidden="1" x14ac:dyDescent="0.3">
      <c r="A433" s="1">
        <v>1224</v>
      </c>
      <c r="B433" s="1" t="s">
        <v>1172</v>
      </c>
      <c r="C433" s="1" t="s">
        <v>1173</v>
      </c>
      <c r="D433" s="1" t="s">
        <v>422</v>
      </c>
      <c r="E433" s="1" t="s">
        <v>340</v>
      </c>
      <c r="F433" s="1">
        <v>1</v>
      </c>
      <c r="G433" s="1" t="s">
        <v>143</v>
      </c>
    </row>
    <row r="434" spans="1:7" hidden="1" x14ac:dyDescent="0.3">
      <c r="A434" s="1">
        <v>1225</v>
      </c>
      <c r="B434" s="1" t="s">
        <v>1174</v>
      </c>
      <c r="C434" s="1" t="s">
        <v>1175</v>
      </c>
      <c r="D434" s="1" t="s">
        <v>252</v>
      </c>
      <c r="E434" s="1" t="s">
        <v>340</v>
      </c>
      <c r="F434" s="1">
        <v>1</v>
      </c>
      <c r="G434" s="1" t="s">
        <v>143</v>
      </c>
    </row>
    <row r="435" spans="1:7" hidden="1" x14ac:dyDescent="0.3">
      <c r="A435" s="1">
        <v>1226</v>
      </c>
      <c r="B435" s="1" t="s">
        <v>1176</v>
      </c>
      <c r="C435" s="1" t="s">
        <v>1177</v>
      </c>
      <c r="D435" s="1" t="s">
        <v>422</v>
      </c>
      <c r="E435" s="1" t="s">
        <v>340</v>
      </c>
      <c r="F435" s="1">
        <v>1</v>
      </c>
      <c r="G435" s="1" t="s">
        <v>143</v>
      </c>
    </row>
    <row r="436" spans="1:7" hidden="1" x14ac:dyDescent="0.3">
      <c r="A436" s="1">
        <v>1227</v>
      </c>
      <c r="B436" s="1" t="s">
        <v>1178</v>
      </c>
      <c r="C436" s="1" t="s">
        <v>1179</v>
      </c>
      <c r="D436" s="1" t="s">
        <v>1180</v>
      </c>
      <c r="E436" s="1" t="s">
        <v>340</v>
      </c>
      <c r="F436" s="1">
        <v>1</v>
      </c>
      <c r="G436" s="1" t="s">
        <v>143</v>
      </c>
    </row>
    <row r="437" spans="1:7" hidden="1" x14ac:dyDescent="0.3">
      <c r="A437" s="1">
        <v>1228</v>
      </c>
      <c r="B437" s="1" t="s">
        <v>1181</v>
      </c>
      <c r="C437" s="1" t="s">
        <v>1182</v>
      </c>
      <c r="D437" s="1" t="s">
        <v>422</v>
      </c>
      <c r="E437" s="1" t="s">
        <v>340</v>
      </c>
      <c r="F437" s="1">
        <v>1</v>
      </c>
      <c r="G437" s="1" t="s">
        <v>143</v>
      </c>
    </row>
    <row r="438" spans="1:7" hidden="1" x14ac:dyDescent="0.3">
      <c r="A438" s="1">
        <v>1229</v>
      </c>
      <c r="B438" s="1" t="s">
        <v>1183</v>
      </c>
      <c r="C438" s="1" t="s">
        <v>1184</v>
      </c>
      <c r="D438" s="1" t="s">
        <v>252</v>
      </c>
      <c r="E438" s="1" t="s">
        <v>340</v>
      </c>
      <c r="F438" s="1">
        <v>1</v>
      </c>
      <c r="G438" s="1" t="s">
        <v>143</v>
      </c>
    </row>
    <row r="439" spans="1:7" hidden="1" x14ac:dyDescent="0.3">
      <c r="A439" s="1">
        <v>1230</v>
      </c>
      <c r="B439" s="1" t="s">
        <v>1185</v>
      </c>
      <c r="C439" s="1" t="s">
        <v>1186</v>
      </c>
      <c r="D439" s="1" t="s">
        <v>422</v>
      </c>
      <c r="E439" s="1" t="s">
        <v>340</v>
      </c>
      <c r="F439" s="1">
        <v>1</v>
      </c>
      <c r="G439" s="1" t="s">
        <v>143</v>
      </c>
    </row>
    <row r="440" spans="1:7" hidden="1" x14ac:dyDescent="0.3">
      <c r="A440" s="1">
        <v>1231</v>
      </c>
      <c r="B440" s="1" t="s">
        <v>1187</v>
      </c>
      <c r="C440" s="1" t="s">
        <v>1188</v>
      </c>
      <c r="D440" s="1" t="s">
        <v>278</v>
      </c>
      <c r="E440" s="1" t="s">
        <v>340</v>
      </c>
      <c r="F440" s="1">
        <v>1</v>
      </c>
      <c r="G440" s="1" t="s">
        <v>143</v>
      </c>
    </row>
    <row r="441" spans="1:7" hidden="1" x14ac:dyDescent="0.3">
      <c r="A441" s="1">
        <v>1232</v>
      </c>
      <c r="B441" s="1" t="s">
        <v>1189</v>
      </c>
      <c r="C441" s="1" t="s">
        <v>1190</v>
      </c>
      <c r="D441" s="1" t="s">
        <v>422</v>
      </c>
      <c r="E441" s="1" t="s">
        <v>340</v>
      </c>
      <c r="F441" s="1">
        <v>1</v>
      </c>
      <c r="G441" s="1" t="s">
        <v>143</v>
      </c>
    </row>
    <row r="442" spans="1:7" hidden="1" x14ac:dyDescent="0.3">
      <c r="A442" s="1">
        <v>1233</v>
      </c>
      <c r="B442" s="1" t="s">
        <v>1191</v>
      </c>
      <c r="C442" s="1" t="s">
        <v>1192</v>
      </c>
      <c r="D442" s="1" t="s">
        <v>258</v>
      </c>
      <c r="E442" s="1" t="s">
        <v>340</v>
      </c>
      <c r="F442" s="1">
        <v>1</v>
      </c>
      <c r="G442" s="1" t="s">
        <v>143</v>
      </c>
    </row>
    <row r="443" spans="1:7" hidden="1" x14ac:dyDescent="0.3">
      <c r="A443" s="1">
        <v>1234</v>
      </c>
      <c r="B443" s="1" t="s">
        <v>1193</v>
      </c>
      <c r="C443" s="1" t="s">
        <v>1194</v>
      </c>
      <c r="D443" s="1" t="s">
        <v>422</v>
      </c>
      <c r="E443" s="1" t="s">
        <v>340</v>
      </c>
      <c r="F443" s="1">
        <v>1</v>
      </c>
      <c r="G443" s="1" t="s">
        <v>143</v>
      </c>
    </row>
    <row r="444" spans="1:7" hidden="1" x14ac:dyDescent="0.3">
      <c r="A444" s="1">
        <v>1235</v>
      </c>
      <c r="B444" s="1" t="s">
        <v>1195</v>
      </c>
      <c r="C444" s="1" t="s">
        <v>1196</v>
      </c>
      <c r="D444" s="1" t="s">
        <v>422</v>
      </c>
      <c r="E444" s="1" t="s">
        <v>340</v>
      </c>
      <c r="F444" s="1">
        <v>1</v>
      </c>
      <c r="G444" s="1" t="s">
        <v>143</v>
      </c>
    </row>
    <row r="445" spans="1:7" hidden="1" x14ac:dyDescent="0.3">
      <c r="A445" s="1">
        <v>1236</v>
      </c>
      <c r="B445" s="1" t="s">
        <v>1197</v>
      </c>
      <c r="C445" s="1" t="s">
        <v>1198</v>
      </c>
      <c r="D445" s="1" t="s">
        <v>422</v>
      </c>
      <c r="E445" s="1" t="s">
        <v>340</v>
      </c>
      <c r="F445" s="1">
        <v>1</v>
      </c>
      <c r="G445" s="1" t="s">
        <v>143</v>
      </c>
    </row>
    <row r="446" spans="1:7" hidden="1" x14ac:dyDescent="0.3">
      <c r="A446" s="1">
        <v>1237</v>
      </c>
      <c r="B446" s="1" t="s">
        <v>1199</v>
      </c>
      <c r="C446" s="1" t="s">
        <v>1200</v>
      </c>
      <c r="D446" s="1" t="s">
        <v>252</v>
      </c>
      <c r="E446" s="1" t="s">
        <v>340</v>
      </c>
      <c r="F446" s="1">
        <v>1</v>
      </c>
      <c r="G446" s="1" t="s">
        <v>143</v>
      </c>
    </row>
    <row r="447" spans="1:7" hidden="1" x14ac:dyDescent="0.3">
      <c r="A447" s="1">
        <v>1238</v>
      </c>
      <c r="B447" s="1" t="s">
        <v>1201</v>
      </c>
      <c r="C447" s="1" t="s">
        <v>1202</v>
      </c>
      <c r="D447" s="1" t="s">
        <v>422</v>
      </c>
      <c r="E447" s="1" t="s">
        <v>340</v>
      </c>
      <c r="F447" s="1">
        <v>1</v>
      </c>
      <c r="G447" s="1" t="s">
        <v>143</v>
      </c>
    </row>
    <row r="448" spans="1:7" hidden="1" x14ac:dyDescent="0.3">
      <c r="A448" s="1">
        <v>1239</v>
      </c>
      <c r="B448" s="1" t="s">
        <v>1203</v>
      </c>
      <c r="C448" s="1" t="s">
        <v>1204</v>
      </c>
      <c r="D448" s="1" t="s">
        <v>278</v>
      </c>
      <c r="E448" s="1" t="s">
        <v>331</v>
      </c>
      <c r="F448" s="1">
        <v>1</v>
      </c>
      <c r="G448" s="1" t="s">
        <v>143</v>
      </c>
    </row>
    <row r="449" spans="1:9" hidden="1" x14ac:dyDescent="0.3">
      <c r="A449" s="1">
        <v>1240</v>
      </c>
      <c r="B449" s="1" t="s">
        <v>1205</v>
      </c>
      <c r="C449" s="1" t="s">
        <v>1206</v>
      </c>
      <c r="D449" s="1" t="s">
        <v>345</v>
      </c>
      <c r="E449" s="1" t="s">
        <v>331</v>
      </c>
      <c r="F449" s="1">
        <v>1</v>
      </c>
      <c r="G449" s="1" t="s">
        <v>143</v>
      </c>
    </row>
    <row r="450" spans="1:9" hidden="1" x14ac:dyDescent="0.3">
      <c r="A450" s="1">
        <v>1241</v>
      </c>
      <c r="B450" s="1" t="s">
        <v>1207</v>
      </c>
      <c r="C450" s="1" t="s">
        <v>1208</v>
      </c>
      <c r="D450" s="1" t="s">
        <v>345</v>
      </c>
      <c r="E450" s="1" t="s">
        <v>331</v>
      </c>
      <c r="F450" s="1">
        <v>1</v>
      </c>
      <c r="G450" s="1" t="s">
        <v>143</v>
      </c>
    </row>
    <row r="451" spans="1:9" hidden="1" x14ac:dyDescent="0.3">
      <c r="A451" s="1">
        <v>1242</v>
      </c>
      <c r="B451" s="1" t="s">
        <v>1209</v>
      </c>
      <c r="C451" s="1" t="s">
        <v>1210</v>
      </c>
      <c r="D451" s="1" t="s">
        <v>675</v>
      </c>
      <c r="E451" s="1" t="s">
        <v>142</v>
      </c>
      <c r="F451" s="1">
        <v>1</v>
      </c>
      <c r="G451" s="1" t="s">
        <v>143</v>
      </c>
    </row>
    <row r="452" spans="1:9" hidden="1" x14ac:dyDescent="0.3">
      <c r="A452" s="1">
        <v>1243</v>
      </c>
      <c r="B452" s="1" t="s">
        <v>1211</v>
      </c>
      <c r="C452" s="1" t="s">
        <v>1212</v>
      </c>
      <c r="D452" s="1" t="s">
        <v>422</v>
      </c>
      <c r="E452" s="1" t="s">
        <v>255</v>
      </c>
      <c r="F452" s="1">
        <v>1</v>
      </c>
      <c r="G452" s="1" t="s">
        <v>143</v>
      </c>
    </row>
    <row r="453" spans="1:9" hidden="1" x14ac:dyDescent="0.3">
      <c r="A453" s="1">
        <v>1244</v>
      </c>
      <c r="B453" s="1" t="s">
        <v>1213</v>
      </c>
      <c r="C453" s="1" t="s">
        <v>1214</v>
      </c>
      <c r="D453" s="1" t="s">
        <v>252</v>
      </c>
      <c r="E453" s="1" t="s">
        <v>340</v>
      </c>
      <c r="F453" s="1">
        <v>1</v>
      </c>
      <c r="G453" s="1" t="s">
        <v>143</v>
      </c>
    </row>
    <row r="454" spans="1:9" hidden="1" x14ac:dyDescent="0.3">
      <c r="A454" s="1">
        <v>1245</v>
      </c>
      <c r="B454" s="1" t="s">
        <v>1215</v>
      </c>
      <c r="C454" s="1" t="s">
        <v>1216</v>
      </c>
      <c r="D454" s="1" t="s">
        <v>345</v>
      </c>
      <c r="E454" s="1" t="s">
        <v>331</v>
      </c>
      <c r="F454" s="1">
        <v>1</v>
      </c>
      <c r="G454" s="1" t="s">
        <v>143</v>
      </c>
    </row>
    <row r="455" spans="1:9" hidden="1" x14ac:dyDescent="0.3">
      <c r="A455" s="1">
        <v>1246</v>
      </c>
      <c r="B455" s="1" t="s">
        <v>1217</v>
      </c>
      <c r="C455" s="1" t="s">
        <v>1218</v>
      </c>
      <c r="D455" s="1" t="s">
        <v>1219</v>
      </c>
      <c r="E455" s="1" t="s">
        <v>91</v>
      </c>
      <c r="F455" s="1">
        <v>0</v>
      </c>
      <c r="G455" s="1" t="s">
        <v>82</v>
      </c>
      <c r="I455" s="1" t="s">
        <v>123</v>
      </c>
    </row>
    <row r="456" spans="1:9" hidden="1" x14ac:dyDescent="0.3">
      <c r="A456" s="1">
        <v>1247</v>
      </c>
      <c r="B456" s="1" t="s">
        <v>1220</v>
      </c>
      <c r="C456" s="1" t="s">
        <v>1221</v>
      </c>
      <c r="D456" s="1" t="s">
        <v>1222</v>
      </c>
      <c r="E456" s="1" t="s">
        <v>118</v>
      </c>
      <c r="F456" s="1">
        <v>1</v>
      </c>
      <c r="G456" s="1" t="s">
        <v>143</v>
      </c>
    </row>
    <row r="457" spans="1:9" hidden="1" x14ac:dyDescent="0.3">
      <c r="A457" s="1">
        <v>1248</v>
      </c>
      <c r="B457" s="1" t="s">
        <v>1223</v>
      </c>
      <c r="C457" s="1" t="s">
        <v>1224</v>
      </c>
      <c r="D457" s="1" t="s">
        <v>398</v>
      </c>
      <c r="E457" s="1" t="s">
        <v>118</v>
      </c>
      <c r="F457" s="1">
        <v>0</v>
      </c>
      <c r="G457" s="1" t="s">
        <v>82</v>
      </c>
      <c r="H457" s="1" t="s">
        <v>1225</v>
      </c>
      <c r="I457" s="1" t="s">
        <v>123</v>
      </c>
    </row>
    <row r="458" spans="1:9" hidden="1" x14ac:dyDescent="0.3">
      <c r="A458" s="1">
        <v>1249</v>
      </c>
      <c r="B458" s="1" t="s">
        <v>1226</v>
      </c>
      <c r="C458" s="1" t="s">
        <v>1227</v>
      </c>
      <c r="D458" s="1" t="s">
        <v>1228</v>
      </c>
      <c r="E458" s="1" t="s">
        <v>170</v>
      </c>
      <c r="F458" s="1">
        <v>1</v>
      </c>
      <c r="G458" s="1" t="s">
        <v>143</v>
      </c>
    </row>
    <row r="459" spans="1:9" hidden="1" x14ac:dyDescent="0.3">
      <c r="A459" s="1">
        <v>1250</v>
      </c>
      <c r="B459" s="1" t="s">
        <v>1229</v>
      </c>
      <c r="C459" s="1" t="s">
        <v>1230</v>
      </c>
      <c r="D459" s="1" t="s">
        <v>435</v>
      </c>
      <c r="E459" s="1" t="s">
        <v>111</v>
      </c>
      <c r="F459" s="1">
        <v>1</v>
      </c>
      <c r="G459" s="1" t="s">
        <v>143</v>
      </c>
    </row>
    <row r="460" spans="1:9" hidden="1" x14ac:dyDescent="0.3">
      <c r="A460" s="1">
        <v>1251</v>
      </c>
      <c r="B460" s="1" t="s">
        <v>1231</v>
      </c>
      <c r="C460" s="1" t="s">
        <v>1232</v>
      </c>
      <c r="D460" s="1" t="s">
        <v>1233</v>
      </c>
      <c r="E460" s="1" t="s">
        <v>68</v>
      </c>
      <c r="F460" s="1">
        <v>1</v>
      </c>
      <c r="G460" s="1" t="s">
        <v>143</v>
      </c>
    </row>
    <row r="461" spans="1:9" hidden="1" x14ac:dyDescent="0.3">
      <c r="A461" s="1">
        <v>1252</v>
      </c>
      <c r="B461" s="1" t="s">
        <v>1234</v>
      </c>
      <c r="C461" s="1" t="s">
        <v>1235</v>
      </c>
      <c r="D461" s="1" t="s">
        <v>745</v>
      </c>
      <c r="E461" s="1" t="s">
        <v>68</v>
      </c>
      <c r="F461" s="1">
        <v>1</v>
      </c>
      <c r="G461" s="1" t="s">
        <v>143</v>
      </c>
    </row>
    <row r="462" spans="1:9" hidden="1" x14ac:dyDescent="0.3">
      <c r="A462" s="1">
        <v>1253</v>
      </c>
      <c r="B462" s="1" t="s">
        <v>1236</v>
      </c>
      <c r="C462" s="1" t="s">
        <v>1237</v>
      </c>
      <c r="D462" s="1" t="s">
        <v>345</v>
      </c>
      <c r="E462" s="1" t="s">
        <v>331</v>
      </c>
      <c r="F462" s="1">
        <v>1</v>
      </c>
      <c r="G462" s="1" t="s">
        <v>143</v>
      </c>
    </row>
    <row r="463" spans="1:9" hidden="1" x14ac:dyDescent="0.3">
      <c r="A463" s="1">
        <v>1254</v>
      </c>
      <c r="B463" s="1" t="s">
        <v>1238</v>
      </c>
      <c r="C463" s="1" t="s">
        <v>1239</v>
      </c>
      <c r="D463" s="1" t="s">
        <v>422</v>
      </c>
      <c r="E463" s="1" t="s">
        <v>340</v>
      </c>
      <c r="F463" s="1">
        <v>1</v>
      </c>
      <c r="G463" s="1" t="s">
        <v>143</v>
      </c>
    </row>
    <row r="464" spans="1:9" hidden="1" x14ac:dyDescent="0.3">
      <c r="A464" s="1">
        <v>1255</v>
      </c>
      <c r="B464" s="1" t="s">
        <v>1240</v>
      </c>
      <c r="C464" s="1" t="s">
        <v>1241</v>
      </c>
      <c r="D464" s="1" t="s">
        <v>365</v>
      </c>
      <c r="E464" s="1" t="s">
        <v>331</v>
      </c>
      <c r="F464" s="1">
        <v>1</v>
      </c>
      <c r="G464" s="1" t="s">
        <v>143</v>
      </c>
    </row>
    <row r="465" spans="1:9" hidden="1" x14ac:dyDescent="0.3">
      <c r="A465" s="1">
        <v>1256</v>
      </c>
      <c r="B465" s="1" t="s">
        <v>1242</v>
      </c>
      <c r="C465" s="1" t="s">
        <v>1243</v>
      </c>
      <c r="D465" s="1" t="s">
        <v>270</v>
      </c>
      <c r="E465" s="1" t="s">
        <v>255</v>
      </c>
      <c r="F465" s="1">
        <v>1</v>
      </c>
      <c r="G465" s="1" t="s">
        <v>143</v>
      </c>
    </row>
    <row r="466" spans="1:9" hidden="1" x14ac:dyDescent="0.3">
      <c r="A466" s="1">
        <v>1257</v>
      </c>
      <c r="B466" s="1" t="s">
        <v>1244</v>
      </c>
      <c r="C466" s="1" t="s">
        <v>1245</v>
      </c>
      <c r="D466" s="1" t="s">
        <v>422</v>
      </c>
      <c r="E466" s="1" t="s">
        <v>340</v>
      </c>
      <c r="F466" s="1">
        <v>1</v>
      </c>
      <c r="G466" s="1" t="s">
        <v>143</v>
      </c>
    </row>
    <row r="467" spans="1:9" hidden="1" x14ac:dyDescent="0.3">
      <c r="A467" s="1">
        <v>1258</v>
      </c>
      <c r="B467" s="1" t="s">
        <v>1246</v>
      </c>
      <c r="C467" s="1" t="s">
        <v>1247</v>
      </c>
      <c r="D467" s="1" t="s">
        <v>422</v>
      </c>
      <c r="E467" s="1" t="s">
        <v>340</v>
      </c>
      <c r="F467" s="1">
        <v>1</v>
      </c>
      <c r="G467" s="1" t="s">
        <v>143</v>
      </c>
    </row>
    <row r="468" spans="1:9" hidden="1" x14ac:dyDescent="0.3">
      <c r="A468" s="1">
        <v>1259</v>
      </c>
      <c r="B468" s="1" t="s">
        <v>1248</v>
      </c>
      <c r="C468" s="1" t="s">
        <v>1249</v>
      </c>
      <c r="D468" s="1" t="s">
        <v>345</v>
      </c>
      <c r="E468" s="1" t="s">
        <v>331</v>
      </c>
      <c r="F468" s="1">
        <v>1</v>
      </c>
      <c r="G468" s="1" t="s">
        <v>143</v>
      </c>
    </row>
    <row r="469" spans="1:9" hidden="1" x14ac:dyDescent="0.3">
      <c r="A469" s="1">
        <v>1260</v>
      </c>
      <c r="B469" s="1" t="s">
        <v>1250</v>
      </c>
      <c r="C469" s="1" t="s">
        <v>1251</v>
      </c>
      <c r="D469" s="1" t="s">
        <v>252</v>
      </c>
      <c r="E469" s="1" t="s">
        <v>340</v>
      </c>
      <c r="F469" s="1">
        <v>1</v>
      </c>
      <c r="G469" s="1" t="s">
        <v>143</v>
      </c>
    </row>
    <row r="470" spans="1:9" hidden="1" x14ac:dyDescent="0.3">
      <c r="A470" s="1">
        <v>1261</v>
      </c>
      <c r="B470" s="1" t="s">
        <v>1252</v>
      </c>
      <c r="C470" s="1" t="s">
        <v>1253</v>
      </c>
      <c r="D470" s="1" t="s">
        <v>422</v>
      </c>
      <c r="E470" s="1" t="s">
        <v>147</v>
      </c>
      <c r="F470" s="1">
        <v>1</v>
      </c>
      <c r="G470" s="1" t="s">
        <v>143</v>
      </c>
    </row>
    <row r="471" spans="1:9" hidden="1" x14ac:dyDescent="0.3">
      <c r="A471" s="1">
        <v>1262</v>
      </c>
      <c r="B471" s="1" t="s">
        <v>1254</v>
      </c>
      <c r="C471" s="1" t="s">
        <v>1255</v>
      </c>
      <c r="D471" s="1" t="s">
        <v>230</v>
      </c>
      <c r="E471" s="1" t="s">
        <v>197</v>
      </c>
      <c r="F471" s="1">
        <v>0</v>
      </c>
      <c r="G471" s="1" t="s">
        <v>82</v>
      </c>
      <c r="I471" s="1" t="s">
        <v>123</v>
      </c>
    </row>
    <row r="472" spans="1:9" hidden="1" x14ac:dyDescent="0.3">
      <c r="A472" s="1">
        <v>1263</v>
      </c>
      <c r="B472" s="1" t="s">
        <v>1256</v>
      </c>
      <c r="C472" s="1" t="s">
        <v>1257</v>
      </c>
      <c r="D472" s="1" t="s">
        <v>252</v>
      </c>
      <c r="E472" s="1" t="s">
        <v>255</v>
      </c>
      <c r="F472" s="1">
        <v>1</v>
      </c>
      <c r="G472" s="1" t="s">
        <v>143</v>
      </c>
    </row>
    <row r="473" spans="1:9" hidden="1" x14ac:dyDescent="0.3">
      <c r="A473" s="1">
        <v>1264</v>
      </c>
      <c r="B473" s="1" t="s">
        <v>1258</v>
      </c>
      <c r="C473" s="1" t="s">
        <v>1259</v>
      </c>
      <c r="D473" s="1" t="s">
        <v>422</v>
      </c>
      <c r="E473" s="1" t="s">
        <v>340</v>
      </c>
      <c r="F473" s="1">
        <v>1</v>
      </c>
      <c r="G473" s="1" t="s">
        <v>143</v>
      </c>
    </row>
    <row r="474" spans="1:9" hidden="1" x14ac:dyDescent="0.3">
      <c r="A474" s="1">
        <v>1265</v>
      </c>
      <c r="B474" s="1" t="s">
        <v>1260</v>
      </c>
      <c r="C474" s="1" t="s">
        <v>1261</v>
      </c>
      <c r="D474" s="1" t="s">
        <v>252</v>
      </c>
      <c r="E474" s="1" t="s">
        <v>259</v>
      </c>
      <c r="F474" s="1">
        <v>0</v>
      </c>
      <c r="G474" s="1" t="s">
        <v>82</v>
      </c>
      <c r="I474" s="1" t="s">
        <v>188</v>
      </c>
    </row>
    <row r="475" spans="1:9" hidden="1" x14ac:dyDescent="0.3">
      <c r="A475" s="1">
        <v>1266</v>
      </c>
      <c r="B475" s="1" t="s">
        <v>1262</v>
      </c>
      <c r="C475" s="1" t="s">
        <v>1263</v>
      </c>
      <c r="D475" s="1" t="s">
        <v>1013</v>
      </c>
      <c r="E475" s="1" t="s">
        <v>460</v>
      </c>
      <c r="F475" s="1">
        <v>1</v>
      </c>
      <c r="G475" s="1" t="s">
        <v>143</v>
      </c>
    </row>
    <row r="476" spans="1:9" hidden="1" x14ac:dyDescent="0.3">
      <c r="A476" s="1">
        <v>1267</v>
      </c>
      <c r="B476" s="1" t="s">
        <v>1264</v>
      </c>
      <c r="C476" s="1" t="s">
        <v>1265</v>
      </c>
      <c r="D476" s="1" t="s">
        <v>1266</v>
      </c>
      <c r="E476" s="1" t="s">
        <v>111</v>
      </c>
      <c r="F476" s="1">
        <v>0</v>
      </c>
      <c r="G476" s="1" t="s">
        <v>82</v>
      </c>
      <c r="I476" s="1" t="s">
        <v>123</v>
      </c>
    </row>
    <row r="477" spans="1:9" hidden="1" x14ac:dyDescent="0.3">
      <c r="A477" s="1">
        <v>1268</v>
      </c>
      <c r="B477" s="1" t="s">
        <v>1267</v>
      </c>
      <c r="C477" s="1" t="s">
        <v>1268</v>
      </c>
      <c r="D477" s="1" t="s">
        <v>1269</v>
      </c>
      <c r="E477" s="1" t="s">
        <v>68</v>
      </c>
      <c r="F477" s="1">
        <v>0</v>
      </c>
      <c r="G477" s="1" t="s">
        <v>82</v>
      </c>
      <c r="I477" s="1" t="s">
        <v>123</v>
      </c>
    </row>
    <row r="478" spans="1:9" hidden="1" x14ac:dyDescent="0.3">
      <c r="A478" s="1">
        <v>1269</v>
      </c>
      <c r="B478" s="1" t="s">
        <v>1270</v>
      </c>
      <c r="C478" s="1" t="s">
        <v>1271</v>
      </c>
      <c r="D478" s="1" t="s">
        <v>847</v>
      </c>
      <c r="E478" s="1" t="s">
        <v>111</v>
      </c>
      <c r="F478" s="1">
        <v>1</v>
      </c>
      <c r="G478" s="1" t="s">
        <v>143</v>
      </c>
    </row>
    <row r="479" spans="1:9" hidden="1" x14ac:dyDescent="0.3">
      <c r="A479" s="1">
        <v>1270</v>
      </c>
      <c r="B479" s="1" t="s">
        <v>1272</v>
      </c>
      <c r="C479" s="1" t="s">
        <v>1273</v>
      </c>
      <c r="D479" s="1" t="s">
        <v>678</v>
      </c>
      <c r="E479" s="1" t="s">
        <v>68</v>
      </c>
      <c r="F479" s="1">
        <v>1</v>
      </c>
      <c r="G479" s="1" t="s">
        <v>143</v>
      </c>
    </row>
    <row r="480" spans="1:9" hidden="1" x14ac:dyDescent="0.3">
      <c r="A480" s="1">
        <v>1271</v>
      </c>
      <c r="B480" s="1" t="s">
        <v>1274</v>
      </c>
      <c r="C480" s="1" t="s">
        <v>1275</v>
      </c>
      <c r="D480" s="1" t="s">
        <v>1276</v>
      </c>
      <c r="E480" s="1" t="s">
        <v>81</v>
      </c>
      <c r="F480" s="1">
        <v>1</v>
      </c>
      <c r="G480" s="1" t="s">
        <v>143</v>
      </c>
    </row>
    <row r="481" spans="1:9" hidden="1" x14ac:dyDescent="0.3">
      <c r="A481" s="1">
        <v>1272</v>
      </c>
      <c r="B481" s="1" t="s">
        <v>1277</v>
      </c>
      <c r="C481" s="1" t="s">
        <v>1278</v>
      </c>
      <c r="D481" s="1" t="s">
        <v>252</v>
      </c>
      <c r="E481" s="1" t="s">
        <v>255</v>
      </c>
      <c r="F481" s="1">
        <v>1</v>
      </c>
      <c r="G481" s="1" t="s">
        <v>143</v>
      </c>
    </row>
    <row r="482" spans="1:9" hidden="1" x14ac:dyDescent="0.3">
      <c r="A482" s="1">
        <v>1273</v>
      </c>
      <c r="B482" s="1" t="s">
        <v>1279</v>
      </c>
      <c r="C482" s="1" t="s">
        <v>1280</v>
      </c>
      <c r="D482" s="1" t="s">
        <v>422</v>
      </c>
      <c r="E482" s="1" t="s">
        <v>255</v>
      </c>
      <c r="F482" s="1">
        <v>1</v>
      </c>
      <c r="G482" s="1" t="s">
        <v>143</v>
      </c>
    </row>
    <row r="483" spans="1:9" hidden="1" x14ac:dyDescent="0.3">
      <c r="A483" s="1">
        <v>1274</v>
      </c>
      <c r="B483" s="1" t="s">
        <v>1281</v>
      </c>
      <c r="C483" s="1" t="s">
        <v>1282</v>
      </c>
      <c r="D483" s="1" t="s">
        <v>422</v>
      </c>
      <c r="E483" s="1" t="s">
        <v>255</v>
      </c>
      <c r="F483" s="1">
        <v>1</v>
      </c>
      <c r="G483" s="1" t="s">
        <v>143</v>
      </c>
    </row>
    <row r="484" spans="1:9" hidden="1" x14ac:dyDescent="0.3">
      <c r="A484" s="1">
        <v>1275</v>
      </c>
      <c r="B484" s="1" t="s">
        <v>1283</v>
      </c>
      <c r="C484" s="1" t="s">
        <v>1284</v>
      </c>
      <c r="D484" s="1" t="s">
        <v>345</v>
      </c>
      <c r="E484" s="1" t="s">
        <v>331</v>
      </c>
      <c r="F484" s="1">
        <v>1</v>
      </c>
      <c r="G484" s="1" t="s">
        <v>143</v>
      </c>
    </row>
    <row r="485" spans="1:9" hidden="1" x14ac:dyDescent="0.3">
      <c r="A485" s="1">
        <v>1276</v>
      </c>
      <c r="B485" s="1" t="s">
        <v>1285</v>
      </c>
      <c r="C485" s="1" t="s">
        <v>1286</v>
      </c>
      <c r="D485" s="1" t="s">
        <v>278</v>
      </c>
      <c r="E485" s="1" t="s">
        <v>331</v>
      </c>
      <c r="F485" s="1">
        <v>1</v>
      </c>
      <c r="G485" s="1" t="s">
        <v>143</v>
      </c>
    </row>
    <row r="486" spans="1:9" hidden="1" x14ac:dyDescent="0.3">
      <c r="A486" s="1">
        <v>1277</v>
      </c>
      <c r="B486" s="1" t="s">
        <v>1287</v>
      </c>
      <c r="C486" s="1" t="s">
        <v>1288</v>
      </c>
      <c r="D486" s="1" t="s">
        <v>345</v>
      </c>
      <c r="E486" s="1" t="s">
        <v>331</v>
      </c>
      <c r="F486" s="1">
        <v>1</v>
      </c>
      <c r="G486" s="1" t="s">
        <v>143</v>
      </c>
    </row>
    <row r="487" spans="1:9" hidden="1" x14ac:dyDescent="0.3">
      <c r="A487" s="1">
        <v>1278</v>
      </c>
      <c r="B487" s="1" t="s">
        <v>1289</v>
      </c>
      <c r="C487" s="1" t="s">
        <v>1290</v>
      </c>
      <c r="D487" s="1" t="s">
        <v>1291</v>
      </c>
      <c r="E487" s="1" t="s">
        <v>1292</v>
      </c>
      <c r="F487" s="1">
        <v>0</v>
      </c>
      <c r="G487" s="1" t="s">
        <v>82</v>
      </c>
      <c r="I487" s="1" t="s">
        <v>123</v>
      </c>
    </row>
    <row r="488" spans="1:9" hidden="1" x14ac:dyDescent="0.3">
      <c r="A488" s="1">
        <v>1279</v>
      </c>
      <c r="B488" s="1" t="s">
        <v>1293</v>
      </c>
      <c r="C488" s="1" t="s">
        <v>1294</v>
      </c>
      <c r="D488" s="1" t="s">
        <v>1295</v>
      </c>
      <c r="E488" s="1" t="s">
        <v>215</v>
      </c>
      <c r="F488" s="1">
        <v>1</v>
      </c>
      <c r="G488" s="1" t="s">
        <v>143</v>
      </c>
    </row>
    <row r="489" spans="1:9" hidden="1" x14ac:dyDescent="0.3">
      <c r="A489" s="1">
        <v>1280</v>
      </c>
      <c r="B489" s="1" t="s">
        <v>1296</v>
      </c>
      <c r="C489" s="1" t="s">
        <v>1297</v>
      </c>
      <c r="D489" s="1" t="s">
        <v>1298</v>
      </c>
      <c r="E489" s="1" t="s">
        <v>111</v>
      </c>
      <c r="F489" s="1">
        <v>1</v>
      </c>
      <c r="G489" s="1" t="s">
        <v>143</v>
      </c>
    </row>
    <row r="490" spans="1:9" hidden="1" x14ac:dyDescent="0.3">
      <c r="A490" s="1">
        <v>1281</v>
      </c>
      <c r="B490" s="1" t="s">
        <v>1299</v>
      </c>
      <c r="C490" s="1" t="s">
        <v>1300</v>
      </c>
      <c r="D490" s="1" t="s">
        <v>748</v>
      </c>
      <c r="E490" s="1" t="s">
        <v>134</v>
      </c>
      <c r="F490" s="1">
        <v>0</v>
      </c>
      <c r="G490" s="1" t="s">
        <v>82</v>
      </c>
      <c r="I490" s="1" t="s">
        <v>123</v>
      </c>
    </row>
    <row r="491" spans="1:9" hidden="1" x14ac:dyDescent="0.3">
      <c r="A491" s="1">
        <v>1282</v>
      </c>
      <c r="B491" s="1" t="s">
        <v>1301</v>
      </c>
      <c r="C491" s="1" t="s">
        <v>1302</v>
      </c>
      <c r="D491" s="1" t="s">
        <v>1303</v>
      </c>
      <c r="E491" s="1" t="s">
        <v>1304</v>
      </c>
      <c r="F491" s="1">
        <v>0</v>
      </c>
      <c r="G491" s="1" t="s">
        <v>82</v>
      </c>
      <c r="I491" s="1" t="s">
        <v>123</v>
      </c>
    </row>
    <row r="492" spans="1:9" hidden="1" x14ac:dyDescent="0.3">
      <c r="A492" s="1">
        <v>1283</v>
      </c>
      <c r="B492" s="1" t="s">
        <v>1305</v>
      </c>
      <c r="C492" s="1" t="s">
        <v>1306</v>
      </c>
      <c r="D492" s="1" t="s">
        <v>931</v>
      </c>
      <c r="E492" s="1" t="s">
        <v>130</v>
      </c>
      <c r="F492" s="1">
        <v>0</v>
      </c>
      <c r="G492" s="1" t="s">
        <v>82</v>
      </c>
      <c r="I492" s="1" t="s">
        <v>123</v>
      </c>
    </row>
    <row r="493" spans="1:9" hidden="1" x14ac:dyDescent="0.3">
      <c r="A493" s="1">
        <v>1287</v>
      </c>
      <c r="B493" s="1" t="s">
        <v>1307</v>
      </c>
      <c r="C493" s="1" t="s">
        <v>1308</v>
      </c>
      <c r="D493" s="1" t="s">
        <v>278</v>
      </c>
      <c r="E493" s="1" t="s">
        <v>340</v>
      </c>
      <c r="F493" s="1">
        <v>1</v>
      </c>
      <c r="G493" s="1" t="s">
        <v>143</v>
      </c>
    </row>
    <row r="494" spans="1:9" hidden="1" x14ac:dyDescent="0.3">
      <c r="A494" s="1">
        <v>1288</v>
      </c>
      <c r="B494" s="1" t="s">
        <v>1309</v>
      </c>
      <c r="C494" s="1" t="s">
        <v>1310</v>
      </c>
      <c r="D494" s="1" t="s">
        <v>278</v>
      </c>
      <c r="E494" s="1" t="s">
        <v>147</v>
      </c>
      <c r="F494" s="1">
        <v>1</v>
      </c>
      <c r="G494" s="1" t="s">
        <v>143</v>
      </c>
      <c r="I494" s="1" t="s">
        <v>188</v>
      </c>
    </row>
    <row r="495" spans="1:9" hidden="1" x14ac:dyDescent="0.3">
      <c r="A495" s="1">
        <v>1289</v>
      </c>
      <c r="B495" s="1" t="s">
        <v>1311</v>
      </c>
      <c r="C495" s="1" t="s">
        <v>1312</v>
      </c>
      <c r="D495" s="1" t="s">
        <v>422</v>
      </c>
      <c r="E495" s="1" t="s">
        <v>147</v>
      </c>
      <c r="F495" s="1">
        <v>1</v>
      </c>
      <c r="G495" s="1" t="s">
        <v>143</v>
      </c>
    </row>
    <row r="496" spans="1:9" hidden="1" x14ac:dyDescent="0.3">
      <c r="A496" s="1">
        <v>1290</v>
      </c>
      <c r="B496" s="1" t="s">
        <v>1313</v>
      </c>
      <c r="C496" s="1" t="s">
        <v>1314</v>
      </c>
      <c r="D496" s="1" t="s">
        <v>422</v>
      </c>
      <c r="E496" s="1" t="s">
        <v>255</v>
      </c>
      <c r="F496" s="1">
        <v>1</v>
      </c>
      <c r="G496" s="1" t="s">
        <v>143</v>
      </c>
    </row>
    <row r="497" spans="1:9" hidden="1" x14ac:dyDescent="0.3">
      <c r="A497" s="1">
        <v>1291</v>
      </c>
      <c r="B497" s="1" t="s">
        <v>1315</v>
      </c>
      <c r="C497" s="1" t="s">
        <v>1316</v>
      </c>
      <c r="D497" s="1" t="s">
        <v>252</v>
      </c>
      <c r="E497" s="1" t="s">
        <v>259</v>
      </c>
      <c r="F497" s="1">
        <v>0</v>
      </c>
      <c r="G497" s="1" t="s">
        <v>82</v>
      </c>
      <c r="I497" s="1" t="s">
        <v>188</v>
      </c>
    </row>
    <row r="498" spans="1:9" hidden="1" x14ac:dyDescent="0.3">
      <c r="A498" s="1">
        <v>1292</v>
      </c>
      <c r="B498" s="1" t="s">
        <v>1317</v>
      </c>
      <c r="C498" s="1" t="s">
        <v>1318</v>
      </c>
      <c r="D498" s="1" t="s">
        <v>365</v>
      </c>
      <c r="E498" s="1" t="s">
        <v>259</v>
      </c>
      <c r="F498" s="1">
        <v>1</v>
      </c>
      <c r="G498" s="1" t="s">
        <v>143</v>
      </c>
      <c r="I498" s="1" t="s">
        <v>188</v>
      </c>
    </row>
    <row r="499" spans="1:9" hidden="1" x14ac:dyDescent="0.3">
      <c r="A499" s="1">
        <v>1293</v>
      </c>
      <c r="B499" s="1" t="s">
        <v>1319</v>
      </c>
      <c r="C499" s="1" t="s">
        <v>1320</v>
      </c>
      <c r="D499" s="1" t="s">
        <v>422</v>
      </c>
      <c r="E499" s="1" t="s">
        <v>255</v>
      </c>
      <c r="F499" s="1">
        <v>1</v>
      </c>
      <c r="G499" s="1" t="s">
        <v>143</v>
      </c>
    </row>
    <row r="500" spans="1:9" hidden="1" x14ac:dyDescent="0.3">
      <c r="A500" s="1">
        <v>1294</v>
      </c>
      <c r="B500" s="1" t="s">
        <v>1321</v>
      </c>
      <c r="C500" s="1" t="s">
        <v>1322</v>
      </c>
      <c r="D500" s="1" t="s">
        <v>258</v>
      </c>
      <c r="E500" s="1" t="s">
        <v>259</v>
      </c>
      <c r="F500" s="1">
        <v>1</v>
      </c>
      <c r="G500" s="1" t="s">
        <v>143</v>
      </c>
    </row>
    <row r="501" spans="1:9" hidden="1" x14ac:dyDescent="0.3">
      <c r="A501" s="1">
        <v>1295</v>
      </c>
      <c r="B501" s="1" t="s">
        <v>1323</v>
      </c>
      <c r="C501" s="1" t="s">
        <v>1324</v>
      </c>
      <c r="D501" s="1" t="s">
        <v>252</v>
      </c>
      <c r="E501" s="1" t="s">
        <v>255</v>
      </c>
      <c r="F501" s="1">
        <v>1</v>
      </c>
      <c r="G501" s="1" t="s">
        <v>143</v>
      </c>
    </row>
    <row r="502" spans="1:9" hidden="1" x14ac:dyDescent="0.3">
      <c r="A502" s="1">
        <v>1296</v>
      </c>
      <c r="B502" s="1" t="s">
        <v>1325</v>
      </c>
      <c r="C502" s="1" t="s">
        <v>1326</v>
      </c>
      <c r="D502" s="1" t="s">
        <v>330</v>
      </c>
      <c r="E502" s="1" t="s">
        <v>1327</v>
      </c>
      <c r="F502" s="1">
        <v>0</v>
      </c>
      <c r="G502" s="1" t="s">
        <v>82</v>
      </c>
      <c r="I502" s="1" t="s">
        <v>84</v>
      </c>
    </row>
    <row r="503" spans="1:9" hidden="1" x14ac:dyDescent="0.3">
      <c r="A503" s="1">
        <v>1297</v>
      </c>
      <c r="B503" s="1" t="s">
        <v>1328</v>
      </c>
      <c r="C503" s="1" t="s">
        <v>1329</v>
      </c>
      <c r="D503" s="1" t="s">
        <v>675</v>
      </c>
      <c r="E503" s="1" t="s">
        <v>142</v>
      </c>
      <c r="F503" s="1">
        <v>1</v>
      </c>
      <c r="G503" s="1" t="s">
        <v>143</v>
      </c>
    </row>
    <row r="504" spans="1:9" hidden="1" x14ac:dyDescent="0.3">
      <c r="A504" s="1">
        <v>1298</v>
      </c>
      <c r="B504" s="1" t="s">
        <v>1330</v>
      </c>
      <c r="C504" s="1" t="s">
        <v>1331</v>
      </c>
      <c r="D504" s="1" t="s">
        <v>1332</v>
      </c>
      <c r="E504" s="1" t="s">
        <v>91</v>
      </c>
      <c r="F504" s="1">
        <v>1</v>
      </c>
      <c r="G504" s="1" t="s">
        <v>143</v>
      </c>
    </row>
    <row r="505" spans="1:9" hidden="1" x14ac:dyDescent="0.3">
      <c r="A505" s="1">
        <v>1299</v>
      </c>
      <c r="B505" s="1" t="s">
        <v>1333</v>
      </c>
      <c r="C505" s="1" t="s">
        <v>1334</v>
      </c>
      <c r="D505" s="1" t="s">
        <v>345</v>
      </c>
      <c r="E505" s="1" t="s">
        <v>331</v>
      </c>
      <c r="F505" s="1">
        <v>1</v>
      </c>
      <c r="G505" s="1" t="s">
        <v>143</v>
      </c>
    </row>
    <row r="506" spans="1:9" hidden="1" x14ac:dyDescent="0.3">
      <c r="A506" s="1">
        <v>1300</v>
      </c>
      <c r="B506" s="1" t="s">
        <v>1335</v>
      </c>
      <c r="C506" s="1" t="s">
        <v>1336</v>
      </c>
      <c r="D506" s="1" t="s">
        <v>422</v>
      </c>
      <c r="E506" s="1" t="s">
        <v>340</v>
      </c>
      <c r="F506" s="1">
        <v>1</v>
      </c>
      <c r="G506" s="1" t="s">
        <v>143</v>
      </c>
    </row>
    <row r="507" spans="1:9" hidden="1" x14ac:dyDescent="0.3">
      <c r="A507" s="1">
        <v>1302</v>
      </c>
      <c r="B507" s="1" t="s">
        <v>1337</v>
      </c>
      <c r="C507" s="1" t="s">
        <v>1338</v>
      </c>
      <c r="D507" s="1" t="s">
        <v>422</v>
      </c>
      <c r="E507" s="1" t="s">
        <v>147</v>
      </c>
      <c r="F507" s="1">
        <v>1</v>
      </c>
      <c r="G507" s="1" t="s">
        <v>143</v>
      </c>
    </row>
    <row r="508" spans="1:9" hidden="1" x14ac:dyDescent="0.3">
      <c r="A508" s="1">
        <v>1303</v>
      </c>
      <c r="B508" s="1" t="s">
        <v>1339</v>
      </c>
      <c r="C508" s="1" t="s">
        <v>1340</v>
      </c>
      <c r="D508" s="1" t="s">
        <v>278</v>
      </c>
      <c r="E508" s="1" t="s">
        <v>147</v>
      </c>
      <c r="F508" s="1">
        <v>1</v>
      </c>
      <c r="G508" s="1" t="s">
        <v>143</v>
      </c>
    </row>
    <row r="509" spans="1:9" hidden="1" x14ac:dyDescent="0.3">
      <c r="A509" s="1">
        <v>1304</v>
      </c>
      <c r="B509" s="1" t="s">
        <v>1341</v>
      </c>
      <c r="C509" s="1" t="s">
        <v>1342</v>
      </c>
      <c r="D509" s="1" t="s">
        <v>365</v>
      </c>
      <c r="E509" s="1" t="s">
        <v>147</v>
      </c>
      <c r="F509" s="1">
        <v>0</v>
      </c>
      <c r="G509" s="1" t="s">
        <v>82</v>
      </c>
      <c r="I509" s="1" t="s">
        <v>188</v>
      </c>
    </row>
    <row r="510" spans="1:9" hidden="1" x14ac:dyDescent="0.3">
      <c r="A510" s="1">
        <v>1305</v>
      </c>
      <c r="B510" s="1" t="s">
        <v>1343</v>
      </c>
      <c r="C510" s="1" t="s">
        <v>1344</v>
      </c>
      <c r="D510" s="1" t="s">
        <v>422</v>
      </c>
      <c r="E510" s="1" t="s">
        <v>147</v>
      </c>
      <c r="F510" s="1">
        <v>1</v>
      </c>
      <c r="G510" s="1" t="s">
        <v>143</v>
      </c>
    </row>
    <row r="511" spans="1:9" hidden="1" x14ac:dyDescent="0.3">
      <c r="A511" s="1">
        <v>1306</v>
      </c>
      <c r="B511" s="1" t="s">
        <v>1345</v>
      </c>
      <c r="C511" s="1" t="s">
        <v>1346</v>
      </c>
      <c r="D511" s="1" t="s">
        <v>422</v>
      </c>
      <c r="E511" s="1" t="s">
        <v>255</v>
      </c>
      <c r="F511" s="1">
        <v>1</v>
      </c>
      <c r="G511" s="1" t="s">
        <v>143</v>
      </c>
    </row>
    <row r="512" spans="1:9" hidden="1" x14ac:dyDescent="0.3">
      <c r="A512" s="1">
        <v>1307</v>
      </c>
      <c r="B512" s="1" t="s">
        <v>1347</v>
      </c>
      <c r="C512" s="1" t="s">
        <v>1348</v>
      </c>
      <c r="D512" s="1" t="s">
        <v>1088</v>
      </c>
      <c r="E512" s="1" t="s">
        <v>215</v>
      </c>
      <c r="F512" s="1">
        <v>1</v>
      </c>
      <c r="G512" s="1" t="s">
        <v>143</v>
      </c>
    </row>
    <row r="513" spans="1:9" hidden="1" x14ac:dyDescent="0.3">
      <c r="A513" s="1">
        <v>1308</v>
      </c>
      <c r="B513" s="1" t="s">
        <v>1349</v>
      </c>
      <c r="C513" s="1" t="s">
        <v>1350</v>
      </c>
      <c r="D513" s="1" t="s">
        <v>1351</v>
      </c>
      <c r="E513" s="1" t="s">
        <v>68</v>
      </c>
      <c r="F513" s="1">
        <v>0</v>
      </c>
      <c r="G513" s="1" t="s">
        <v>82</v>
      </c>
      <c r="I513" s="1" t="s">
        <v>123</v>
      </c>
    </row>
    <row r="514" spans="1:9" hidden="1" x14ac:dyDescent="0.3">
      <c r="A514" s="1">
        <v>1309</v>
      </c>
      <c r="B514" s="1" t="s">
        <v>1352</v>
      </c>
      <c r="C514" s="1" t="s">
        <v>1353</v>
      </c>
      <c r="D514" s="1" t="s">
        <v>117</v>
      </c>
      <c r="E514" s="1" t="s">
        <v>111</v>
      </c>
      <c r="F514" s="1">
        <v>1</v>
      </c>
      <c r="G514" s="1" t="s">
        <v>143</v>
      </c>
    </row>
    <row r="515" spans="1:9" hidden="1" x14ac:dyDescent="0.3">
      <c r="A515" s="1">
        <v>1310</v>
      </c>
      <c r="B515" s="1" t="s">
        <v>1354</v>
      </c>
      <c r="C515" s="1" t="s">
        <v>1355</v>
      </c>
      <c r="D515" s="1" t="s">
        <v>1146</v>
      </c>
      <c r="E515" s="1" t="s">
        <v>111</v>
      </c>
      <c r="F515" s="1">
        <v>1</v>
      </c>
      <c r="G515" s="1" t="s">
        <v>143</v>
      </c>
    </row>
    <row r="516" spans="1:9" hidden="1" x14ac:dyDescent="0.3">
      <c r="A516" s="1">
        <v>1311</v>
      </c>
      <c r="B516" s="1" t="s">
        <v>1356</v>
      </c>
      <c r="C516" s="1" t="s">
        <v>1357</v>
      </c>
      <c r="D516" s="1" t="s">
        <v>1298</v>
      </c>
      <c r="E516" s="1" t="s">
        <v>111</v>
      </c>
      <c r="F516" s="1">
        <v>0</v>
      </c>
      <c r="G516" s="1" t="s">
        <v>82</v>
      </c>
      <c r="I516" s="1" t="s">
        <v>123</v>
      </c>
    </row>
    <row r="517" spans="1:9" hidden="1" x14ac:dyDescent="0.3">
      <c r="A517" s="1">
        <v>1312</v>
      </c>
      <c r="B517" s="1" t="s">
        <v>1358</v>
      </c>
      <c r="C517" s="1" t="s">
        <v>1359</v>
      </c>
      <c r="D517" s="1" t="s">
        <v>1360</v>
      </c>
      <c r="E517" s="1" t="s">
        <v>111</v>
      </c>
      <c r="F517" s="1">
        <v>0</v>
      </c>
      <c r="G517" s="1" t="s">
        <v>82</v>
      </c>
      <c r="I517" s="1" t="s">
        <v>123</v>
      </c>
    </row>
    <row r="518" spans="1:9" hidden="1" x14ac:dyDescent="0.3">
      <c r="A518" s="1">
        <v>1313</v>
      </c>
      <c r="B518" s="1" t="s">
        <v>1361</v>
      </c>
      <c r="C518" s="1" t="s">
        <v>1362</v>
      </c>
      <c r="D518" s="1" t="s">
        <v>623</v>
      </c>
      <c r="E518" s="1" t="s">
        <v>111</v>
      </c>
      <c r="F518" s="1">
        <v>0</v>
      </c>
      <c r="G518" s="1" t="s">
        <v>82</v>
      </c>
      <c r="I518" s="1" t="s">
        <v>123</v>
      </c>
    </row>
    <row r="519" spans="1:9" hidden="1" x14ac:dyDescent="0.3">
      <c r="A519" s="1">
        <v>1314</v>
      </c>
      <c r="B519" s="1" t="s">
        <v>1363</v>
      </c>
      <c r="C519" s="1" t="s">
        <v>1364</v>
      </c>
      <c r="D519" s="1" t="s">
        <v>623</v>
      </c>
      <c r="E519" s="1" t="s">
        <v>111</v>
      </c>
      <c r="F519" s="1">
        <v>1</v>
      </c>
      <c r="G519" s="1" t="s">
        <v>143</v>
      </c>
    </row>
    <row r="520" spans="1:9" hidden="1" x14ac:dyDescent="0.3">
      <c r="A520" s="1">
        <v>1315</v>
      </c>
      <c r="B520" s="1" t="s">
        <v>1365</v>
      </c>
      <c r="C520" s="1" t="s">
        <v>1366</v>
      </c>
      <c r="D520" s="1" t="s">
        <v>675</v>
      </c>
      <c r="E520" s="1" t="s">
        <v>142</v>
      </c>
      <c r="F520" s="1">
        <v>1</v>
      </c>
      <c r="G520" s="1" t="s">
        <v>143</v>
      </c>
    </row>
    <row r="521" spans="1:9" hidden="1" x14ac:dyDescent="0.3">
      <c r="A521" s="1">
        <v>1316</v>
      </c>
      <c r="B521" s="1" t="s">
        <v>1367</v>
      </c>
      <c r="C521" s="1" t="s">
        <v>1368</v>
      </c>
      <c r="D521" s="1" t="s">
        <v>121</v>
      </c>
      <c r="E521" s="1" t="s">
        <v>122</v>
      </c>
      <c r="F521" s="1">
        <v>0</v>
      </c>
      <c r="G521" s="1" t="s">
        <v>82</v>
      </c>
      <c r="I521" s="1" t="s">
        <v>123</v>
      </c>
    </row>
    <row r="522" spans="1:9" hidden="1" x14ac:dyDescent="0.3">
      <c r="A522" s="1">
        <v>1317</v>
      </c>
      <c r="B522" s="1" t="s">
        <v>1369</v>
      </c>
      <c r="C522" s="1" t="s">
        <v>1370</v>
      </c>
      <c r="D522" s="1" t="s">
        <v>1096</v>
      </c>
      <c r="E522" s="1" t="s">
        <v>65</v>
      </c>
      <c r="F522" s="1">
        <v>1</v>
      </c>
      <c r="G522" s="1" t="s">
        <v>143</v>
      </c>
    </row>
    <row r="523" spans="1:9" hidden="1" x14ac:dyDescent="0.3">
      <c r="A523" s="1">
        <v>1318</v>
      </c>
      <c r="B523" s="1" t="s">
        <v>1371</v>
      </c>
      <c r="C523" s="1" t="s">
        <v>1372</v>
      </c>
      <c r="D523" s="1" t="s">
        <v>1373</v>
      </c>
      <c r="E523" s="1" t="s">
        <v>111</v>
      </c>
      <c r="F523" s="1">
        <v>1</v>
      </c>
      <c r="G523" s="1" t="s">
        <v>143</v>
      </c>
    </row>
    <row r="524" spans="1:9" hidden="1" x14ac:dyDescent="0.3">
      <c r="A524" s="1">
        <v>1319</v>
      </c>
      <c r="B524" s="1" t="s">
        <v>1374</v>
      </c>
      <c r="C524" s="1" t="s">
        <v>1375</v>
      </c>
      <c r="D524" s="1" t="s">
        <v>1376</v>
      </c>
      <c r="E524" s="1" t="s">
        <v>645</v>
      </c>
      <c r="F524" s="1">
        <v>1</v>
      </c>
      <c r="G524" s="1" t="s">
        <v>143</v>
      </c>
    </row>
    <row r="525" spans="1:9" hidden="1" x14ac:dyDescent="0.3">
      <c r="A525" s="1">
        <v>1320</v>
      </c>
      <c r="B525" s="1" t="s">
        <v>1377</v>
      </c>
      <c r="C525" s="1" t="s">
        <v>1378</v>
      </c>
      <c r="D525" s="1" t="s">
        <v>330</v>
      </c>
      <c r="E525" s="1" t="s">
        <v>340</v>
      </c>
      <c r="F525" s="1">
        <v>0</v>
      </c>
      <c r="G525" s="1" t="s">
        <v>82</v>
      </c>
      <c r="I525" s="1" t="s">
        <v>84</v>
      </c>
    </row>
    <row r="526" spans="1:9" hidden="1" x14ac:dyDescent="0.3">
      <c r="A526" s="1">
        <v>1321</v>
      </c>
      <c r="B526" s="1" t="s">
        <v>1379</v>
      </c>
      <c r="C526" s="1" t="s">
        <v>1380</v>
      </c>
      <c r="D526" s="1" t="s">
        <v>252</v>
      </c>
      <c r="E526" s="1" t="s">
        <v>255</v>
      </c>
      <c r="F526" s="1">
        <v>1</v>
      </c>
      <c r="G526" s="1" t="s">
        <v>143</v>
      </c>
    </row>
    <row r="527" spans="1:9" hidden="1" x14ac:dyDescent="0.3">
      <c r="A527" s="1">
        <v>1322</v>
      </c>
      <c r="B527" s="1" t="s">
        <v>1381</v>
      </c>
      <c r="C527" s="1" t="s">
        <v>1382</v>
      </c>
      <c r="D527" s="1" t="s">
        <v>422</v>
      </c>
      <c r="E527" s="1" t="s">
        <v>340</v>
      </c>
      <c r="F527" s="1">
        <v>1</v>
      </c>
      <c r="G527" s="1" t="s">
        <v>143</v>
      </c>
    </row>
    <row r="528" spans="1:9" hidden="1" x14ac:dyDescent="0.3">
      <c r="A528" s="1">
        <v>1323</v>
      </c>
      <c r="B528" s="1" t="s">
        <v>1383</v>
      </c>
      <c r="C528" s="1" t="s">
        <v>1384</v>
      </c>
      <c r="D528" s="1" t="s">
        <v>422</v>
      </c>
      <c r="E528" s="1" t="s">
        <v>340</v>
      </c>
      <c r="F528" s="1">
        <v>1</v>
      </c>
      <c r="G528" s="1" t="s">
        <v>143</v>
      </c>
    </row>
    <row r="529" spans="1:9" hidden="1" x14ac:dyDescent="0.3">
      <c r="A529" s="1">
        <v>1324</v>
      </c>
      <c r="B529" s="1" t="s">
        <v>1385</v>
      </c>
      <c r="C529" s="1" t="s">
        <v>1386</v>
      </c>
      <c r="D529" s="1" t="s">
        <v>270</v>
      </c>
      <c r="E529" s="1" t="s">
        <v>340</v>
      </c>
      <c r="F529" s="1">
        <v>1</v>
      </c>
      <c r="G529" s="1" t="s">
        <v>143</v>
      </c>
      <c r="I529" s="1" t="s">
        <v>188</v>
      </c>
    </row>
    <row r="530" spans="1:9" hidden="1" x14ac:dyDescent="0.3">
      <c r="A530" s="1">
        <v>1325</v>
      </c>
      <c r="B530" s="1" t="s">
        <v>1387</v>
      </c>
      <c r="C530" s="1" t="s">
        <v>1388</v>
      </c>
      <c r="D530" s="1" t="s">
        <v>422</v>
      </c>
      <c r="E530" s="1" t="s">
        <v>340</v>
      </c>
      <c r="F530" s="1">
        <v>1</v>
      </c>
      <c r="G530" s="1" t="s">
        <v>143</v>
      </c>
    </row>
    <row r="531" spans="1:9" hidden="1" x14ac:dyDescent="0.3">
      <c r="A531" s="1">
        <v>1327</v>
      </c>
      <c r="B531" s="1" t="s">
        <v>1389</v>
      </c>
      <c r="C531" s="1" t="s">
        <v>1390</v>
      </c>
      <c r="D531" s="1" t="s">
        <v>252</v>
      </c>
      <c r="E531" s="1" t="s">
        <v>147</v>
      </c>
      <c r="F531" s="1">
        <v>1</v>
      </c>
      <c r="G531" s="1" t="s">
        <v>143</v>
      </c>
    </row>
    <row r="532" spans="1:9" hidden="1" x14ac:dyDescent="0.3">
      <c r="A532" s="1">
        <v>1328</v>
      </c>
      <c r="B532" s="1" t="s">
        <v>1391</v>
      </c>
      <c r="C532" s="1" t="s">
        <v>1392</v>
      </c>
      <c r="D532" s="1" t="s">
        <v>422</v>
      </c>
      <c r="E532" s="1" t="s">
        <v>147</v>
      </c>
      <c r="F532" s="1">
        <v>1</v>
      </c>
      <c r="G532" s="1" t="s">
        <v>143</v>
      </c>
    </row>
    <row r="533" spans="1:9" hidden="1" x14ac:dyDescent="0.3">
      <c r="A533" s="1">
        <v>1329</v>
      </c>
      <c r="B533" s="1" t="s">
        <v>1393</v>
      </c>
      <c r="C533" s="1" t="s">
        <v>1394</v>
      </c>
      <c r="D533" s="1" t="s">
        <v>252</v>
      </c>
      <c r="E533" s="1" t="s">
        <v>147</v>
      </c>
      <c r="F533" s="1">
        <v>1</v>
      </c>
      <c r="G533" s="1" t="s">
        <v>143</v>
      </c>
    </row>
    <row r="534" spans="1:9" hidden="1" x14ac:dyDescent="0.3">
      <c r="A534" s="1">
        <v>1330</v>
      </c>
      <c r="B534" s="1" t="s">
        <v>1395</v>
      </c>
      <c r="C534" s="1" t="s">
        <v>1396</v>
      </c>
      <c r="D534" s="1" t="s">
        <v>252</v>
      </c>
      <c r="E534" s="1" t="s">
        <v>147</v>
      </c>
      <c r="F534" s="1">
        <v>1</v>
      </c>
      <c r="G534" s="1" t="s">
        <v>143</v>
      </c>
    </row>
    <row r="535" spans="1:9" hidden="1" x14ac:dyDescent="0.3">
      <c r="A535" s="1">
        <v>1331</v>
      </c>
      <c r="B535" s="1" t="s">
        <v>1397</v>
      </c>
      <c r="C535" s="1" t="s">
        <v>1398</v>
      </c>
      <c r="D535" s="1" t="s">
        <v>278</v>
      </c>
      <c r="E535" s="1" t="s">
        <v>147</v>
      </c>
      <c r="F535" s="1">
        <v>1</v>
      </c>
      <c r="G535" s="1" t="s">
        <v>143</v>
      </c>
    </row>
    <row r="536" spans="1:9" hidden="1" x14ac:dyDescent="0.3">
      <c r="A536" s="1">
        <v>1332</v>
      </c>
      <c r="B536" s="1" t="s">
        <v>1399</v>
      </c>
      <c r="C536" s="1" t="s">
        <v>1400</v>
      </c>
      <c r="D536" s="1" t="s">
        <v>1401</v>
      </c>
      <c r="E536" s="1" t="s">
        <v>134</v>
      </c>
      <c r="F536" s="1">
        <v>1</v>
      </c>
      <c r="G536" s="1" t="s">
        <v>143</v>
      </c>
    </row>
    <row r="537" spans="1:9" hidden="1" x14ac:dyDescent="0.3">
      <c r="A537" s="1">
        <v>1334</v>
      </c>
      <c r="B537" s="1" t="s">
        <v>1402</v>
      </c>
      <c r="C537" s="1" t="s">
        <v>1403</v>
      </c>
      <c r="D537" s="1" t="s">
        <v>1404</v>
      </c>
      <c r="E537" s="1" t="s">
        <v>215</v>
      </c>
      <c r="F537" s="1">
        <v>1</v>
      </c>
      <c r="G537" s="1" t="s">
        <v>143</v>
      </c>
    </row>
    <row r="538" spans="1:9" x14ac:dyDescent="0.3">
      <c r="A538" s="1">
        <v>1335</v>
      </c>
      <c r="B538" s="1" t="s">
        <v>1405</v>
      </c>
      <c r="C538" s="1" t="s">
        <v>1406</v>
      </c>
      <c r="D538" s="1" t="s">
        <v>1407</v>
      </c>
      <c r="E538" s="1" t="s">
        <v>215</v>
      </c>
      <c r="F538" s="1">
        <v>0</v>
      </c>
      <c r="G538" s="1" t="s">
        <v>82</v>
      </c>
      <c r="I538" s="1" t="s">
        <v>123</v>
      </c>
    </row>
    <row r="539" spans="1:9" hidden="1" x14ac:dyDescent="0.3">
      <c r="A539" s="1">
        <v>1337</v>
      </c>
      <c r="B539" s="1" t="s">
        <v>1408</v>
      </c>
      <c r="C539" s="1" t="s">
        <v>1409</v>
      </c>
      <c r="D539" s="1" t="s">
        <v>422</v>
      </c>
      <c r="E539" s="1" t="s">
        <v>340</v>
      </c>
      <c r="F539" s="1">
        <v>1</v>
      </c>
      <c r="G539" s="1" t="s">
        <v>143</v>
      </c>
    </row>
    <row r="540" spans="1:9" hidden="1" x14ac:dyDescent="0.3">
      <c r="A540" s="1">
        <v>1339</v>
      </c>
      <c r="B540" s="1" t="s">
        <v>1410</v>
      </c>
      <c r="C540" s="1" t="s">
        <v>1411</v>
      </c>
      <c r="D540" s="1" t="s">
        <v>252</v>
      </c>
      <c r="E540" s="1" t="s">
        <v>147</v>
      </c>
      <c r="F540" s="1">
        <v>1</v>
      </c>
      <c r="G540" s="1" t="s">
        <v>143</v>
      </c>
    </row>
    <row r="541" spans="1:9" hidden="1" x14ac:dyDescent="0.3">
      <c r="A541" s="1">
        <v>1340</v>
      </c>
      <c r="B541" s="1" t="s">
        <v>1412</v>
      </c>
      <c r="C541" s="1" t="s">
        <v>1413</v>
      </c>
      <c r="D541" s="1" t="s">
        <v>252</v>
      </c>
      <c r="E541" s="1" t="s">
        <v>147</v>
      </c>
      <c r="F541" s="1">
        <v>1</v>
      </c>
      <c r="G541" s="1" t="s">
        <v>143</v>
      </c>
    </row>
    <row r="542" spans="1:9" hidden="1" x14ac:dyDescent="0.3">
      <c r="A542" s="1">
        <v>1341</v>
      </c>
      <c r="B542" s="1" t="s">
        <v>1414</v>
      </c>
      <c r="C542" s="1" t="s">
        <v>1415</v>
      </c>
      <c r="D542" s="1" t="s">
        <v>422</v>
      </c>
      <c r="E542" s="1" t="s">
        <v>147</v>
      </c>
      <c r="F542" s="1">
        <v>1</v>
      </c>
      <c r="G542" s="1" t="s">
        <v>143</v>
      </c>
    </row>
    <row r="543" spans="1:9" hidden="1" x14ac:dyDescent="0.3">
      <c r="A543" s="1">
        <v>1342</v>
      </c>
      <c r="B543" s="1" t="s">
        <v>1416</v>
      </c>
      <c r="C543" s="1" t="s">
        <v>1417</v>
      </c>
      <c r="D543" s="1" t="s">
        <v>252</v>
      </c>
      <c r="E543" s="1" t="s">
        <v>147</v>
      </c>
      <c r="F543" s="1">
        <v>1</v>
      </c>
      <c r="G543" s="1" t="s">
        <v>143</v>
      </c>
    </row>
    <row r="544" spans="1:9" hidden="1" x14ac:dyDescent="0.3">
      <c r="A544" s="1">
        <v>1343</v>
      </c>
      <c r="B544" s="1" t="s">
        <v>1418</v>
      </c>
      <c r="C544" s="1" t="s">
        <v>1419</v>
      </c>
      <c r="D544" s="1" t="s">
        <v>252</v>
      </c>
      <c r="E544" s="1" t="s">
        <v>255</v>
      </c>
      <c r="F544" s="1">
        <v>0</v>
      </c>
      <c r="G544" s="1" t="s">
        <v>82</v>
      </c>
      <c r="I544" s="1" t="s">
        <v>188</v>
      </c>
    </row>
    <row r="545" spans="1:9" hidden="1" x14ac:dyDescent="0.3">
      <c r="A545" s="1">
        <v>1344</v>
      </c>
      <c r="B545" s="1" t="s">
        <v>1420</v>
      </c>
      <c r="C545" s="1" t="s">
        <v>1421</v>
      </c>
      <c r="D545" s="1" t="s">
        <v>1422</v>
      </c>
      <c r="E545" s="1" t="s">
        <v>118</v>
      </c>
      <c r="F545" s="1">
        <v>1</v>
      </c>
      <c r="G545" s="1" t="s">
        <v>143</v>
      </c>
    </row>
    <row r="546" spans="1:9" hidden="1" x14ac:dyDescent="0.3">
      <c r="A546" s="1">
        <v>1345</v>
      </c>
      <c r="B546" s="1" t="s">
        <v>1423</v>
      </c>
      <c r="C546" s="1" t="s">
        <v>1424</v>
      </c>
      <c r="D546" s="1" t="s">
        <v>1425</v>
      </c>
      <c r="E546" s="1" t="s">
        <v>111</v>
      </c>
      <c r="F546" s="1">
        <v>1</v>
      </c>
      <c r="G546" s="1" t="s">
        <v>143</v>
      </c>
    </row>
    <row r="547" spans="1:9" hidden="1" x14ac:dyDescent="0.3">
      <c r="A547" s="1">
        <v>1346</v>
      </c>
      <c r="B547" s="1" t="s">
        <v>1426</v>
      </c>
      <c r="C547" s="1" t="s">
        <v>1427</v>
      </c>
      <c r="D547" s="1" t="s">
        <v>1428</v>
      </c>
      <c r="E547" s="1" t="s">
        <v>142</v>
      </c>
      <c r="F547" s="1">
        <v>1</v>
      </c>
      <c r="G547" s="1" t="s">
        <v>143</v>
      </c>
    </row>
    <row r="548" spans="1:9" hidden="1" x14ac:dyDescent="0.3">
      <c r="A548" s="1">
        <v>1347</v>
      </c>
      <c r="B548" s="1" t="s">
        <v>1429</v>
      </c>
      <c r="C548" s="1" t="s">
        <v>1430</v>
      </c>
      <c r="D548" s="1" t="s">
        <v>252</v>
      </c>
      <c r="E548" s="1" t="s">
        <v>255</v>
      </c>
      <c r="F548" s="1">
        <v>1</v>
      </c>
      <c r="G548" s="1" t="s">
        <v>143</v>
      </c>
    </row>
    <row r="549" spans="1:9" hidden="1" x14ac:dyDescent="0.3">
      <c r="A549" s="1">
        <v>1348</v>
      </c>
      <c r="B549" s="1" t="s">
        <v>1431</v>
      </c>
      <c r="C549" s="1" t="s">
        <v>1432</v>
      </c>
      <c r="D549" s="1" t="s">
        <v>278</v>
      </c>
      <c r="E549" s="1" t="s">
        <v>255</v>
      </c>
      <c r="F549" s="1">
        <v>1</v>
      </c>
      <c r="G549" s="1" t="s">
        <v>143</v>
      </c>
      <c r="I549" s="1" t="s">
        <v>188</v>
      </c>
    </row>
    <row r="550" spans="1:9" hidden="1" x14ac:dyDescent="0.3">
      <c r="A550" s="1">
        <v>1351</v>
      </c>
      <c r="B550" s="1" t="s">
        <v>1433</v>
      </c>
      <c r="C550" s="1" t="s">
        <v>1434</v>
      </c>
      <c r="D550" s="1" t="s">
        <v>422</v>
      </c>
      <c r="E550" s="1" t="s">
        <v>147</v>
      </c>
      <c r="F550" s="1">
        <v>1</v>
      </c>
      <c r="G550" s="1" t="s">
        <v>143</v>
      </c>
    </row>
    <row r="551" spans="1:9" hidden="1" x14ac:dyDescent="0.3">
      <c r="A551" s="1">
        <v>1352</v>
      </c>
      <c r="B551" s="1" t="s">
        <v>1435</v>
      </c>
      <c r="C551" s="1" t="s">
        <v>1436</v>
      </c>
      <c r="D551" s="1" t="s">
        <v>252</v>
      </c>
      <c r="E551" s="1" t="s">
        <v>147</v>
      </c>
      <c r="F551" s="1">
        <v>1</v>
      </c>
      <c r="G551" s="1" t="s">
        <v>143</v>
      </c>
    </row>
    <row r="552" spans="1:9" hidden="1" x14ac:dyDescent="0.3">
      <c r="A552" s="1">
        <v>1353</v>
      </c>
      <c r="B552" s="1" t="s">
        <v>1437</v>
      </c>
      <c r="C552" s="1" t="s">
        <v>1438</v>
      </c>
      <c r="D552" s="1" t="s">
        <v>252</v>
      </c>
      <c r="E552" s="1" t="s">
        <v>340</v>
      </c>
      <c r="F552" s="1">
        <v>1</v>
      </c>
      <c r="G552" s="1" t="s">
        <v>143</v>
      </c>
      <c r="I552" s="1" t="s">
        <v>188</v>
      </c>
    </row>
    <row r="553" spans="1:9" hidden="1" x14ac:dyDescent="0.3">
      <c r="A553" s="1">
        <v>1354</v>
      </c>
      <c r="B553" s="1" t="s">
        <v>1439</v>
      </c>
      <c r="C553" s="1" t="s">
        <v>1440</v>
      </c>
      <c r="D553" s="1" t="s">
        <v>422</v>
      </c>
      <c r="E553" s="1" t="s">
        <v>340</v>
      </c>
      <c r="F553" s="1">
        <v>1</v>
      </c>
      <c r="G553" s="1" t="s">
        <v>143</v>
      </c>
    </row>
    <row r="554" spans="1:9" hidden="1" x14ac:dyDescent="0.3">
      <c r="A554" s="1">
        <v>1355</v>
      </c>
      <c r="B554" s="1" t="s">
        <v>1441</v>
      </c>
      <c r="C554" s="1" t="s">
        <v>1442</v>
      </c>
      <c r="D554" s="1" t="s">
        <v>422</v>
      </c>
      <c r="E554" s="1" t="s">
        <v>340</v>
      </c>
      <c r="F554" s="1">
        <v>1</v>
      </c>
      <c r="G554" s="1" t="s">
        <v>143</v>
      </c>
    </row>
    <row r="555" spans="1:9" hidden="1" x14ac:dyDescent="0.3">
      <c r="A555" s="1">
        <v>1356</v>
      </c>
      <c r="B555" s="1" t="s">
        <v>1443</v>
      </c>
      <c r="C555" s="1" t="s">
        <v>1444</v>
      </c>
      <c r="D555" s="1" t="s">
        <v>422</v>
      </c>
      <c r="E555" s="1" t="s">
        <v>340</v>
      </c>
      <c r="F555" s="1">
        <v>1</v>
      </c>
      <c r="G555" s="1" t="s">
        <v>143</v>
      </c>
    </row>
    <row r="556" spans="1:9" hidden="1" x14ac:dyDescent="0.3">
      <c r="A556" s="1">
        <v>1357</v>
      </c>
      <c r="B556" s="1" t="s">
        <v>1445</v>
      </c>
      <c r="C556" s="1" t="s">
        <v>1446</v>
      </c>
      <c r="D556" s="1" t="s">
        <v>422</v>
      </c>
      <c r="E556" s="1" t="s">
        <v>331</v>
      </c>
      <c r="F556" s="1">
        <v>1</v>
      </c>
      <c r="G556" s="1" t="s">
        <v>143</v>
      </c>
    </row>
    <row r="557" spans="1:9" hidden="1" x14ac:dyDescent="0.3">
      <c r="A557" s="1">
        <v>1358</v>
      </c>
      <c r="B557" s="1" t="s">
        <v>1447</v>
      </c>
      <c r="C557" s="1" t="s">
        <v>1448</v>
      </c>
      <c r="D557" s="1" t="s">
        <v>422</v>
      </c>
      <c r="E557" s="1" t="s">
        <v>331</v>
      </c>
      <c r="F557" s="1">
        <v>1</v>
      </c>
      <c r="G557" s="1" t="s">
        <v>143</v>
      </c>
    </row>
    <row r="558" spans="1:9" hidden="1" x14ac:dyDescent="0.3">
      <c r="A558" s="1">
        <v>1359</v>
      </c>
      <c r="B558" s="1" t="s">
        <v>1449</v>
      </c>
      <c r="C558" s="1" t="s">
        <v>1450</v>
      </c>
      <c r="D558" s="1" t="s">
        <v>422</v>
      </c>
      <c r="E558" s="1" t="s">
        <v>331</v>
      </c>
      <c r="F558" s="1">
        <v>1</v>
      </c>
      <c r="G558" s="1" t="s">
        <v>143</v>
      </c>
    </row>
    <row r="559" spans="1:9" hidden="1" x14ac:dyDescent="0.3">
      <c r="A559" s="1">
        <v>1361</v>
      </c>
      <c r="B559" s="1" t="s">
        <v>1451</v>
      </c>
      <c r="C559" s="1" t="s">
        <v>1452</v>
      </c>
      <c r="D559" s="1" t="s">
        <v>422</v>
      </c>
      <c r="E559" s="1" t="s">
        <v>331</v>
      </c>
      <c r="F559" s="1">
        <v>1</v>
      </c>
      <c r="G559" s="1" t="s">
        <v>143</v>
      </c>
    </row>
    <row r="560" spans="1:9" hidden="1" x14ac:dyDescent="0.3">
      <c r="A560" s="1">
        <v>1362</v>
      </c>
      <c r="B560" s="1" t="s">
        <v>1453</v>
      </c>
      <c r="C560" s="1" t="s">
        <v>1454</v>
      </c>
      <c r="D560" s="1" t="s">
        <v>345</v>
      </c>
      <c r="E560" s="1" t="s">
        <v>331</v>
      </c>
      <c r="F560" s="1">
        <v>1</v>
      </c>
      <c r="G560" s="1" t="s">
        <v>143</v>
      </c>
    </row>
    <row r="561" spans="1:9" hidden="1" x14ac:dyDescent="0.3">
      <c r="A561" s="1">
        <v>1363</v>
      </c>
      <c r="B561" s="1" t="s">
        <v>1455</v>
      </c>
      <c r="C561" s="1" t="s">
        <v>1456</v>
      </c>
      <c r="D561" s="1" t="s">
        <v>336</v>
      </c>
      <c r="E561" s="1" t="s">
        <v>331</v>
      </c>
      <c r="F561" s="1">
        <v>1</v>
      </c>
      <c r="G561" s="1" t="s">
        <v>143</v>
      </c>
    </row>
    <row r="562" spans="1:9" hidden="1" x14ac:dyDescent="0.3">
      <c r="A562" s="1">
        <v>1364</v>
      </c>
      <c r="B562" s="1" t="s">
        <v>1457</v>
      </c>
      <c r="C562" s="1" t="s">
        <v>1458</v>
      </c>
      <c r="D562" s="1" t="s">
        <v>1459</v>
      </c>
      <c r="E562" s="1" t="s">
        <v>170</v>
      </c>
      <c r="F562" s="1">
        <v>1</v>
      </c>
      <c r="G562" s="1" t="s">
        <v>143</v>
      </c>
      <c r="I562" s="1" t="s">
        <v>123</v>
      </c>
    </row>
    <row r="563" spans="1:9" hidden="1" x14ac:dyDescent="0.3">
      <c r="A563" s="1">
        <v>1365</v>
      </c>
      <c r="B563" s="1" t="s">
        <v>1460</v>
      </c>
      <c r="C563" s="1" t="s">
        <v>1461</v>
      </c>
      <c r="D563" s="1" t="s">
        <v>1096</v>
      </c>
      <c r="E563" s="1" t="s">
        <v>65</v>
      </c>
      <c r="F563" s="1">
        <v>1</v>
      </c>
      <c r="G563" s="1" t="s">
        <v>143</v>
      </c>
    </row>
    <row r="564" spans="1:9" hidden="1" x14ac:dyDescent="0.3">
      <c r="A564" s="1">
        <v>1366</v>
      </c>
      <c r="B564" s="1" t="s">
        <v>1462</v>
      </c>
      <c r="C564" s="1" t="s">
        <v>1463</v>
      </c>
      <c r="D564" s="1" t="s">
        <v>1464</v>
      </c>
      <c r="E564" s="1" t="s">
        <v>645</v>
      </c>
      <c r="F564" s="1">
        <v>0</v>
      </c>
      <c r="G564" s="1" t="s">
        <v>82</v>
      </c>
      <c r="H564" s="1" t="s">
        <v>1465</v>
      </c>
      <c r="I564" s="1" t="s">
        <v>84</v>
      </c>
    </row>
    <row r="565" spans="1:9" hidden="1" x14ac:dyDescent="0.3">
      <c r="A565" s="1">
        <v>1367</v>
      </c>
      <c r="B565" s="1" t="s">
        <v>1466</v>
      </c>
      <c r="C565" s="1" t="s">
        <v>1467</v>
      </c>
      <c r="D565" s="1" t="s">
        <v>252</v>
      </c>
      <c r="E565" s="1" t="s">
        <v>147</v>
      </c>
      <c r="F565" s="1">
        <v>1</v>
      </c>
      <c r="G565" s="1" t="s">
        <v>143</v>
      </c>
    </row>
    <row r="566" spans="1:9" hidden="1" x14ac:dyDescent="0.3">
      <c r="A566" s="1">
        <v>1369</v>
      </c>
      <c r="B566" s="1" t="s">
        <v>1468</v>
      </c>
      <c r="C566" s="1" t="s">
        <v>1469</v>
      </c>
      <c r="D566" s="1" t="s">
        <v>345</v>
      </c>
      <c r="E566" s="1" t="s">
        <v>331</v>
      </c>
      <c r="F566" s="1">
        <v>1</v>
      </c>
      <c r="G566" s="1" t="s">
        <v>143</v>
      </c>
    </row>
    <row r="567" spans="1:9" hidden="1" x14ac:dyDescent="0.3">
      <c r="A567" s="1">
        <v>1370</v>
      </c>
      <c r="B567" s="1" t="s">
        <v>1470</v>
      </c>
      <c r="C567" s="1" t="s">
        <v>1471</v>
      </c>
      <c r="D567" s="1" t="s">
        <v>278</v>
      </c>
      <c r="E567" s="1" t="s">
        <v>340</v>
      </c>
      <c r="F567" s="1">
        <v>0</v>
      </c>
      <c r="G567" s="1" t="s">
        <v>82</v>
      </c>
      <c r="I567" s="1" t="s">
        <v>188</v>
      </c>
    </row>
    <row r="568" spans="1:9" hidden="1" x14ac:dyDescent="0.3">
      <c r="A568" s="1">
        <v>1371</v>
      </c>
      <c r="B568" s="1" t="s">
        <v>1472</v>
      </c>
      <c r="C568" s="1" t="s">
        <v>1473</v>
      </c>
      <c r="D568" s="1" t="s">
        <v>345</v>
      </c>
      <c r="E568" s="1" t="s">
        <v>255</v>
      </c>
      <c r="F568" s="1">
        <v>1</v>
      </c>
      <c r="G568" s="1" t="s">
        <v>143</v>
      </c>
    </row>
    <row r="569" spans="1:9" hidden="1" x14ac:dyDescent="0.3">
      <c r="A569" s="1">
        <v>1372</v>
      </c>
      <c r="B569" s="1" t="s">
        <v>1474</v>
      </c>
      <c r="C569" s="1" t="s">
        <v>1475</v>
      </c>
      <c r="D569" s="1" t="s">
        <v>345</v>
      </c>
      <c r="E569" s="1" t="s">
        <v>331</v>
      </c>
      <c r="F569" s="1">
        <v>1</v>
      </c>
      <c r="G569" s="1" t="s">
        <v>143</v>
      </c>
    </row>
    <row r="570" spans="1:9" hidden="1" x14ac:dyDescent="0.3">
      <c r="A570" s="1">
        <v>1373</v>
      </c>
      <c r="B570" s="1" t="s">
        <v>1476</v>
      </c>
      <c r="C570" s="1" t="s">
        <v>1477</v>
      </c>
      <c r="D570" s="1" t="s">
        <v>252</v>
      </c>
      <c r="E570" s="1" t="s">
        <v>255</v>
      </c>
      <c r="F570" s="1">
        <v>1</v>
      </c>
      <c r="G570" s="1" t="s">
        <v>143</v>
      </c>
    </row>
    <row r="571" spans="1:9" hidden="1" x14ac:dyDescent="0.3">
      <c r="A571" s="1">
        <v>1374</v>
      </c>
      <c r="B571" s="1" t="s">
        <v>1478</v>
      </c>
      <c r="C571" s="1" t="s">
        <v>1479</v>
      </c>
      <c r="D571" s="1" t="s">
        <v>252</v>
      </c>
      <c r="E571" s="1" t="s">
        <v>147</v>
      </c>
      <c r="F571" s="1">
        <v>1</v>
      </c>
      <c r="G571" s="1" t="s">
        <v>143</v>
      </c>
    </row>
    <row r="572" spans="1:9" hidden="1" x14ac:dyDescent="0.3">
      <c r="A572" s="1">
        <v>1375</v>
      </c>
      <c r="B572" s="1" t="s">
        <v>1480</v>
      </c>
      <c r="C572" s="1" t="s">
        <v>1481</v>
      </c>
      <c r="D572" s="1" t="s">
        <v>345</v>
      </c>
      <c r="E572" s="1" t="s">
        <v>331</v>
      </c>
      <c r="F572" s="1">
        <v>1</v>
      </c>
      <c r="G572" s="1" t="s">
        <v>143</v>
      </c>
    </row>
    <row r="573" spans="1:9" hidden="1" x14ac:dyDescent="0.3">
      <c r="A573" s="1">
        <v>1376</v>
      </c>
      <c r="B573" s="1" t="s">
        <v>1482</v>
      </c>
      <c r="C573" s="1" t="s">
        <v>1483</v>
      </c>
      <c r="D573" s="1" t="s">
        <v>252</v>
      </c>
      <c r="E573" s="1" t="s">
        <v>147</v>
      </c>
      <c r="F573" s="1">
        <v>1</v>
      </c>
      <c r="G573" s="1" t="s">
        <v>143</v>
      </c>
    </row>
    <row r="574" spans="1:9" hidden="1" x14ac:dyDescent="0.3">
      <c r="A574" s="1">
        <v>1377</v>
      </c>
      <c r="B574" s="1" t="s">
        <v>1484</v>
      </c>
      <c r="C574" s="1" t="s">
        <v>1485</v>
      </c>
      <c r="D574" s="1" t="s">
        <v>422</v>
      </c>
      <c r="E574" s="1" t="s">
        <v>147</v>
      </c>
      <c r="F574" s="1">
        <v>1</v>
      </c>
      <c r="G574" s="1" t="s">
        <v>143</v>
      </c>
    </row>
    <row r="575" spans="1:9" hidden="1" x14ac:dyDescent="0.3">
      <c r="A575" s="1">
        <v>1378</v>
      </c>
      <c r="B575" s="1" t="s">
        <v>1486</v>
      </c>
      <c r="C575" s="1" t="s">
        <v>1487</v>
      </c>
      <c r="D575" s="1" t="s">
        <v>345</v>
      </c>
      <c r="E575" s="1" t="s">
        <v>331</v>
      </c>
      <c r="F575" s="1">
        <v>1</v>
      </c>
      <c r="G575" s="1" t="s">
        <v>143</v>
      </c>
    </row>
    <row r="576" spans="1:9" hidden="1" x14ac:dyDescent="0.3">
      <c r="A576" s="1">
        <v>1380</v>
      </c>
      <c r="B576" s="1" t="s">
        <v>1488</v>
      </c>
      <c r="C576" s="1" t="s">
        <v>1489</v>
      </c>
      <c r="D576" s="1" t="s">
        <v>422</v>
      </c>
      <c r="E576" s="1" t="s">
        <v>147</v>
      </c>
      <c r="F576" s="1">
        <v>1</v>
      </c>
      <c r="G576" s="1" t="s">
        <v>143</v>
      </c>
    </row>
    <row r="577" spans="1:9" hidden="1" x14ac:dyDescent="0.3">
      <c r="A577" s="1">
        <v>1382</v>
      </c>
      <c r="B577" s="1" t="s">
        <v>1490</v>
      </c>
      <c r="C577" s="1" t="s">
        <v>1491</v>
      </c>
      <c r="D577" s="1" t="s">
        <v>278</v>
      </c>
      <c r="E577" s="1" t="s">
        <v>331</v>
      </c>
      <c r="F577" s="1">
        <v>1</v>
      </c>
      <c r="G577" s="1" t="s">
        <v>143</v>
      </c>
    </row>
    <row r="578" spans="1:9" hidden="1" x14ac:dyDescent="0.3">
      <c r="A578" s="1">
        <v>1383</v>
      </c>
      <c r="B578" s="1" t="s">
        <v>1492</v>
      </c>
      <c r="C578" s="1" t="s">
        <v>1493</v>
      </c>
      <c r="D578" s="1" t="s">
        <v>756</v>
      </c>
      <c r="E578" s="1" t="s">
        <v>111</v>
      </c>
      <c r="F578" s="1">
        <v>1</v>
      </c>
      <c r="G578" s="1" t="s">
        <v>143</v>
      </c>
    </row>
    <row r="579" spans="1:9" hidden="1" x14ac:dyDescent="0.3">
      <c r="A579" s="1">
        <v>1384</v>
      </c>
      <c r="B579" s="1" t="s">
        <v>1494</v>
      </c>
      <c r="C579" s="1" t="s">
        <v>1495</v>
      </c>
      <c r="D579" s="1" t="s">
        <v>934</v>
      </c>
      <c r="E579" s="1" t="s">
        <v>170</v>
      </c>
      <c r="F579" s="1">
        <v>1</v>
      </c>
      <c r="G579" s="1" t="s">
        <v>143</v>
      </c>
    </row>
    <row r="580" spans="1:9" hidden="1" x14ac:dyDescent="0.3">
      <c r="A580" s="1">
        <v>1385</v>
      </c>
      <c r="B580" s="1" t="s">
        <v>1496</v>
      </c>
      <c r="C580" s="1" t="s">
        <v>1497</v>
      </c>
      <c r="D580" s="1" t="s">
        <v>1498</v>
      </c>
      <c r="E580" s="1" t="s">
        <v>289</v>
      </c>
      <c r="F580" s="1">
        <v>1</v>
      </c>
      <c r="G580" s="1" t="s">
        <v>143</v>
      </c>
    </row>
    <row r="581" spans="1:9" hidden="1" x14ac:dyDescent="0.3">
      <c r="A581" s="1">
        <v>1386</v>
      </c>
      <c r="B581" s="1" t="s">
        <v>1499</v>
      </c>
      <c r="C581" s="1" t="s">
        <v>1500</v>
      </c>
      <c r="D581" s="1" t="s">
        <v>345</v>
      </c>
      <c r="E581" s="1" t="s">
        <v>331</v>
      </c>
      <c r="F581" s="1">
        <v>1</v>
      </c>
      <c r="G581" s="1" t="s">
        <v>143</v>
      </c>
    </row>
    <row r="582" spans="1:9" hidden="1" x14ac:dyDescent="0.3">
      <c r="A582" s="1">
        <v>1387</v>
      </c>
      <c r="B582" s="1" t="s">
        <v>1501</v>
      </c>
      <c r="C582" s="1" t="s">
        <v>1502</v>
      </c>
      <c r="D582" s="1" t="s">
        <v>252</v>
      </c>
      <c r="E582" s="1" t="s">
        <v>147</v>
      </c>
      <c r="F582" s="1">
        <v>1</v>
      </c>
      <c r="G582" s="1" t="s">
        <v>143</v>
      </c>
    </row>
    <row r="583" spans="1:9" hidden="1" x14ac:dyDescent="0.3">
      <c r="A583" s="1">
        <v>1388</v>
      </c>
      <c r="B583" s="1" t="s">
        <v>1503</v>
      </c>
      <c r="C583" s="1" t="s">
        <v>1504</v>
      </c>
      <c r="D583" s="1" t="s">
        <v>422</v>
      </c>
      <c r="E583" s="1" t="s">
        <v>255</v>
      </c>
      <c r="F583" s="1">
        <v>1</v>
      </c>
      <c r="G583" s="1" t="s">
        <v>143</v>
      </c>
    </row>
    <row r="584" spans="1:9" hidden="1" x14ac:dyDescent="0.3">
      <c r="A584" s="1">
        <v>1389</v>
      </c>
      <c r="B584" s="1" t="s">
        <v>1505</v>
      </c>
      <c r="C584" s="1" t="s">
        <v>1506</v>
      </c>
      <c r="D584" s="1" t="s">
        <v>422</v>
      </c>
      <c r="E584" s="1" t="s">
        <v>340</v>
      </c>
      <c r="F584" s="1">
        <v>1</v>
      </c>
      <c r="G584" s="1" t="s">
        <v>143</v>
      </c>
    </row>
    <row r="585" spans="1:9" hidden="1" x14ac:dyDescent="0.3">
      <c r="A585" s="1">
        <v>1390</v>
      </c>
      <c r="B585" s="1" t="s">
        <v>1507</v>
      </c>
      <c r="C585" s="1" t="s">
        <v>1508</v>
      </c>
      <c r="D585" s="1" t="s">
        <v>252</v>
      </c>
      <c r="E585" s="1" t="s">
        <v>147</v>
      </c>
      <c r="F585" s="1">
        <v>1</v>
      </c>
      <c r="G585" s="1" t="s">
        <v>143</v>
      </c>
    </row>
    <row r="586" spans="1:9" hidden="1" x14ac:dyDescent="0.3">
      <c r="A586" s="1">
        <v>1391</v>
      </c>
      <c r="B586" s="1" t="s">
        <v>1509</v>
      </c>
      <c r="C586" s="1" t="s">
        <v>1510</v>
      </c>
      <c r="D586" s="1" t="s">
        <v>252</v>
      </c>
      <c r="E586" s="1" t="s">
        <v>340</v>
      </c>
      <c r="F586" s="1">
        <v>1</v>
      </c>
      <c r="G586" s="1" t="s">
        <v>143</v>
      </c>
    </row>
    <row r="587" spans="1:9" hidden="1" x14ac:dyDescent="0.3">
      <c r="A587" s="1">
        <v>1392</v>
      </c>
      <c r="B587" s="1" t="s">
        <v>1511</v>
      </c>
      <c r="C587" s="1" t="s">
        <v>1512</v>
      </c>
      <c r="D587" s="1" t="s">
        <v>252</v>
      </c>
      <c r="E587" s="1" t="s">
        <v>147</v>
      </c>
      <c r="F587" s="1">
        <v>0</v>
      </c>
      <c r="G587" s="1" t="s">
        <v>82</v>
      </c>
      <c r="I587" s="1" t="s">
        <v>188</v>
      </c>
    </row>
    <row r="588" spans="1:9" hidden="1" x14ac:dyDescent="0.3">
      <c r="A588" s="1">
        <v>1393</v>
      </c>
      <c r="B588" s="1" t="s">
        <v>1513</v>
      </c>
      <c r="C588" s="1" t="s">
        <v>1514</v>
      </c>
      <c r="D588" s="1" t="s">
        <v>252</v>
      </c>
      <c r="E588" s="1" t="s">
        <v>147</v>
      </c>
      <c r="F588" s="1">
        <v>1</v>
      </c>
      <c r="G588" s="1" t="s">
        <v>143</v>
      </c>
    </row>
    <row r="589" spans="1:9" hidden="1" x14ac:dyDescent="0.3">
      <c r="A589" s="1">
        <v>1394</v>
      </c>
      <c r="B589" s="1" t="s">
        <v>1515</v>
      </c>
      <c r="C589" s="1" t="s">
        <v>1516</v>
      </c>
      <c r="D589" s="1" t="s">
        <v>252</v>
      </c>
      <c r="E589" s="1" t="s">
        <v>147</v>
      </c>
      <c r="F589" s="1">
        <v>0</v>
      </c>
      <c r="G589" s="1" t="s">
        <v>82</v>
      </c>
      <c r="I589" s="1" t="s">
        <v>188</v>
      </c>
    </row>
    <row r="590" spans="1:9" hidden="1" x14ac:dyDescent="0.3">
      <c r="A590" s="1">
        <v>1395</v>
      </c>
      <c r="B590" s="1" t="s">
        <v>1517</v>
      </c>
      <c r="C590" s="1" t="s">
        <v>1518</v>
      </c>
      <c r="D590" s="1" t="s">
        <v>852</v>
      </c>
      <c r="E590" s="1" t="s">
        <v>215</v>
      </c>
      <c r="F590" s="1">
        <v>1</v>
      </c>
      <c r="G590" s="1" t="s">
        <v>143</v>
      </c>
    </row>
    <row r="591" spans="1:9" hidden="1" x14ac:dyDescent="0.3">
      <c r="A591" s="1">
        <v>1396</v>
      </c>
      <c r="B591" s="1" t="s">
        <v>1519</v>
      </c>
      <c r="C591" s="1" t="s">
        <v>1520</v>
      </c>
      <c r="D591" s="1" t="s">
        <v>1521</v>
      </c>
      <c r="E591" s="1" t="s">
        <v>142</v>
      </c>
      <c r="F591" s="1">
        <v>0</v>
      </c>
      <c r="G591" s="1" t="s">
        <v>82</v>
      </c>
      <c r="I591" s="1" t="s">
        <v>123</v>
      </c>
    </row>
    <row r="592" spans="1:9" hidden="1" x14ac:dyDescent="0.3">
      <c r="A592" s="1">
        <v>1397</v>
      </c>
      <c r="B592" s="1" t="s">
        <v>1522</v>
      </c>
      <c r="C592" s="1" t="s">
        <v>1523</v>
      </c>
      <c r="D592" s="1" t="s">
        <v>1524</v>
      </c>
      <c r="E592" s="1" t="s">
        <v>91</v>
      </c>
      <c r="F592" s="1">
        <v>0</v>
      </c>
      <c r="G592" s="1" t="s">
        <v>82</v>
      </c>
      <c r="H592" s="1" t="s">
        <v>1525</v>
      </c>
      <c r="I592" s="1" t="s">
        <v>123</v>
      </c>
    </row>
    <row r="593" spans="1:9" hidden="1" x14ac:dyDescent="0.3">
      <c r="A593" s="1">
        <v>1398</v>
      </c>
      <c r="B593" s="1" t="s">
        <v>1526</v>
      </c>
      <c r="C593" s="1" t="s">
        <v>1527</v>
      </c>
      <c r="D593" s="1" t="s">
        <v>270</v>
      </c>
      <c r="E593" s="1" t="s">
        <v>147</v>
      </c>
      <c r="F593" s="1">
        <v>1</v>
      </c>
      <c r="G593" s="1" t="s">
        <v>143</v>
      </c>
    </row>
    <row r="594" spans="1:9" hidden="1" x14ac:dyDescent="0.3">
      <c r="A594" s="1">
        <v>1399</v>
      </c>
      <c r="B594" s="1" t="s">
        <v>1528</v>
      </c>
      <c r="C594" s="1" t="s">
        <v>1529</v>
      </c>
      <c r="D594" s="1" t="s">
        <v>422</v>
      </c>
      <c r="E594" s="1" t="s">
        <v>147</v>
      </c>
      <c r="F594" s="1">
        <v>1</v>
      </c>
      <c r="G594" s="1" t="s">
        <v>143</v>
      </c>
    </row>
    <row r="595" spans="1:9" hidden="1" x14ac:dyDescent="0.3">
      <c r="A595" s="1">
        <v>1400</v>
      </c>
      <c r="B595" s="1" t="s">
        <v>1530</v>
      </c>
      <c r="C595" s="1" t="s">
        <v>1531</v>
      </c>
      <c r="D595" s="1" t="s">
        <v>422</v>
      </c>
      <c r="E595" s="1" t="s">
        <v>255</v>
      </c>
      <c r="F595" s="1">
        <v>1</v>
      </c>
      <c r="G595" s="1" t="s">
        <v>143</v>
      </c>
    </row>
    <row r="596" spans="1:9" hidden="1" x14ac:dyDescent="0.3">
      <c r="A596" s="1">
        <v>1401</v>
      </c>
      <c r="B596" s="1" t="s">
        <v>1532</v>
      </c>
      <c r="C596" s="1" t="s">
        <v>1533</v>
      </c>
      <c r="D596" s="1" t="s">
        <v>422</v>
      </c>
      <c r="E596" s="1" t="s">
        <v>147</v>
      </c>
      <c r="F596" s="1">
        <v>1</v>
      </c>
      <c r="G596" s="1" t="s">
        <v>143</v>
      </c>
    </row>
    <row r="597" spans="1:9" hidden="1" x14ac:dyDescent="0.3">
      <c r="A597" s="1">
        <v>1402</v>
      </c>
      <c r="B597" s="1" t="s">
        <v>1534</v>
      </c>
      <c r="C597" s="1" t="s">
        <v>1535</v>
      </c>
      <c r="D597" s="1" t="s">
        <v>252</v>
      </c>
      <c r="E597" s="1" t="s">
        <v>147</v>
      </c>
      <c r="F597" s="1">
        <v>1</v>
      </c>
      <c r="G597" s="1" t="s">
        <v>143</v>
      </c>
    </row>
    <row r="598" spans="1:9" hidden="1" x14ac:dyDescent="0.3">
      <c r="A598" s="1">
        <v>1403</v>
      </c>
      <c r="B598" s="1" t="s">
        <v>1536</v>
      </c>
      <c r="C598" s="1" t="s">
        <v>1537</v>
      </c>
      <c r="D598" s="1" t="s">
        <v>422</v>
      </c>
      <c r="E598" s="1" t="s">
        <v>147</v>
      </c>
      <c r="F598" s="1">
        <v>1</v>
      </c>
      <c r="G598" s="1" t="s">
        <v>143</v>
      </c>
    </row>
    <row r="599" spans="1:9" hidden="1" x14ac:dyDescent="0.3">
      <c r="A599" s="1">
        <v>1404</v>
      </c>
      <c r="B599" s="1" t="s">
        <v>1538</v>
      </c>
      <c r="C599" s="1" t="s">
        <v>1539</v>
      </c>
      <c r="D599" s="1" t="s">
        <v>1113</v>
      </c>
      <c r="E599" s="1" t="s">
        <v>259</v>
      </c>
      <c r="F599" s="1">
        <v>1</v>
      </c>
      <c r="G599" s="1" t="s">
        <v>143</v>
      </c>
    </row>
    <row r="600" spans="1:9" hidden="1" x14ac:dyDescent="0.3">
      <c r="A600" s="1">
        <v>1405</v>
      </c>
      <c r="B600" s="1" t="s">
        <v>1540</v>
      </c>
      <c r="C600" s="1" t="s">
        <v>1541</v>
      </c>
      <c r="D600" s="1" t="s">
        <v>422</v>
      </c>
      <c r="E600" s="1" t="s">
        <v>340</v>
      </c>
      <c r="F600" s="1">
        <v>1</v>
      </c>
      <c r="G600" s="1" t="s">
        <v>143</v>
      </c>
    </row>
    <row r="601" spans="1:9" hidden="1" x14ac:dyDescent="0.3">
      <c r="A601" s="1">
        <v>1406</v>
      </c>
      <c r="B601" s="1" t="s">
        <v>1542</v>
      </c>
      <c r="C601" s="1" t="s">
        <v>1543</v>
      </c>
      <c r="D601" s="1" t="s">
        <v>1544</v>
      </c>
      <c r="E601" s="1" t="s">
        <v>1019</v>
      </c>
      <c r="F601" s="1">
        <v>0</v>
      </c>
      <c r="G601" s="1" t="s">
        <v>82</v>
      </c>
      <c r="I601" s="1" t="s">
        <v>123</v>
      </c>
    </row>
    <row r="602" spans="1:9" hidden="1" x14ac:dyDescent="0.3">
      <c r="A602" s="1">
        <v>1407</v>
      </c>
      <c r="B602" s="1" t="s">
        <v>1545</v>
      </c>
      <c r="C602" s="1" t="s">
        <v>1546</v>
      </c>
      <c r="D602" s="1" t="s">
        <v>1547</v>
      </c>
      <c r="E602" s="1" t="s">
        <v>111</v>
      </c>
      <c r="F602" s="1">
        <v>1</v>
      </c>
      <c r="G602" s="1" t="s">
        <v>143</v>
      </c>
    </row>
    <row r="603" spans="1:9" hidden="1" x14ac:dyDescent="0.3">
      <c r="A603" s="1">
        <v>1408</v>
      </c>
      <c r="B603" s="1" t="s">
        <v>1548</v>
      </c>
      <c r="C603" s="1" t="s">
        <v>1549</v>
      </c>
      <c r="D603" s="1" t="s">
        <v>562</v>
      </c>
      <c r="E603" s="1" t="s">
        <v>111</v>
      </c>
      <c r="F603" s="1">
        <v>0</v>
      </c>
      <c r="G603" s="1" t="s">
        <v>82</v>
      </c>
      <c r="I603" s="1" t="s">
        <v>123</v>
      </c>
    </row>
    <row r="604" spans="1:9" hidden="1" x14ac:dyDescent="0.3">
      <c r="A604" s="1">
        <v>1409</v>
      </c>
      <c r="B604" s="1" t="s">
        <v>1550</v>
      </c>
      <c r="C604" s="1" t="s">
        <v>1551</v>
      </c>
      <c r="D604" s="1" t="s">
        <v>1552</v>
      </c>
      <c r="E604" s="1" t="s">
        <v>111</v>
      </c>
      <c r="F604" s="1">
        <v>1</v>
      </c>
      <c r="G604" s="1" t="s">
        <v>143</v>
      </c>
    </row>
    <row r="605" spans="1:9" hidden="1" x14ac:dyDescent="0.3">
      <c r="A605" s="1">
        <v>1410</v>
      </c>
      <c r="B605" s="1" t="s">
        <v>1553</v>
      </c>
      <c r="C605" s="1" t="s">
        <v>1554</v>
      </c>
      <c r="D605" s="1" t="s">
        <v>1555</v>
      </c>
      <c r="E605" s="1" t="s">
        <v>111</v>
      </c>
      <c r="F605" s="1">
        <v>1</v>
      </c>
      <c r="G605" s="1" t="s">
        <v>143</v>
      </c>
    </row>
    <row r="606" spans="1:9" hidden="1" x14ac:dyDescent="0.3">
      <c r="A606" s="1">
        <v>1411</v>
      </c>
      <c r="B606" s="1" t="s">
        <v>1556</v>
      </c>
      <c r="C606" s="1" t="s">
        <v>1557</v>
      </c>
      <c r="D606" s="1" t="s">
        <v>1555</v>
      </c>
      <c r="E606" s="1" t="s">
        <v>111</v>
      </c>
      <c r="F606" s="1">
        <v>1</v>
      </c>
      <c r="G606" s="1" t="s">
        <v>143</v>
      </c>
    </row>
    <row r="607" spans="1:9" hidden="1" x14ac:dyDescent="0.3">
      <c r="A607" s="1">
        <v>1412</v>
      </c>
      <c r="B607" s="1" t="s">
        <v>1558</v>
      </c>
      <c r="C607" s="1" t="s">
        <v>1559</v>
      </c>
      <c r="D607" s="1" t="s">
        <v>1555</v>
      </c>
      <c r="E607" s="1" t="s">
        <v>111</v>
      </c>
      <c r="F607" s="1">
        <v>0</v>
      </c>
      <c r="G607" s="1" t="s">
        <v>82</v>
      </c>
      <c r="I607" s="1" t="s">
        <v>123</v>
      </c>
    </row>
    <row r="608" spans="1:9" hidden="1" x14ac:dyDescent="0.3">
      <c r="A608" s="1">
        <v>1413</v>
      </c>
      <c r="B608" s="1" t="s">
        <v>1560</v>
      </c>
      <c r="C608" s="1" t="s">
        <v>1561</v>
      </c>
      <c r="D608" s="1" t="s">
        <v>1555</v>
      </c>
      <c r="E608" s="1" t="s">
        <v>111</v>
      </c>
      <c r="F608" s="1">
        <v>1</v>
      </c>
      <c r="G608" s="1" t="s">
        <v>143</v>
      </c>
    </row>
    <row r="609" spans="1:9" hidden="1" x14ac:dyDescent="0.3">
      <c r="A609" s="1">
        <v>1414</v>
      </c>
      <c r="B609" s="1" t="s">
        <v>1562</v>
      </c>
      <c r="C609" s="1" t="s">
        <v>1563</v>
      </c>
      <c r="D609" s="1" t="s">
        <v>447</v>
      </c>
      <c r="E609" s="1" t="s">
        <v>111</v>
      </c>
      <c r="F609" s="1">
        <v>0</v>
      </c>
      <c r="G609" s="1" t="s">
        <v>82</v>
      </c>
      <c r="I609" s="1" t="s">
        <v>123</v>
      </c>
    </row>
    <row r="610" spans="1:9" hidden="1" x14ac:dyDescent="0.3">
      <c r="A610" s="1">
        <v>1415</v>
      </c>
      <c r="B610" s="1" t="s">
        <v>1564</v>
      </c>
      <c r="C610" s="1" t="s">
        <v>1565</v>
      </c>
      <c r="D610" s="1" t="s">
        <v>283</v>
      </c>
      <c r="E610" s="1" t="s">
        <v>197</v>
      </c>
      <c r="F610" s="1">
        <v>1</v>
      </c>
      <c r="G610" s="1" t="s">
        <v>143</v>
      </c>
    </row>
    <row r="611" spans="1:9" hidden="1" x14ac:dyDescent="0.3">
      <c r="A611" s="1">
        <v>1416</v>
      </c>
      <c r="B611" s="1" t="s">
        <v>1566</v>
      </c>
      <c r="C611" s="1" t="s">
        <v>1567</v>
      </c>
      <c r="D611" s="1" t="s">
        <v>230</v>
      </c>
      <c r="E611" s="1" t="s">
        <v>197</v>
      </c>
      <c r="F611" s="1">
        <v>1</v>
      </c>
      <c r="G611" s="1" t="s">
        <v>143</v>
      </c>
      <c r="I611" s="1" t="s">
        <v>123</v>
      </c>
    </row>
    <row r="612" spans="1:9" hidden="1" x14ac:dyDescent="0.3">
      <c r="A612" s="1">
        <v>1418</v>
      </c>
      <c r="B612" s="1" t="s">
        <v>1568</v>
      </c>
      <c r="C612" s="1" t="s">
        <v>1569</v>
      </c>
      <c r="D612" s="1" t="s">
        <v>252</v>
      </c>
      <c r="E612" s="1" t="s">
        <v>147</v>
      </c>
      <c r="F612" s="1">
        <v>0</v>
      </c>
      <c r="G612" s="1" t="s">
        <v>82</v>
      </c>
      <c r="I612" s="1" t="s">
        <v>188</v>
      </c>
    </row>
    <row r="613" spans="1:9" hidden="1" x14ac:dyDescent="0.3">
      <c r="A613" s="1">
        <v>1427</v>
      </c>
      <c r="B613" s="1" t="s">
        <v>1570</v>
      </c>
      <c r="C613" s="1" t="s">
        <v>1571</v>
      </c>
      <c r="D613" s="1" t="s">
        <v>278</v>
      </c>
      <c r="E613" s="1" t="s">
        <v>147</v>
      </c>
      <c r="F613" s="1">
        <v>1</v>
      </c>
      <c r="G613" s="1" t="s">
        <v>143</v>
      </c>
    </row>
    <row r="614" spans="1:9" hidden="1" x14ac:dyDescent="0.3">
      <c r="A614" s="1">
        <v>1430</v>
      </c>
      <c r="B614" s="1" t="s">
        <v>1572</v>
      </c>
      <c r="C614" s="1" t="s">
        <v>1573</v>
      </c>
      <c r="D614" s="1" t="s">
        <v>1574</v>
      </c>
      <c r="E614" s="1" t="s">
        <v>142</v>
      </c>
      <c r="F614" s="1">
        <v>1</v>
      </c>
      <c r="G614" s="1" t="s">
        <v>143</v>
      </c>
    </row>
    <row r="615" spans="1:9" hidden="1" x14ac:dyDescent="0.3">
      <c r="A615" s="1">
        <v>1442</v>
      </c>
      <c r="B615" s="1" t="s">
        <v>1575</v>
      </c>
      <c r="C615" s="1" t="s">
        <v>1576</v>
      </c>
      <c r="D615" s="1" t="s">
        <v>336</v>
      </c>
      <c r="E615" s="1" t="s">
        <v>331</v>
      </c>
      <c r="F615" s="1">
        <v>1</v>
      </c>
      <c r="G615" s="1" t="s">
        <v>143</v>
      </c>
      <c r="I615" s="1" t="s">
        <v>188</v>
      </c>
    </row>
    <row r="616" spans="1:9" hidden="1" x14ac:dyDescent="0.3">
      <c r="A616" s="1">
        <v>1443</v>
      </c>
      <c r="B616" s="1" t="s">
        <v>1577</v>
      </c>
      <c r="C616" s="1" t="s">
        <v>1578</v>
      </c>
      <c r="D616" s="1" t="s">
        <v>267</v>
      </c>
      <c r="E616" s="1" t="s">
        <v>340</v>
      </c>
      <c r="F616" s="1">
        <v>1</v>
      </c>
      <c r="G616" s="1" t="s">
        <v>143</v>
      </c>
    </row>
    <row r="617" spans="1:9" hidden="1" x14ac:dyDescent="0.3">
      <c r="A617" s="1">
        <v>1444</v>
      </c>
      <c r="B617" s="1" t="s">
        <v>1579</v>
      </c>
      <c r="C617" s="1" t="s">
        <v>1580</v>
      </c>
      <c r="D617" s="1" t="s">
        <v>252</v>
      </c>
      <c r="E617" s="1" t="s">
        <v>340</v>
      </c>
      <c r="F617" s="1">
        <v>1</v>
      </c>
      <c r="G617" s="1" t="s">
        <v>143</v>
      </c>
      <c r="I617" s="1" t="s">
        <v>188</v>
      </c>
    </row>
    <row r="618" spans="1:9" hidden="1" x14ac:dyDescent="0.3">
      <c r="A618" s="1">
        <v>1445</v>
      </c>
      <c r="B618" s="1" t="s">
        <v>1581</v>
      </c>
      <c r="C618" s="1" t="s">
        <v>1582</v>
      </c>
      <c r="D618" s="1" t="s">
        <v>1583</v>
      </c>
      <c r="E618" s="1" t="s">
        <v>91</v>
      </c>
      <c r="F618" s="1">
        <v>1</v>
      </c>
      <c r="G618" s="1" t="s">
        <v>143</v>
      </c>
      <c r="I618" s="1" t="s">
        <v>123</v>
      </c>
    </row>
    <row r="619" spans="1:9" hidden="1" x14ac:dyDescent="0.3">
      <c r="A619" s="1">
        <v>1446</v>
      </c>
      <c r="B619" s="1" t="s">
        <v>1584</v>
      </c>
      <c r="C619" s="1" t="s">
        <v>1585</v>
      </c>
      <c r="D619" s="1" t="s">
        <v>1586</v>
      </c>
      <c r="E619" s="1" t="s">
        <v>91</v>
      </c>
      <c r="F619" s="1">
        <v>0</v>
      </c>
      <c r="G619" s="1" t="s">
        <v>82</v>
      </c>
      <c r="I619" s="1" t="s">
        <v>123</v>
      </c>
    </row>
    <row r="620" spans="1:9" hidden="1" x14ac:dyDescent="0.3">
      <c r="A620" s="1">
        <v>1447</v>
      </c>
      <c r="B620" s="1" t="s">
        <v>1587</v>
      </c>
      <c r="C620" s="1" t="s">
        <v>1588</v>
      </c>
      <c r="D620" s="1" t="s">
        <v>278</v>
      </c>
      <c r="E620" s="1" t="s">
        <v>255</v>
      </c>
      <c r="F620" s="1">
        <v>0</v>
      </c>
      <c r="G620" s="1" t="s">
        <v>82</v>
      </c>
      <c r="I620" s="1" t="s">
        <v>188</v>
      </c>
    </row>
    <row r="621" spans="1:9" hidden="1" x14ac:dyDescent="0.3">
      <c r="A621" s="1">
        <v>1450</v>
      </c>
      <c r="B621" s="1" t="s">
        <v>1589</v>
      </c>
      <c r="C621" s="1" t="s">
        <v>1590</v>
      </c>
      <c r="D621" s="1" t="s">
        <v>252</v>
      </c>
      <c r="E621" s="1" t="s">
        <v>147</v>
      </c>
      <c r="F621" s="1">
        <v>1</v>
      </c>
      <c r="G621" s="1" t="s">
        <v>143</v>
      </c>
    </row>
    <row r="622" spans="1:9" hidden="1" x14ac:dyDescent="0.3">
      <c r="A622" s="1">
        <v>1455</v>
      </c>
      <c r="B622" s="1" t="s">
        <v>1591</v>
      </c>
      <c r="C622" s="1" t="s">
        <v>1592</v>
      </c>
      <c r="D622" s="1" t="s">
        <v>252</v>
      </c>
      <c r="E622" s="1" t="s">
        <v>147</v>
      </c>
      <c r="F622" s="1">
        <v>1</v>
      </c>
      <c r="G622" s="1" t="s">
        <v>143</v>
      </c>
    </row>
    <row r="623" spans="1:9" hidden="1" x14ac:dyDescent="0.3">
      <c r="A623" s="1">
        <v>1458</v>
      </c>
      <c r="B623" s="1" t="s">
        <v>1593</v>
      </c>
      <c r="C623" s="1" t="s">
        <v>1594</v>
      </c>
      <c r="D623" s="1" t="s">
        <v>252</v>
      </c>
      <c r="E623" s="1" t="s">
        <v>147</v>
      </c>
      <c r="F623" s="1">
        <v>1</v>
      </c>
      <c r="G623" s="1" t="s">
        <v>143</v>
      </c>
    </row>
    <row r="624" spans="1:9" hidden="1" x14ac:dyDescent="0.3">
      <c r="A624" s="1">
        <v>1460</v>
      </c>
      <c r="B624" s="1" t="s">
        <v>1595</v>
      </c>
      <c r="C624" s="1" t="s">
        <v>1596</v>
      </c>
      <c r="D624" s="1" t="s">
        <v>252</v>
      </c>
      <c r="E624" s="1" t="s">
        <v>340</v>
      </c>
      <c r="F624" s="1">
        <v>1</v>
      </c>
      <c r="G624" s="1" t="s">
        <v>143</v>
      </c>
    </row>
    <row r="625" spans="1:9" hidden="1" x14ac:dyDescent="0.3">
      <c r="A625" s="1">
        <v>1465</v>
      </c>
      <c r="B625" s="1" t="s">
        <v>1597</v>
      </c>
      <c r="C625" s="1" t="s">
        <v>1598</v>
      </c>
      <c r="D625" s="1" t="s">
        <v>336</v>
      </c>
      <c r="E625" s="1" t="s">
        <v>331</v>
      </c>
      <c r="F625" s="1">
        <v>1</v>
      </c>
      <c r="G625" s="1" t="s">
        <v>143</v>
      </c>
    </row>
    <row r="626" spans="1:9" hidden="1" x14ac:dyDescent="0.3">
      <c r="A626" s="1">
        <v>1466</v>
      </c>
      <c r="B626" s="1" t="s">
        <v>1599</v>
      </c>
      <c r="C626" s="1" t="s">
        <v>1600</v>
      </c>
      <c r="D626" s="1" t="s">
        <v>675</v>
      </c>
      <c r="E626" s="1" t="s">
        <v>142</v>
      </c>
      <c r="F626" s="1">
        <v>1</v>
      </c>
      <c r="G626" s="1" t="s">
        <v>143</v>
      </c>
    </row>
    <row r="627" spans="1:9" hidden="1" x14ac:dyDescent="0.3">
      <c r="A627" s="1">
        <v>1467</v>
      </c>
      <c r="B627" s="1" t="s">
        <v>1601</v>
      </c>
      <c r="C627" s="1" t="s">
        <v>1602</v>
      </c>
      <c r="D627" s="1" t="s">
        <v>745</v>
      </c>
      <c r="E627" s="1" t="s">
        <v>68</v>
      </c>
      <c r="F627" s="1">
        <v>1</v>
      </c>
      <c r="G627" s="1" t="s">
        <v>143</v>
      </c>
    </row>
    <row r="628" spans="1:9" hidden="1" x14ac:dyDescent="0.3">
      <c r="A628" s="1">
        <v>1468</v>
      </c>
      <c r="B628" s="1" t="s">
        <v>1603</v>
      </c>
      <c r="C628" s="1" t="s">
        <v>1604</v>
      </c>
      <c r="D628" s="1" t="s">
        <v>1605</v>
      </c>
      <c r="E628" s="1" t="s">
        <v>68</v>
      </c>
      <c r="F628" s="1">
        <v>1</v>
      </c>
      <c r="G628" s="1" t="s">
        <v>143</v>
      </c>
    </row>
    <row r="629" spans="1:9" hidden="1" x14ac:dyDescent="0.3">
      <c r="A629" s="1">
        <v>1469</v>
      </c>
      <c r="B629" s="1" t="s">
        <v>1606</v>
      </c>
      <c r="C629" s="1" t="s">
        <v>1607</v>
      </c>
      <c r="D629" s="1" t="s">
        <v>1608</v>
      </c>
      <c r="E629" s="1" t="s">
        <v>215</v>
      </c>
      <c r="F629" s="1">
        <v>1</v>
      </c>
      <c r="G629" s="1" t="s">
        <v>143</v>
      </c>
    </row>
    <row r="630" spans="1:9" hidden="1" x14ac:dyDescent="0.3">
      <c r="A630" s="1">
        <v>1482</v>
      </c>
      <c r="B630" s="1" t="s">
        <v>1609</v>
      </c>
      <c r="C630" s="1" t="s">
        <v>1610</v>
      </c>
      <c r="D630" s="1" t="s">
        <v>1611</v>
      </c>
      <c r="E630" s="1" t="s">
        <v>103</v>
      </c>
      <c r="F630" s="1">
        <v>1</v>
      </c>
      <c r="G630" s="1" t="s">
        <v>143</v>
      </c>
    </row>
    <row r="631" spans="1:9" hidden="1" x14ac:dyDescent="0.3">
      <c r="A631" s="1">
        <v>1483</v>
      </c>
      <c r="B631" s="1" t="s">
        <v>1612</v>
      </c>
      <c r="C631" s="1" t="s">
        <v>1613</v>
      </c>
      <c r="D631" s="1" t="s">
        <v>591</v>
      </c>
      <c r="E631" s="1" t="s">
        <v>111</v>
      </c>
      <c r="F631" s="1">
        <v>1</v>
      </c>
      <c r="G631" s="1" t="s">
        <v>143</v>
      </c>
    </row>
    <row r="632" spans="1:9" hidden="1" x14ac:dyDescent="0.3">
      <c r="A632" s="1">
        <v>1484</v>
      </c>
      <c r="B632" s="1" t="s">
        <v>1614</v>
      </c>
      <c r="C632" s="1" t="s">
        <v>1615</v>
      </c>
      <c r="D632" s="1" t="s">
        <v>1616</v>
      </c>
      <c r="E632" s="1" t="s">
        <v>111</v>
      </c>
      <c r="F632" s="1">
        <v>1</v>
      </c>
      <c r="G632" s="1" t="s">
        <v>143</v>
      </c>
    </row>
    <row r="633" spans="1:9" hidden="1" x14ac:dyDescent="0.3">
      <c r="A633" s="1">
        <v>1488</v>
      </c>
      <c r="B633" s="1" t="s">
        <v>1617</v>
      </c>
      <c r="C633" s="1" t="s">
        <v>1618</v>
      </c>
      <c r="D633" s="1" t="s">
        <v>252</v>
      </c>
      <c r="E633" s="1" t="s">
        <v>147</v>
      </c>
      <c r="F633" s="1">
        <v>1</v>
      </c>
      <c r="G633" s="1" t="s">
        <v>143</v>
      </c>
      <c r="I633" s="1" t="s">
        <v>188</v>
      </c>
    </row>
    <row r="634" spans="1:9" hidden="1" x14ac:dyDescent="0.3">
      <c r="A634" s="1">
        <v>1490</v>
      </c>
      <c r="B634" s="1" t="s">
        <v>1619</v>
      </c>
      <c r="C634" s="1" t="s">
        <v>1620</v>
      </c>
      <c r="D634" s="1" t="s">
        <v>278</v>
      </c>
      <c r="E634" s="1" t="s">
        <v>1327</v>
      </c>
      <c r="F634" s="1">
        <v>0</v>
      </c>
      <c r="G634" s="1" t="s">
        <v>82</v>
      </c>
      <c r="I634" s="1" t="s">
        <v>188</v>
      </c>
    </row>
    <row r="635" spans="1:9" hidden="1" x14ac:dyDescent="0.3">
      <c r="A635" s="1">
        <v>1491</v>
      </c>
      <c r="B635" s="1" t="s">
        <v>1621</v>
      </c>
      <c r="C635" s="1" t="s">
        <v>1622</v>
      </c>
      <c r="D635" s="1" t="s">
        <v>270</v>
      </c>
      <c r="E635" s="1" t="s">
        <v>331</v>
      </c>
      <c r="F635" s="1">
        <v>0</v>
      </c>
      <c r="G635" s="1" t="s">
        <v>82</v>
      </c>
      <c r="I635" s="1" t="s">
        <v>188</v>
      </c>
    </row>
    <row r="636" spans="1:9" hidden="1" x14ac:dyDescent="0.3">
      <c r="A636" s="1">
        <v>1495</v>
      </c>
      <c r="B636" s="1" t="s">
        <v>1623</v>
      </c>
      <c r="C636" s="1" t="s">
        <v>1624</v>
      </c>
      <c r="D636" s="1" t="s">
        <v>252</v>
      </c>
      <c r="E636" s="1" t="s">
        <v>147</v>
      </c>
      <c r="F636" s="1">
        <v>0</v>
      </c>
      <c r="G636" s="1" t="s">
        <v>82</v>
      </c>
      <c r="I636" s="1" t="s">
        <v>188</v>
      </c>
    </row>
    <row r="637" spans="1:9" hidden="1" x14ac:dyDescent="0.3">
      <c r="A637" s="1">
        <v>1496</v>
      </c>
      <c r="B637" s="1" t="s">
        <v>1625</v>
      </c>
      <c r="C637" s="1" t="s">
        <v>1626</v>
      </c>
      <c r="D637" s="1" t="s">
        <v>258</v>
      </c>
      <c r="E637" s="1" t="s">
        <v>1327</v>
      </c>
      <c r="F637" s="1">
        <v>1</v>
      </c>
      <c r="G637" s="1" t="s">
        <v>143</v>
      </c>
    </row>
    <row r="638" spans="1:9" hidden="1" x14ac:dyDescent="0.3">
      <c r="A638" s="1">
        <v>1498</v>
      </c>
      <c r="B638" s="1" t="s">
        <v>1627</v>
      </c>
      <c r="C638" s="1" t="s">
        <v>1628</v>
      </c>
      <c r="D638" s="1" t="s">
        <v>675</v>
      </c>
      <c r="E638" s="1" t="s">
        <v>142</v>
      </c>
      <c r="F638" s="1">
        <v>1</v>
      </c>
      <c r="G638" s="1" t="s">
        <v>143</v>
      </c>
    </row>
    <row r="639" spans="1:9" hidden="1" x14ac:dyDescent="0.3">
      <c r="A639" s="1">
        <v>1500</v>
      </c>
      <c r="B639" s="1" t="s">
        <v>1629</v>
      </c>
      <c r="C639" s="1" t="s">
        <v>1630</v>
      </c>
      <c r="D639" s="1" t="s">
        <v>1631</v>
      </c>
      <c r="E639" s="1" t="s">
        <v>65</v>
      </c>
      <c r="F639" s="1">
        <v>1</v>
      </c>
      <c r="G639" s="1" t="s">
        <v>143</v>
      </c>
    </row>
    <row r="640" spans="1:9" hidden="1" x14ac:dyDescent="0.3">
      <c r="A640" s="1">
        <v>1501</v>
      </c>
      <c r="B640" s="1" t="s">
        <v>1632</v>
      </c>
      <c r="C640" s="1" t="s">
        <v>1633</v>
      </c>
      <c r="D640" s="1" t="s">
        <v>1634</v>
      </c>
      <c r="E640" s="1" t="s">
        <v>215</v>
      </c>
      <c r="F640" s="1">
        <v>1</v>
      </c>
      <c r="G640" s="1" t="s">
        <v>143</v>
      </c>
      <c r="I640" s="1" t="s">
        <v>123</v>
      </c>
    </row>
    <row r="641" spans="1:9" hidden="1" x14ac:dyDescent="0.3">
      <c r="A641" s="1">
        <v>1502</v>
      </c>
      <c r="B641" s="1" t="s">
        <v>1635</v>
      </c>
      <c r="C641" s="1" t="s">
        <v>1636</v>
      </c>
      <c r="D641" s="1" t="s">
        <v>1637</v>
      </c>
      <c r="E641" s="1" t="s">
        <v>68</v>
      </c>
      <c r="F641" s="1">
        <v>1</v>
      </c>
      <c r="G641" s="1" t="s">
        <v>143</v>
      </c>
    </row>
    <row r="642" spans="1:9" hidden="1" x14ac:dyDescent="0.3">
      <c r="A642" s="1">
        <v>1503</v>
      </c>
      <c r="B642" s="1" t="s">
        <v>1638</v>
      </c>
      <c r="C642" s="1" t="s">
        <v>1639</v>
      </c>
      <c r="D642" s="1" t="s">
        <v>181</v>
      </c>
      <c r="E642" s="1" t="s">
        <v>111</v>
      </c>
      <c r="F642" s="1">
        <v>0</v>
      </c>
      <c r="G642" s="1" t="s">
        <v>82</v>
      </c>
      <c r="I642" s="1" t="s">
        <v>123</v>
      </c>
    </row>
    <row r="643" spans="1:9" hidden="1" x14ac:dyDescent="0.3">
      <c r="A643" s="1">
        <v>1504</v>
      </c>
      <c r="B643" s="1" t="s">
        <v>1640</v>
      </c>
      <c r="C643" s="1" t="s">
        <v>1641</v>
      </c>
      <c r="D643" s="1" t="s">
        <v>1642</v>
      </c>
      <c r="E643" s="1" t="s">
        <v>142</v>
      </c>
      <c r="F643" s="1">
        <v>1</v>
      </c>
      <c r="G643" s="1" t="s">
        <v>143</v>
      </c>
    </row>
    <row r="644" spans="1:9" hidden="1" x14ac:dyDescent="0.3">
      <c r="A644" s="1">
        <v>1505</v>
      </c>
      <c r="B644" s="1" t="s">
        <v>1643</v>
      </c>
      <c r="C644" s="1" t="s">
        <v>1644</v>
      </c>
      <c r="D644" s="1" t="s">
        <v>1645</v>
      </c>
      <c r="E644" s="1" t="s">
        <v>118</v>
      </c>
      <c r="F644" s="1">
        <v>0</v>
      </c>
      <c r="G644" s="1" t="s">
        <v>82</v>
      </c>
      <c r="I644" s="1" t="s">
        <v>123</v>
      </c>
    </row>
    <row r="645" spans="1:9" hidden="1" x14ac:dyDescent="0.3">
      <c r="A645" s="1">
        <v>1506</v>
      </c>
      <c r="B645" s="1" t="s">
        <v>1646</v>
      </c>
      <c r="C645" s="1" t="s">
        <v>1647</v>
      </c>
      <c r="D645" s="1" t="s">
        <v>126</v>
      </c>
      <c r="E645" s="1" t="s">
        <v>645</v>
      </c>
      <c r="F645" s="1">
        <v>1</v>
      </c>
      <c r="G645" s="1" t="s">
        <v>143</v>
      </c>
    </row>
    <row r="646" spans="1:9" hidden="1" x14ac:dyDescent="0.3">
      <c r="A646" s="1">
        <v>1507</v>
      </c>
      <c r="B646" s="1" t="s">
        <v>1648</v>
      </c>
      <c r="C646" s="1" t="s">
        <v>1649</v>
      </c>
      <c r="D646" s="1" t="s">
        <v>1650</v>
      </c>
      <c r="E646" s="1" t="s">
        <v>118</v>
      </c>
      <c r="F646" s="1">
        <v>1</v>
      </c>
      <c r="G646" s="1" t="s">
        <v>143</v>
      </c>
    </row>
    <row r="647" spans="1:9" hidden="1" x14ac:dyDescent="0.3">
      <c r="A647" s="1">
        <v>1508</v>
      </c>
      <c r="B647" s="1" t="s">
        <v>1651</v>
      </c>
      <c r="C647" s="1" t="s">
        <v>1652</v>
      </c>
      <c r="D647" s="1" t="s">
        <v>1295</v>
      </c>
      <c r="E647" s="1" t="s">
        <v>215</v>
      </c>
      <c r="F647" s="1">
        <v>1</v>
      </c>
      <c r="G647" s="1" t="s">
        <v>143</v>
      </c>
    </row>
    <row r="648" spans="1:9" hidden="1" x14ac:dyDescent="0.3">
      <c r="A648" s="1">
        <v>1509</v>
      </c>
      <c r="B648" s="1" t="s">
        <v>1653</v>
      </c>
      <c r="C648" s="1" t="s">
        <v>1654</v>
      </c>
      <c r="D648" s="1" t="s">
        <v>252</v>
      </c>
      <c r="E648" s="1" t="s">
        <v>147</v>
      </c>
      <c r="F648" s="1">
        <v>1</v>
      </c>
      <c r="G648" s="1" t="s">
        <v>143</v>
      </c>
    </row>
    <row r="649" spans="1:9" hidden="1" x14ac:dyDescent="0.3">
      <c r="A649" s="1">
        <v>1510</v>
      </c>
      <c r="B649" s="1" t="s">
        <v>1655</v>
      </c>
      <c r="C649" s="1" t="s">
        <v>1656</v>
      </c>
      <c r="D649" s="1" t="s">
        <v>252</v>
      </c>
      <c r="E649" s="1" t="s">
        <v>147</v>
      </c>
      <c r="F649" s="1">
        <v>0</v>
      </c>
      <c r="G649" s="1" t="s">
        <v>82</v>
      </c>
      <c r="I649" s="1" t="s">
        <v>188</v>
      </c>
    </row>
    <row r="650" spans="1:9" hidden="1" x14ac:dyDescent="0.3">
      <c r="A650" s="1">
        <v>1511</v>
      </c>
      <c r="B650" s="1" t="s">
        <v>1657</v>
      </c>
      <c r="C650" s="1" t="s">
        <v>1658</v>
      </c>
      <c r="D650" s="1" t="s">
        <v>252</v>
      </c>
      <c r="E650" s="1" t="s">
        <v>340</v>
      </c>
      <c r="F650" s="1">
        <v>1</v>
      </c>
      <c r="G650" s="1" t="s">
        <v>143</v>
      </c>
      <c r="I650" s="1" t="s">
        <v>188</v>
      </c>
    </row>
    <row r="651" spans="1:9" hidden="1" x14ac:dyDescent="0.3">
      <c r="A651" s="1">
        <v>1515</v>
      </c>
      <c r="B651" s="1" t="s">
        <v>1659</v>
      </c>
      <c r="C651" s="1" t="s">
        <v>1660</v>
      </c>
      <c r="D651" s="1" t="s">
        <v>527</v>
      </c>
      <c r="E651" s="1" t="s">
        <v>215</v>
      </c>
      <c r="F651" s="1">
        <v>1</v>
      </c>
      <c r="G651" s="1" t="s">
        <v>143</v>
      </c>
    </row>
    <row r="652" spans="1:9" hidden="1" x14ac:dyDescent="0.3">
      <c r="A652" s="1">
        <v>1517</v>
      </c>
      <c r="B652" s="1" t="s">
        <v>1661</v>
      </c>
      <c r="C652" s="1" t="s">
        <v>1662</v>
      </c>
      <c r="D652" s="1" t="s">
        <v>1276</v>
      </c>
      <c r="E652" s="1" t="s">
        <v>1663</v>
      </c>
      <c r="F652" s="1">
        <v>1</v>
      </c>
      <c r="G652" s="1" t="s">
        <v>143</v>
      </c>
    </row>
    <row r="653" spans="1:9" hidden="1" x14ac:dyDescent="0.3">
      <c r="A653" s="1">
        <v>1521</v>
      </c>
      <c r="B653" s="1" t="s">
        <v>1664</v>
      </c>
      <c r="C653" s="1" t="s">
        <v>1665</v>
      </c>
      <c r="D653" s="1" t="s">
        <v>1033</v>
      </c>
      <c r="E653" s="1" t="s">
        <v>111</v>
      </c>
      <c r="F653" s="1">
        <v>1</v>
      </c>
      <c r="G653" s="1" t="s">
        <v>143</v>
      </c>
    </row>
    <row r="654" spans="1:9" hidden="1" x14ac:dyDescent="0.3">
      <c r="A654" s="1">
        <v>1522</v>
      </c>
      <c r="B654" s="1" t="s">
        <v>1666</v>
      </c>
      <c r="C654" s="1" t="s">
        <v>1667</v>
      </c>
      <c r="D654" s="1" t="s">
        <v>1668</v>
      </c>
      <c r="E654" s="1" t="s">
        <v>111</v>
      </c>
      <c r="F654" s="1">
        <v>1</v>
      </c>
      <c r="G654" s="1" t="s">
        <v>143</v>
      </c>
    </row>
    <row r="655" spans="1:9" hidden="1" x14ac:dyDescent="0.3">
      <c r="A655" s="1">
        <v>1523</v>
      </c>
      <c r="B655" s="1" t="s">
        <v>1669</v>
      </c>
      <c r="C655" s="1" t="s">
        <v>1670</v>
      </c>
      <c r="D655" s="1" t="s">
        <v>398</v>
      </c>
      <c r="E655" s="1" t="s">
        <v>118</v>
      </c>
      <c r="F655" s="1">
        <v>0</v>
      </c>
      <c r="G655" s="1" t="s">
        <v>82</v>
      </c>
      <c r="I655" s="1" t="s">
        <v>123</v>
      </c>
    </row>
    <row r="656" spans="1:9" hidden="1" x14ac:dyDescent="0.3">
      <c r="A656" s="1">
        <v>1524</v>
      </c>
      <c r="B656" s="1" t="s">
        <v>1671</v>
      </c>
      <c r="C656" s="1" t="s">
        <v>1672</v>
      </c>
      <c r="D656" s="1" t="s">
        <v>1555</v>
      </c>
      <c r="E656" s="1" t="s">
        <v>111</v>
      </c>
      <c r="F656" s="1">
        <v>1</v>
      </c>
      <c r="G656" s="1" t="s">
        <v>143</v>
      </c>
    </row>
    <row r="657" spans="1:9" hidden="1" x14ac:dyDescent="0.3">
      <c r="A657" s="1">
        <v>1525</v>
      </c>
      <c r="B657" s="1" t="s">
        <v>1673</v>
      </c>
      <c r="C657" s="1" t="s">
        <v>1673</v>
      </c>
      <c r="D657" s="1" t="s">
        <v>275</v>
      </c>
      <c r="E657" s="1" t="s">
        <v>118</v>
      </c>
      <c r="F657" s="1">
        <v>1</v>
      </c>
      <c r="G657" s="1" t="s">
        <v>143</v>
      </c>
    </row>
    <row r="658" spans="1:9" hidden="1" x14ac:dyDescent="0.3">
      <c r="A658" s="1">
        <v>1526</v>
      </c>
      <c r="B658" s="1" t="s">
        <v>1674</v>
      </c>
      <c r="C658" s="1" t="s">
        <v>1675</v>
      </c>
      <c r="D658" s="1" t="s">
        <v>1676</v>
      </c>
      <c r="E658" s="1" t="s">
        <v>142</v>
      </c>
      <c r="F658" s="1">
        <v>1</v>
      </c>
      <c r="G658" s="1" t="s">
        <v>143</v>
      </c>
    </row>
    <row r="659" spans="1:9" hidden="1" x14ac:dyDescent="0.3">
      <c r="A659" s="1">
        <v>1527</v>
      </c>
      <c r="B659" s="1" t="s">
        <v>1677</v>
      </c>
      <c r="C659" s="1" t="s">
        <v>1678</v>
      </c>
      <c r="D659" s="1" t="s">
        <v>1679</v>
      </c>
      <c r="E659" s="1" t="s">
        <v>142</v>
      </c>
      <c r="F659" s="1">
        <v>1</v>
      </c>
      <c r="G659" s="1" t="s">
        <v>143</v>
      </c>
    </row>
    <row r="660" spans="1:9" hidden="1" x14ac:dyDescent="0.3">
      <c r="A660" s="1">
        <v>1530</v>
      </c>
      <c r="B660" s="1" t="s">
        <v>1680</v>
      </c>
      <c r="C660" s="1" t="s">
        <v>1681</v>
      </c>
      <c r="D660" s="1" t="s">
        <v>336</v>
      </c>
      <c r="E660" s="1" t="s">
        <v>331</v>
      </c>
      <c r="F660" s="1">
        <v>1</v>
      </c>
      <c r="G660" s="1" t="s">
        <v>143</v>
      </c>
      <c r="I660" s="1" t="s">
        <v>188</v>
      </c>
    </row>
    <row r="661" spans="1:9" hidden="1" x14ac:dyDescent="0.3">
      <c r="A661" s="1">
        <v>1533</v>
      </c>
      <c r="B661" s="1" t="s">
        <v>1682</v>
      </c>
      <c r="C661" s="1" t="s">
        <v>1683</v>
      </c>
      <c r="D661" s="1" t="s">
        <v>751</v>
      </c>
      <c r="E661" s="1" t="s">
        <v>142</v>
      </c>
      <c r="F661" s="1">
        <v>1</v>
      </c>
      <c r="G661" s="1" t="s">
        <v>143</v>
      </c>
    </row>
    <row r="662" spans="1:9" hidden="1" x14ac:dyDescent="0.3">
      <c r="A662" s="1">
        <v>1534</v>
      </c>
      <c r="B662" s="1" t="s">
        <v>1684</v>
      </c>
      <c r="C662" s="1" t="s">
        <v>1685</v>
      </c>
      <c r="D662" s="1" t="s">
        <v>675</v>
      </c>
      <c r="E662" s="1" t="s">
        <v>142</v>
      </c>
      <c r="F662" s="1">
        <v>1</v>
      </c>
      <c r="G662" s="1" t="s">
        <v>143</v>
      </c>
    </row>
    <row r="663" spans="1:9" hidden="1" x14ac:dyDescent="0.3">
      <c r="A663" s="1">
        <v>1535</v>
      </c>
      <c r="B663" s="1" t="s">
        <v>1686</v>
      </c>
      <c r="C663" s="1" t="s">
        <v>1687</v>
      </c>
      <c r="D663" s="1" t="s">
        <v>693</v>
      </c>
      <c r="E663" s="1" t="s">
        <v>134</v>
      </c>
      <c r="F663" s="1">
        <v>0</v>
      </c>
      <c r="G663" s="1" t="s">
        <v>82</v>
      </c>
      <c r="I663" s="1" t="s">
        <v>123</v>
      </c>
    </row>
    <row r="664" spans="1:9" hidden="1" x14ac:dyDescent="0.3">
      <c r="A664" s="1">
        <v>1536</v>
      </c>
      <c r="B664" s="1" t="s">
        <v>1688</v>
      </c>
      <c r="C664" s="1" t="s">
        <v>1689</v>
      </c>
      <c r="D664" s="1" t="s">
        <v>1690</v>
      </c>
      <c r="E664" s="1" t="s">
        <v>134</v>
      </c>
      <c r="F664" s="1">
        <v>1</v>
      </c>
      <c r="G664" s="1" t="s">
        <v>143</v>
      </c>
    </row>
    <row r="665" spans="1:9" hidden="1" x14ac:dyDescent="0.3">
      <c r="A665" s="1">
        <v>1537</v>
      </c>
      <c r="B665" s="1" t="s">
        <v>1691</v>
      </c>
      <c r="C665" s="1" t="s">
        <v>1692</v>
      </c>
      <c r="D665" s="1" t="s">
        <v>675</v>
      </c>
      <c r="E665" s="1" t="s">
        <v>142</v>
      </c>
      <c r="F665" s="1">
        <v>1</v>
      </c>
      <c r="G665" s="1" t="s">
        <v>143</v>
      </c>
    </row>
    <row r="666" spans="1:9" hidden="1" x14ac:dyDescent="0.3">
      <c r="A666" s="1">
        <v>1538</v>
      </c>
      <c r="B666" s="1" t="s">
        <v>1693</v>
      </c>
      <c r="C666" s="1" t="s">
        <v>1694</v>
      </c>
      <c r="D666" s="1" t="s">
        <v>1695</v>
      </c>
      <c r="E666" s="1" t="s">
        <v>134</v>
      </c>
      <c r="F666" s="1">
        <v>1</v>
      </c>
      <c r="G666" s="1" t="s">
        <v>143</v>
      </c>
    </row>
    <row r="667" spans="1:9" hidden="1" x14ac:dyDescent="0.3">
      <c r="A667" s="1">
        <v>1539</v>
      </c>
      <c r="B667" s="1" t="s">
        <v>1696</v>
      </c>
      <c r="C667" s="1" t="s">
        <v>1697</v>
      </c>
      <c r="D667" s="1" t="s">
        <v>1642</v>
      </c>
      <c r="E667" s="1" t="s">
        <v>142</v>
      </c>
      <c r="F667" s="1">
        <v>0</v>
      </c>
      <c r="G667" s="1" t="s">
        <v>82</v>
      </c>
      <c r="I667" s="1" t="s">
        <v>123</v>
      </c>
    </row>
    <row r="668" spans="1:9" hidden="1" x14ac:dyDescent="0.3">
      <c r="A668" s="1">
        <v>1540</v>
      </c>
      <c r="B668" s="1" t="s">
        <v>1698</v>
      </c>
      <c r="C668" s="1" t="s">
        <v>1699</v>
      </c>
      <c r="D668" s="1" t="s">
        <v>1700</v>
      </c>
      <c r="E668" s="1" t="s">
        <v>68</v>
      </c>
      <c r="F668" s="1">
        <v>1</v>
      </c>
      <c r="G668" s="1" t="s">
        <v>143</v>
      </c>
    </row>
    <row r="669" spans="1:9" hidden="1" x14ac:dyDescent="0.3">
      <c r="A669" s="1">
        <v>1541</v>
      </c>
      <c r="B669" s="1" t="s">
        <v>1701</v>
      </c>
      <c r="C669" s="1" t="s">
        <v>1702</v>
      </c>
      <c r="D669" s="1" t="s">
        <v>1703</v>
      </c>
      <c r="E669" s="1" t="s">
        <v>170</v>
      </c>
      <c r="F669" s="1">
        <v>0</v>
      </c>
      <c r="G669" s="1" t="s">
        <v>82</v>
      </c>
      <c r="I669" s="1" t="s">
        <v>84</v>
      </c>
    </row>
    <row r="670" spans="1:9" hidden="1" x14ac:dyDescent="0.3">
      <c r="A670" s="1">
        <v>1544</v>
      </c>
      <c r="B670" s="1" t="s">
        <v>1704</v>
      </c>
      <c r="C670" s="1" t="s">
        <v>1705</v>
      </c>
      <c r="D670" s="1" t="s">
        <v>1521</v>
      </c>
      <c r="E670" s="1" t="s">
        <v>142</v>
      </c>
      <c r="F670" s="1">
        <v>0</v>
      </c>
      <c r="G670" s="1" t="s">
        <v>82</v>
      </c>
      <c r="I670" s="1" t="s">
        <v>123</v>
      </c>
    </row>
    <row r="671" spans="1:9" hidden="1" x14ac:dyDescent="0.3">
      <c r="A671" s="1">
        <v>1545</v>
      </c>
      <c r="B671" s="1" t="s">
        <v>1706</v>
      </c>
      <c r="C671" s="1" t="s">
        <v>1707</v>
      </c>
      <c r="D671" s="1" t="s">
        <v>1708</v>
      </c>
      <c r="E671" s="1" t="s">
        <v>1304</v>
      </c>
      <c r="F671" s="1">
        <v>0</v>
      </c>
      <c r="G671" s="1" t="s">
        <v>82</v>
      </c>
      <c r="I671" s="1" t="s">
        <v>123</v>
      </c>
    </row>
    <row r="672" spans="1:9" hidden="1" x14ac:dyDescent="0.3">
      <c r="A672" s="1">
        <v>1546</v>
      </c>
      <c r="B672" s="1" t="s">
        <v>1709</v>
      </c>
      <c r="C672" s="1" t="s">
        <v>1710</v>
      </c>
      <c r="D672" s="1" t="s">
        <v>675</v>
      </c>
      <c r="E672" s="1" t="s">
        <v>142</v>
      </c>
      <c r="F672" s="1">
        <v>1</v>
      </c>
      <c r="G672" s="1" t="s">
        <v>143</v>
      </c>
    </row>
    <row r="673" spans="1:9" hidden="1" x14ac:dyDescent="0.3">
      <c r="A673" s="1">
        <v>1547</v>
      </c>
      <c r="B673" s="1" t="s">
        <v>1711</v>
      </c>
      <c r="C673" s="1" t="s">
        <v>1712</v>
      </c>
      <c r="D673" s="1" t="s">
        <v>252</v>
      </c>
      <c r="E673" s="1" t="s">
        <v>255</v>
      </c>
      <c r="F673" s="1">
        <v>0</v>
      </c>
      <c r="G673" s="1" t="s">
        <v>82</v>
      </c>
      <c r="I673" s="1" t="s">
        <v>188</v>
      </c>
    </row>
    <row r="674" spans="1:9" hidden="1" x14ac:dyDescent="0.3">
      <c r="A674" s="1">
        <v>1550</v>
      </c>
      <c r="B674" s="1" t="s">
        <v>1713</v>
      </c>
      <c r="C674" s="1" t="s">
        <v>1714</v>
      </c>
      <c r="D674" s="1" t="s">
        <v>252</v>
      </c>
      <c r="E674" s="1" t="s">
        <v>259</v>
      </c>
      <c r="F674" s="1">
        <v>1</v>
      </c>
      <c r="G674" s="1" t="s">
        <v>143</v>
      </c>
    </row>
    <row r="675" spans="1:9" hidden="1" x14ac:dyDescent="0.3">
      <c r="A675" s="1">
        <v>1552</v>
      </c>
      <c r="B675" s="1" t="s">
        <v>1715</v>
      </c>
      <c r="C675" s="1" t="s">
        <v>1716</v>
      </c>
      <c r="D675" s="1" t="s">
        <v>252</v>
      </c>
      <c r="E675" s="1" t="s">
        <v>147</v>
      </c>
      <c r="F675" s="1">
        <v>1</v>
      </c>
      <c r="G675" s="1" t="s">
        <v>143</v>
      </c>
    </row>
    <row r="676" spans="1:9" hidden="1" x14ac:dyDescent="0.3">
      <c r="A676" s="1">
        <v>1553</v>
      </c>
      <c r="B676" s="1" t="s">
        <v>1717</v>
      </c>
      <c r="C676" s="1" t="s">
        <v>1718</v>
      </c>
      <c r="D676" s="1" t="s">
        <v>336</v>
      </c>
      <c r="E676" s="1" t="s">
        <v>331</v>
      </c>
      <c r="F676" s="1">
        <v>1</v>
      </c>
      <c r="G676" s="1" t="s">
        <v>143</v>
      </c>
      <c r="I676" s="1" t="s">
        <v>188</v>
      </c>
    </row>
    <row r="677" spans="1:9" hidden="1" x14ac:dyDescent="0.3">
      <c r="A677" s="1">
        <v>1557</v>
      </c>
      <c r="B677" s="1" t="s">
        <v>1719</v>
      </c>
      <c r="C677" s="1" t="s">
        <v>1720</v>
      </c>
      <c r="D677" s="1" t="s">
        <v>336</v>
      </c>
      <c r="E677" s="1" t="s">
        <v>331</v>
      </c>
      <c r="F677" s="1">
        <v>1</v>
      </c>
      <c r="G677" s="1" t="s">
        <v>143</v>
      </c>
      <c r="I677" s="1" t="s">
        <v>188</v>
      </c>
    </row>
    <row r="678" spans="1:9" hidden="1" x14ac:dyDescent="0.3">
      <c r="A678" s="1">
        <v>1561</v>
      </c>
      <c r="B678" s="1" t="s">
        <v>1721</v>
      </c>
      <c r="C678" s="1" t="s">
        <v>1722</v>
      </c>
      <c r="D678" s="1" t="s">
        <v>675</v>
      </c>
      <c r="E678" s="1" t="s">
        <v>142</v>
      </c>
      <c r="F678" s="1">
        <v>1</v>
      </c>
      <c r="G678" s="1" t="s">
        <v>143</v>
      </c>
    </row>
    <row r="679" spans="1:9" hidden="1" x14ac:dyDescent="0.3">
      <c r="A679" s="1">
        <v>1564</v>
      </c>
      <c r="B679" s="1" t="s">
        <v>1723</v>
      </c>
      <c r="C679" s="1" t="s">
        <v>1724</v>
      </c>
      <c r="D679" s="1" t="s">
        <v>252</v>
      </c>
      <c r="E679" s="1" t="s">
        <v>255</v>
      </c>
      <c r="F679" s="1">
        <v>1</v>
      </c>
      <c r="G679" s="1" t="s">
        <v>143</v>
      </c>
      <c r="I679" s="1" t="s">
        <v>188</v>
      </c>
    </row>
    <row r="680" spans="1:9" hidden="1" x14ac:dyDescent="0.3">
      <c r="A680" s="1">
        <v>1567</v>
      </c>
      <c r="B680" s="1" t="s">
        <v>1725</v>
      </c>
      <c r="C680" s="1" t="s">
        <v>1726</v>
      </c>
      <c r="D680" s="1" t="s">
        <v>422</v>
      </c>
      <c r="E680" s="1" t="s">
        <v>255</v>
      </c>
      <c r="F680" s="1">
        <v>1</v>
      </c>
      <c r="G680" s="1" t="s">
        <v>143</v>
      </c>
    </row>
    <row r="681" spans="1:9" hidden="1" x14ac:dyDescent="0.3">
      <c r="A681" s="1">
        <v>1569</v>
      </c>
      <c r="B681" s="1" t="s">
        <v>1727</v>
      </c>
      <c r="C681" s="1" t="s">
        <v>1728</v>
      </c>
      <c r="D681" s="1" t="s">
        <v>252</v>
      </c>
      <c r="E681" s="1" t="s">
        <v>147</v>
      </c>
      <c r="F681" s="1">
        <v>1</v>
      </c>
      <c r="G681" s="1" t="s">
        <v>143</v>
      </c>
    </row>
    <row r="682" spans="1:9" hidden="1" x14ac:dyDescent="0.3">
      <c r="A682" s="1">
        <v>1570</v>
      </c>
      <c r="B682" s="1" t="s">
        <v>1729</v>
      </c>
      <c r="C682" s="1" t="s">
        <v>1730</v>
      </c>
      <c r="D682" s="1" t="s">
        <v>1731</v>
      </c>
      <c r="E682" s="1" t="s">
        <v>111</v>
      </c>
      <c r="F682" s="1">
        <v>1</v>
      </c>
      <c r="G682" s="1" t="s">
        <v>143</v>
      </c>
    </row>
    <row r="683" spans="1:9" hidden="1" x14ac:dyDescent="0.3">
      <c r="A683" s="1">
        <v>1571</v>
      </c>
      <c r="B683" s="1" t="s">
        <v>1732</v>
      </c>
      <c r="C683" s="1" t="s">
        <v>1733</v>
      </c>
      <c r="D683" s="1" t="s">
        <v>675</v>
      </c>
      <c r="E683" s="1" t="s">
        <v>142</v>
      </c>
      <c r="F683" s="1">
        <v>1</v>
      </c>
      <c r="G683" s="1" t="s">
        <v>143</v>
      </c>
    </row>
    <row r="684" spans="1:9" hidden="1" x14ac:dyDescent="0.3">
      <c r="A684" s="1">
        <v>1572</v>
      </c>
      <c r="B684" s="1" t="s">
        <v>1734</v>
      </c>
      <c r="C684" s="1" t="s">
        <v>1735</v>
      </c>
      <c r="D684" s="1" t="s">
        <v>1736</v>
      </c>
      <c r="E684" s="1" t="s">
        <v>91</v>
      </c>
      <c r="F684" s="1">
        <v>1</v>
      </c>
      <c r="G684" s="1" t="s">
        <v>143</v>
      </c>
    </row>
    <row r="685" spans="1:9" hidden="1" x14ac:dyDescent="0.3">
      <c r="A685" s="1">
        <v>1578</v>
      </c>
      <c r="B685" s="1" t="s">
        <v>1737</v>
      </c>
      <c r="C685" s="1" t="s">
        <v>1738</v>
      </c>
      <c r="D685" s="1" t="s">
        <v>252</v>
      </c>
      <c r="E685" s="1" t="s">
        <v>147</v>
      </c>
      <c r="F685" s="1">
        <v>1</v>
      </c>
      <c r="G685" s="1" t="s">
        <v>143</v>
      </c>
      <c r="I685" s="1" t="s">
        <v>188</v>
      </c>
    </row>
    <row r="686" spans="1:9" hidden="1" x14ac:dyDescent="0.3">
      <c r="A686" s="1">
        <v>1581</v>
      </c>
      <c r="B686" s="1" t="s">
        <v>1739</v>
      </c>
      <c r="C686" s="1" t="s">
        <v>1740</v>
      </c>
      <c r="D686" s="1" t="s">
        <v>252</v>
      </c>
      <c r="E686" s="1" t="s">
        <v>255</v>
      </c>
      <c r="F686" s="1">
        <v>1</v>
      </c>
      <c r="G686" s="1" t="s">
        <v>143</v>
      </c>
    </row>
    <row r="687" spans="1:9" hidden="1" x14ac:dyDescent="0.3">
      <c r="A687" s="1">
        <v>1583</v>
      </c>
      <c r="B687" s="1" t="s">
        <v>1741</v>
      </c>
      <c r="C687" s="1" t="s">
        <v>1742</v>
      </c>
      <c r="D687" s="1" t="s">
        <v>623</v>
      </c>
      <c r="E687" s="1" t="s">
        <v>111</v>
      </c>
      <c r="F687" s="1">
        <v>1</v>
      </c>
      <c r="G687" s="1" t="s">
        <v>143</v>
      </c>
    </row>
    <row r="688" spans="1:9" hidden="1" x14ac:dyDescent="0.3">
      <c r="A688" s="1">
        <v>1584</v>
      </c>
      <c r="B688" s="1" t="s">
        <v>1743</v>
      </c>
      <c r="C688" s="1" t="s">
        <v>1744</v>
      </c>
      <c r="D688" s="1" t="s">
        <v>623</v>
      </c>
      <c r="E688" s="1" t="s">
        <v>111</v>
      </c>
      <c r="F688" s="1">
        <v>1</v>
      </c>
      <c r="G688" s="1" t="s">
        <v>143</v>
      </c>
    </row>
    <row r="689" spans="1:9" hidden="1" x14ac:dyDescent="0.3">
      <c r="A689" s="1">
        <v>1585</v>
      </c>
      <c r="B689" s="1" t="s">
        <v>1745</v>
      </c>
      <c r="C689" s="1" t="s">
        <v>1746</v>
      </c>
      <c r="D689" s="1" t="s">
        <v>623</v>
      </c>
      <c r="E689" s="1" t="s">
        <v>111</v>
      </c>
      <c r="F689" s="1">
        <v>1</v>
      </c>
      <c r="G689" s="1" t="s">
        <v>143</v>
      </c>
    </row>
    <row r="690" spans="1:9" hidden="1" x14ac:dyDescent="0.3">
      <c r="A690" s="1">
        <v>1586</v>
      </c>
      <c r="B690" s="1" t="s">
        <v>1747</v>
      </c>
      <c r="C690" s="1" t="s">
        <v>1748</v>
      </c>
      <c r="D690" s="1" t="s">
        <v>623</v>
      </c>
      <c r="E690" s="1" t="s">
        <v>111</v>
      </c>
      <c r="F690" s="1">
        <v>0</v>
      </c>
      <c r="G690" s="1" t="s">
        <v>82</v>
      </c>
      <c r="I690" s="1" t="s">
        <v>123</v>
      </c>
    </row>
    <row r="691" spans="1:9" hidden="1" x14ac:dyDescent="0.3">
      <c r="A691" s="1">
        <v>1587</v>
      </c>
      <c r="B691" s="1" t="s">
        <v>1749</v>
      </c>
      <c r="C691" s="1" t="s">
        <v>1750</v>
      </c>
      <c r="D691" s="1" t="s">
        <v>447</v>
      </c>
      <c r="E691" s="1" t="s">
        <v>111</v>
      </c>
      <c r="F691" s="1">
        <v>0</v>
      </c>
      <c r="G691" s="1" t="s">
        <v>82</v>
      </c>
      <c r="I691" s="1" t="s">
        <v>123</v>
      </c>
    </row>
    <row r="692" spans="1:9" hidden="1" x14ac:dyDescent="0.3">
      <c r="A692" s="1">
        <v>1588</v>
      </c>
      <c r="B692" s="1" t="s">
        <v>1751</v>
      </c>
      <c r="C692" s="1" t="s">
        <v>1752</v>
      </c>
      <c r="D692" s="1" t="s">
        <v>623</v>
      </c>
      <c r="E692" s="1" t="s">
        <v>111</v>
      </c>
      <c r="F692" s="1">
        <v>1</v>
      </c>
      <c r="G692" s="1" t="s">
        <v>143</v>
      </c>
    </row>
    <row r="693" spans="1:9" hidden="1" x14ac:dyDescent="0.3">
      <c r="A693" s="1">
        <v>1589</v>
      </c>
      <c r="B693" s="1" t="s">
        <v>1753</v>
      </c>
      <c r="C693" s="1" t="s">
        <v>1754</v>
      </c>
      <c r="D693" s="1" t="s">
        <v>623</v>
      </c>
      <c r="E693" s="1" t="s">
        <v>111</v>
      </c>
      <c r="F693" s="1">
        <v>0</v>
      </c>
      <c r="G693" s="1" t="s">
        <v>82</v>
      </c>
      <c r="I693" s="1" t="s">
        <v>123</v>
      </c>
    </row>
    <row r="694" spans="1:9" hidden="1" x14ac:dyDescent="0.3">
      <c r="A694" s="1">
        <v>1590</v>
      </c>
      <c r="B694" s="1" t="s">
        <v>1755</v>
      </c>
      <c r="C694" s="1" t="s">
        <v>1756</v>
      </c>
      <c r="D694" s="1" t="s">
        <v>1298</v>
      </c>
      <c r="E694" s="1" t="s">
        <v>111</v>
      </c>
      <c r="F694" s="1">
        <v>0</v>
      </c>
      <c r="G694" s="1" t="s">
        <v>82</v>
      </c>
      <c r="I694" s="1" t="s">
        <v>123</v>
      </c>
    </row>
    <row r="695" spans="1:9" hidden="1" x14ac:dyDescent="0.3">
      <c r="A695" s="1">
        <v>1591</v>
      </c>
      <c r="B695" s="1" t="s">
        <v>1757</v>
      </c>
      <c r="C695" s="1" t="s">
        <v>1758</v>
      </c>
      <c r="D695" s="1" t="s">
        <v>1360</v>
      </c>
      <c r="E695" s="1" t="s">
        <v>111</v>
      </c>
      <c r="F695" s="1">
        <v>0</v>
      </c>
      <c r="G695" s="1" t="s">
        <v>82</v>
      </c>
      <c r="I695" s="1" t="s">
        <v>123</v>
      </c>
    </row>
    <row r="696" spans="1:9" hidden="1" x14ac:dyDescent="0.3">
      <c r="A696" s="1">
        <v>1592</v>
      </c>
      <c r="B696" s="1" t="s">
        <v>1759</v>
      </c>
      <c r="C696" s="1" t="s">
        <v>1760</v>
      </c>
      <c r="D696" s="1" t="s">
        <v>623</v>
      </c>
      <c r="E696" s="1" t="s">
        <v>111</v>
      </c>
      <c r="F696" s="1">
        <v>1</v>
      </c>
      <c r="G696" s="1" t="s">
        <v>143</v>
      </c>
      <c r="I696" s="1" t="s">
        <v>123</v>
      </c>
    </row>
    <row r="697" spans="1:9" hidden="1" x14ac:dyDescent="0.3">
      <c r="A697" s="1">
        <v>1593</v>
      </c>
      <c r="B697" s="1" t="s">
        <v>1761</v>
      </c>
      <c r="C697" s="1" t="s">
        <v>1762</v>
      </c>
      <c r="D697" s="1" t="s">
        <v>623</v>
      </c>
      <c r="E697" s="1" t="s">
        <v>111</v>
      </c>
      <c r="F697" s="1">
        <v>0</v>
      </c>
      <c r="G697" s="1" t="s">
        <v>82</v>
      </c>
      <c r="I697" s="1" t="s">
        <v>123</v>
      </c>
    </row>
    <row r="698" spans="1:9" hidden="1" x14ac:dyDescent="0.3">
      <c r="A698" s="1">
        <v>1594</v>
      </c>
      <c r="B698" s="1" t="s">
        <v>1763</v>
      </c>
      <c r="C698" s="1" t="s">
        <v>1764</v>
      </c>
      <c r="D698" s="1" t="s">
        <v>1146</v>
      </c>
      <c r="E698" s="1" t="s">
        <v>111</v>
      </c>
      <c r="F698" s="1">
        <v>1</v>
      </c>
      <c r="G698" s="1" t="s">
        <v>143</v>
      </c>
    </row>
    <row r="699" spans="1:9" hidden="1" x14ac:dyDescent="0.3">
      <c r="A699" s="1">
        <v>1595</v>
      </c>
      <c r="B699" s="1" t="s">
        <v>1765</v>
      </c>
      <c r="C699" s="1" t="s">
        <v>1766</v>
      </c>
      <c r="D699" s="1" t="s">
        <v>583</v>
      </c>
      <c r="E699" s="1" t="s">
        <v>111</v>
      </c>
      <c r="F699" s="1">
        <v>0</v>
      </c>
      <c r="G699" s="1" t="s">
        <v>82</v>
      </c>
      <c r="I699" s="1" t="s">
        <v>123</v>
      </c>
    </row>
    <row r="700" spans="1:9" hidden="1" x14ac:dyDescent="0.3">
      <c r="A700" s="1">
        <v>1596</v>
      </c>
      <c r="B700" s="1" t="s">
        <v>1767</v>
      </c>
      <c r="C700" s="1" t="s">
        <v>1768</v>
      </c>
      <c r="D700" s="1" t="s">
        <v>1769</v>
      </c>
      <c r="E700" s="1" t="s">
        <v>111</v>
      </c>
      <c r="F700" s="1">
        <v>0</v>
      </c>
      <c r="G700" s="1" t="s">
        <v>82</v>
      </c>
      <c r="I700" s="1" t="s">
        <v>123</v>
      </c>
    </row>
    <row r="701" spans="1:9" hidden="1" x14ac:dyDescent="0.3">
      <c r="A701" s="1">
        <v>1597</v>
      </c>
      <c r="B701" s="1" t="s">
        <v>1770</v>
      </c>
      <c r="C701" s="1" t="s">
        <v>1771</v>
      </c>
      <c r="D701" s="1" t="s">
        <v>667</v>
      </c>
      <c r="E701" s="1" t="s">
        <v>118</v>
      </c>
      <c r="F701" s="1">
        <v>0</v>
      </c>
      <c r="G701" s="1" t="s">
        <v>82</v>
      </c>
      <c r="I701" s="1" t="s">
        <v>123</v>
      </c>
    </row>
    <row r="702" spans="1:9" hidden="1" x14ac:dyDescent="0.3">
      <c r="A702" s="1">
        <v>1598</v>
      </c>
      <c r="B702" s="1" t="s">
        <v>1772</v>
      </c>
      <c r="C702" s="1" t="s">
        <v>1773</v>
      </c>
      <c r="D702" s="1" t="s">
        <v>422</v>
      </c>
      <c r="E702" s="1" t="s">
        <v>147</v>
      </c>
      <c r="F702" s="1">
        <v>1</v>
      </c>
      <c r="G702" s="1" t="s">
        <v>143</v>
      </c>
    </row>
    <row r="703" spans="1:9" hidden="1" x14ac:dyDescent="0.3">
      <c r="A703" s="1">
        <v>1599</v>
      </c>
      <c r="B703" s="1" t="s">
        <v>1774</v>
      </c>
      <c r="C703" s="1" t="s">
        <v>1775</v>
      </c>
      <c r="D703" s="1" t="s">
        <v>1650</v>
      </c>
      <c r="E703" s="1" t="s">
        <v>118</v>
      </c>
      <c r="F703" s="1">
        <v>1</v>
      </c>
      <c r="G703" s="1" t="s">
        <v>143</v>
      </c>
    </row>
    <row r="704" spans="1:9" hidden="1" x14ac:dyDescent="0.3">
      <c r="A704" s="1">
        <v>1600</v>
      </c>
      <c r="B704" s="1" t="s">
        <v>1776</v>
      </c>
      <c r="C704" s="1" t="s">
        <v>1777</v>
      </c>
      <c r="D704" s="1" t="s">
        <v>1778</v>
      </c>
      <c r="E704" s="1" t="s">
        <v>68</v>
      </c>
      <c r="F704" s="1">
        <v>0</v>
      </c>
      <c r="G704" s="1" t="s">
        <v>82</v>
      </c>
      <c r="I704" s="1" t="s">
        <v>123</v>
      </c>
    </row>
    <row r="705" spans="1:9" hidden="1" x14ac:dyDescent="0.3">
      <c r="A705" s="1">
        <v>1601</v>
      </c>
      <c r="B705" s="1" t="s">
        <v>1779</v>
      </c>
      <c r="C705" s="1" t="s">
        <v>1780</v>
      </c>
      <c r="D705" s="1" t="s">
        <v>202</v>
      </c>
      <c r="E705" s="1" t="s">
        <v>111</v>
      </c>
      <c r="F705" s="1">
        <v>1</v>
      </c>
      <c r="G705" s="1" t="s">
        <v>143</v>
      </c>
    </row>
    <row r="706" spans="1:9" hidden="1" x14ac:dyDescent="0.3">
      <c r="A706" s="1">
        <v>1603</v>
      </c>
      <c r="B706" s="1" t="s">
        <v>1781</v>
      </c>
      <c r="C706" s="1" t="s">
        <v>1782</v>
      </c>
      <c r="D706" s="1" t="s">
        <v>1631</v>
      </c>
      <c r="E706" s="1" t="s">
        <v>1663</v>
      </c>
      <c r="F706" s="1">
        <v>1</v>
      </c>
      <c r="G706" s="1" t="s">
        <v>143</v>
      </c>
    </row>
    <row r="707" spans="1:9" hidden="1" x14ac:dyDescent="0.3">
      <c r="A707" s="1">
        <v>1609</v>
      </c>
      <c r="B707" s="1" t="s">
        <v>1783</v>
      </c>
      <c r="C707" s="1" t="s">
        <v>1784</v>
      </c>
      <c r="D707" s="1" t="s">
        <v>336</v>
      </c>
      <c r="E707" s="1" t="s">
        <v>331</v>
      </c>
      <c r="F707" s="1">
        <v>0</v>
      </c>
      <c r="G707" s="1" t="s">
        <v>82</v>
      </c>
      <c r="I707" s="1" t="s">
        <v>188</v>
      </c>
    </row>
    <row r="708" spans="1:9" hidden="1" x14ac:dyDescent="0.3">
      <c r="A708" s="1">
        <v>1613</v>
      </c>
      <c r="B708" s="1" t="s">
        <v>1785</v>
      </c>
      <c r="C708" s="1" t="s">
        <v>1786</v>
      </c>
      <c r="D708" s="1" t="s">
        <v>345</v>
      </c>
      <c r="E708" s="1" t="s">
        <v>331</v>
      </c>
      <c r="F708" s="1">
        <v>1</v>
      </c>
      <c r="G708" s="1" t="s">
        <v>143</v>
      </c>
    </row>
    <row r="709" spans="1:9" hidden="1" x14ac:dyDescent="0.3">
      <c r="A709" s="1">
        <v>1621</v>
      </c>
      <c r="B709" s="1" t="s">
        <v>1787</v>
      </c>
      <c r="C709" s="1" t="s">
        <v>1788</v>
      </c>
      <c r="D709" s="1" t="s">
        <v>252</v>
      </c>
      <c r="E709" s="1" t="s">
        <v>340</v>
      </c>
      <c r="F709" s="1">
        <v>1</v>
      </c>
      <c r="G709" s="1" t="s">
        <v>143</v>
      </c>
    </row>
    <row r="710" spans="1:9" hidden="1" x14ac:dyDescent="0.3">
      <c r="A710" s="1">
        <v>1627</v>
      </c>
      <c r="B710" s="1" t="s">
        <v>1789</v>
      </c>
      <c r="C710" s="1" t="s">
        <v>1790</v>
      </c>
      <c r="D710" s="1" t="s">
        <v>1547</v>
      </c>
      <c r="E710" s="1" t="s">
        <v>111</v>
      </c>
      <c r="F710" s="1">
        <v>1</v>
      </c>
      <c r="G710" s="1" t="s">
        <v>143</v>
      </c>
    </row>
    <row r="711" spans="1:9" hidden="1" x14ac:dyDescent="0.3">
      <c r="A711" s="1">
        <v>1628</v>
      </c>
      <c r="B711" s="1" t="s">
        <v>1791</v>
      </c>
      <c r="C711" s="1" t="s">
        <v>1792</v>
      </c>
      <c r="D711" s="1" t="s">
        <v>323</v>
      </c>
      <c r="E711" s="1" t="s">
        <v>122</v>
      </c>
      <c r="F711" s="1">
        <v>0</v>
      </c>
      <c r="G711" s="1" t="s">
        <v>82</v>
      </c>
      <c r="I711" s="1" t="s">
        <v>123</v>
      </c>
    </row>
    <row r="712" spans="1:9" hidden="1" x14ac:dyDescent="0.3">
      <c r="A712" s="1">
        <v>1629</v>
      </c>
      <c r="B712" s="1" t="s">
        <v>1793</v>
      </c>
      <c r="C712" s="1" t="s">
        <v>1794</v>
      </c>
      <c r="D712" s="1" t="s">
        <v>323</v>
      </c>
      <c r="E712" s="1" t="s">
        <v>122</v>
      </c>
      <c r="F712" s="1">
        <v>0</v>
      </c>
      <c r="G712" s="1" t="s">
        <v>82</v>
      </c>
      <c r="I712" s="1" t="s">
        <v>123</v>
      </c>
    </row>
    <row r="713" spans="1:9" hidden="1" x14ac:dyDescent="0.3">
      <c r="A713" s="1">
        <v>1630</v>
      </c>
      <c r="B713" s="1" t="s">
        <v>1795</v>
      </c>
      <c r="C713" s="1" t="s">
        <v>1796</v>
      </c>
      <c r="D713" s="1" t="s">
        <v>887</v>
      </c>
      <c r="E713" s="1" t="s">
        <v>111</v>
      </c>
      <c r="F713" s="1">
        <v>1</v>
      </c>
      <c r="G713" s="1" t="s">
        <v>143</v>
      </c>
    </row>
    <row r="714" spans="1:9" hidden="1" x14ac:dyDescent="0.3">
      <c r="A714" s="1">
        <v>1631</v>
      </c>
      <c r="B714" s="1" t="s">
        <v>1797</v>
      </c>
      <c r="C714" s="1" t="s">
        <v>1798</v>
      </c>
      <c r="D714" s="1" t="s">
        <v>1006</v>
      </c>
      <c r="E714" s="1" t="s">
        <v>111</v>
      </c>
      <c r="F714" s="1">
        <v>1</v>
      </c>
      <c r="G714" s="1" t="s">
        <v>143</v>
      </c>
    </row>
    <row r="715" spans="1:9" hidden="1" x14ac:dyDescent="0.3">
      <c r="A715" s="1">
        <v>1634</v>
      </c>
      <c r="B715" s="1" t="s">
        <v>1799</v>
      </c>
      <c r="C715" s="1" t="s">
        <v>1800</v>
      </c>
      <c r="D715" s="1" t="s">
        <v>252</v>
      </c>
      <c r="E715" s="1" t="s">
        <v>259</v>
      </c>
      <c r="F715" s="1">
        <v>1</v>
      </c>
      <c r="G715" s="1" t="s">
        <v>143</v>
      </c>
    </row>
    <row r="716" spans="1:9" hidden="1" x14ac:dyDescent="0.3">
      <c r="A716" s="1">
        <v>1637</v>
      </c>
      <c r="B716" s="1" t="s">
        <v>1801</v>
      </c>
      <c r="C716" s="1" t="s">
        <v>1802</v>
      </c>
      <c r="D716" s="1" t="s">
        <v>252</v>
      </c>
      <c r="E716" s="1" t="s">
        <v>259</v>
      </c>
      <c r="F716" s="1">
        <v>1</v>
      </c>
      <c r="G716" s="1" t="s">
        <v>143</v>
      </c>
    </row>
    <row r="717" spans="1:9" hidden="1" x14ac:dyDescent="0.3">
      <c r="A717" s="1">
        <v>1638</v>
      </c>
      <c r="B717" s="1" t="s">
        <v>1803</v>
      </c>
      <c r="C717" s="1" t="s">
        <v>1804</v>
      </c>
      <c r="D717" s="1" t="s">
        <v>252</v>
      </c>
      <c r="E717" s="1" t="s">
        <v>255</v>
      </c>
      <c r="F717" s="1">
        <v>0</v>
      </c>
      <c r="G717" s="1" t="s">
        <v>82</v>
      </c>
      <c r="I717" s="1" t="s">
        <v>188</v>
      </c>
    </row>
    <row r="718" spans="1:9" hidden="1" x14ac:dyDescent="0.3">
      <c r="A718" s="1">
        <v>1639</v>
      </c>
      <c r="B718" s="1" t="s">
        <v>1805</v>
      </c>
      <c r="C718" s="1" t="s">
        <v>1806</v>
      </c>
      <c r="D718" s="1" t="s">
        <v>252</v>
      </c>
      <c r="E718" s="1" t="s">
        <v>255</v>
      </c>
      <c r="F718" s="1">
        <v>0</v>
      </c>
      <c r="G718" s="1" t="s">
        <v>82</v>
      </c>
      <c r="I718" s="1" t="s">
        <v>188</v>
      </c>
    </row>
    <row r="719" spans="1:9" hidden="1" x14ac:dyDescent="0.3">
      <c r="A719" s="1">
        <v>1642</v>
      </c>
      <c r="B719" s="1" t="s">
        <v>1807</v>
      </c>
      <c r="C719" s="1" t="s">
        <v>1808</v>
      </c>
      <c r="D719" s="1" t="s">
        <v>252</v>
      </c>
      <c r="E719" s="1" t="s">
        <v>255</v>
      </c>
      <c r="F719" s="1">
        <v>0</v>
      </c>
      <c r="G719" s="1" t="s">
        <v>82</v>
      </c>
      <c r="I719" s="1" t="s">
        <v>188</v>
      </c>
    </row>
    <row r="720" spans="1:9" hidden="1" x14ac:dyDescent="0.3">
      <c r="A720" s="1">
        <v>1643</v>
      </c>
      <c r="B720" s="1" t="s">
        <v>1809</v>
      </c>
      <c r="C720" s="1" t="s">
        <v>1810</v>
      </c>
      <c r="D720" s="1" t="s">
        <v>422</v>
      </c>
      <c r="E720" s="1" t="s">
        <v>259</v>
      </c>
      <c r="F720" s="1">
        <v>0</v>
      </c>
      <c r="G720" s="1" t="s">
        <v>82</v>
      </c>
      <c r="I720" s="1" t="s">
        <v>188</v>
      </c>
    </row>
    <row r="721" spans="1:9" hidden="1" x14ac:dyDescent="0.3">
      <c r="A721" s="1">
        <v>1644</v>
      </c>
      <c r="B721" s="1" t="s">
        <v>1811</v>
      </c>
      <c r="C721" s="1" t="s">
        <v>1812</v>
      </c>
      <c r="D721" s="1" t="s">
        <v>252</v>
      </c>
      <c r="E721" s="1" t="s">
        <v>255</v>
      </c>
      <c r="F721" s="1">
        <v>1</v>
      </c>
      <c r="G721" s="1" t="s">
        <v>143</v>
      </c>
    </row>
    <row r="722" spans="1:9" hidden="1" x14ac:dyDescent="0.3">
      <c r="A722" s="1">
        <v>1647</v>
      </c>
      <c r="B722" s="1" t="s">
        <v>1813</v>
      </c>
      <c r="C722" s="1" t="s">
        <v>1814</v>
      </c>
      <c r="D722" s="1" t="s">
        <v>252</v>
      </c>
      <c r="E722" s="1" t="s">
        <v>255</v>
      </c>
      <c r="F722" s="1">
        <v>1</v>
      </c>
      <c r="G722" s="1" t="s">
        <v>143</v>
      </c>
      <c r="I722" s="1" t="s">
        <v>188</v>
      </c>
    </row>
    <row r="723" spans="1:9" hidden="1" x14ac:dyDescent="0.3">
      <c r="A723" s="1">
        <v>1648</v>
      </c>
      <c r="B723" s="1" t="s">
        <v>1815</v>
      </c>
      <c r="C723" s="1" t="s">
        <v>1816</v>
      </c>
      <c r="D723" s="1" t="s">
        <v>252</v>
      </c>
      <c r="E723" s="1" t="s">
        <v>255</v>
      </c>
      <c r="F723" s="1">
        <v>0</v>
      </c>
      <c r="G723" s="1" t="s">
        <v>82</v>
      </c>
      <c r="I723" s="1" t="s">
        <v>188</v>
      </c>
    </row>
    <row r="724" spans="1:9" hidden="1" x14ac:dyDescent="0.3">
      <c r="A724" s="1">
        <v>1649</v>
      </c>
      <c r="B724" s="1" t="s">
        <v>1817</v>
      </c>
      <c r="C724" s="1" t="s">
        <v>1818</v>
      </c>
      <c r="D724" s="1" t="s">
        <v>252</v>
      </c>
      <c r="E724" s="1" t="s">
        <v>259</v>
      </c>
      <c r="F724" s="1">
        <v>1</v>
      </c>
      <c r="G724" s="1" t="s">
        <v>143</v>
      </c>
    </row>
    <row r="725" spans="1:9" hidden="1" x14ac:dyDescent="0.3">
      <c r="A725" s="1">
        <v>1650</v>
      </c>
      <c r="B725" s="1" t="s">
        <v>1819</v>
      </c>
      <c r="C725" s="1" t="s">
        <v>1820</v>
      </c>
      <c r="D725" s="1" t="s">
        <v>252</v>
      </c>
      <c r="E725" s="1" t="s">
        <v>255</v>
      </c>
      <c r="F725" s="1">
        <v>1</v>
      </c>
      <c r="G725" s="1" t="s">
        <v>143</v>
      </c>
    </row>
    <row r="726" spans="1:9" hidden="1" x14ac:dyDescent="0.3">
      <c r="A726" s="1">
        <v>1652</v>
      </c>
      <c r="B726" s="1" t="s">
        <v>1821</v>
      </c>
      <c r="C726" s="1" t="s">
        <v>1822</v>
      </c>
      <c r="D726" s="1" t="s">
        <v>252</v>
      </c>
      <c r="E726" s="1" t="s">
        <v>259</v>
      </c>
      <c r="F726" s="1">
        <v>1</v>
      </c>
      <c r="G726" s="1" t="s">
        <v>143</v>
      </c>
    </row>
    <row r="727" spans="1:9" hidden="1" x14ac:dyDescent="0.3">
      <c r="A727" s="1">
        <v>1654</v>
      </c>
      <c r="B727" s="1" t="s">
        <v>1823</v>
      </c>
      <c r="C727" s="1" t="s">
        <v>1824</v>
      </c>
      <c r="D727" s="1" t="s">
        <v>779</v>
      </c>
      <c r="E727" s="1" t="s">
        <v>1825</v>
      </c>
      <c r="F727" s="1">
        <v>0</v>
      </c>
      <c r="G727" s="1" t="s">
        <v>82</v>
      </c>
      <c r="I727" s="1" t="s">
        <v>84</v>
      </c>
    </row>
    <row r="728" spans="1:9" hidden="1" x14ac:dyDescent="0.3">
      <c r="A728" s="1">
        <v>1658</v>
      </c>
      <c r="B728" s="1" t="s">
        <v>1826</v>
      </c>
      <c r="C728" s="1" t="s">
        <v>1827</v>
      </c>
      <c r="D728" s="1" t="s">
        <v>252</v>
      </c>
      <c r="E728" s="1" t="s">
        <v>255</v>
      </c>
      <c r="F728" s="1">
        <v>0</v>
      </c>
      <c r="G728" s="1" t="s">
        <v>82</v>
      </c>
      <c r="I728" s="1" t="s">
        <v>188</v>
      </c>
    </row>
    <row r="729" spans="1:9" hidden="1" x14ac:dyDescent="0.3">
      <c r="A729" s="1">
        <v>1659</v>
      </c>
      <c r="B729" s="1" t="s">
        <v>1828</v>
      </c>
      <c r="C729" s="1" t="s">
        <v>1829</v>
      </c>
      <c r="D729" s="1" t="s">
        <v>252</v>
      </c>
      <c r="E729" s="1" t="s">
        <v>259</v>
      </c>
      <c r="F729" s="1">
        <v>0</v>
      </c>
      <c r="G729" s="1" t="s">
        <v>82</v>
      </c>
      <c r="I729" s="1" t="s">
        <v>188</v>
      </c>
    </row>
    <row r="730" spans="1:9" hidden="1" x14ac:dyDescent="0.3">
      <c r="A730" s="1">
        <v>1662</v>
      </c>
      <c r="B730" s="1" t="s">
        <v>1830</v>
      </c>
      <c r="C730" s="1" t="s">
        <v>1831</v>
      </c>
      <c r="D730" s="1" t="s">
        <v>252</v>
      </c>
      <c r="E730" s="1" t="s">
        <v>340</v>
      </c>
      <c r="F730" s="1">
        <v>0</v>
      </c>
      <c r="G730" s="1" t="s">
        <v>82</v>
      </c>
      <c r="I730" s="1" t="s">
        <v>188</v>
      </c>
    </row>
    <row r="731" spans="1:9" hidden="1" x14ac:dyDescent="0.3">
      <c r="A731" s="1">
        <v>1663</v>
      </c>
      <c r="B731" s="1" t="s">
        <v>1832</v>
      </c>
      <c r="C731" s="1" t="s">
        <v>1833</v>
      </c>
      <c r="D731" s="1" t="s">
        <v>252</v>
      </c>
      <c r="E731" s="1" t="s">
        <v>259</v>
      </c>
      <c r="F731" s="1">
        <v>1</v>
      </c>
      <c r="G731" s="1" t="s">
        <v>143</v>
      </c>
      <c r="I731" s="1" t="s">
        <v>188</v>
      </c>
    </row>
    <row r="732" spans="1:9" hidden="1" x14ac:dyDescent="0.3">
      <c r="A732" s="1">
        <v>1665</v>
      </c>
      <c r="B732" s="1" t="s">
        <v>1834</v>
      </c>
      <c r="C732" s="1" t="s">
        <v>1835</v>
      </c>
      <c r="D732" s="1" t="s">
        <v>345</v>
      </c>
      <c r="E732" s="1" t="s">
        <v>259</v>
      </c>
      <c r="F732" s="1">
        <v>1</v>
      </c>
      <c r="G732" s="1" t="s">
        <v>143</v>
      </c>
    </row>
    <row r="733" spans="1:9" hidden="1" x14ac:dyDescent="0.3">
      <c r="A733" s="1">
        <v>1666</v>
      </c>
      <c r="B733" s="1" t="s">
        <v>1836</v>
      </c>
      <c r="C733" s="1" t="s">
        <v>1837</v>
      </c>
      <c r="D733" s="1" t="s">
        <v>422</v>
      </c>
      <c r="E733" s="1" t="s">
        <v>255</v>
      </c>
      <c r="F733" s="1">
        <v>1</v>
      </c>
      <c r="G733" s="1" t="s">
        <v>143</v>
      </c>
    </row>
    <row r="734" spans="1:9" hidden="1" x14ac:dyDescent="0.3">
      <c r="A734" s="1">
        <v>1669</v>
      </c>
      <c r="B734" s="1" t="s">
        <v>1838</v>
      </c>
      <c r="C734" s="1" t="s">
        <v>1839</v>
      </c>
      <c r="D734" s="1" t="s">
        <v>252</v>
      </c>
      <c r="E734" s="1" t="s">
        <v>255</v>
      </c>
      <c r="F734" s="1">
        <v>0</v>
      </c>
      <c r="G734" s="1" t="s">
        <v>82</v>
      </c>
      <c r="I734" s="1" t="s">
        <v>188</v>
      </c>
    </row>
    <row r="735" spans="1:9" hidden="1" x14ac:dyDescent="0.3">
      <c r="A735" s="1">
        <v>1670</v>
      </c>
      <c r="B735" s="1" t="s">
        <v>1840</v>
      </c>
      <c r="C735" s="1" t="s">
        <v>1841</v>
      </c>
      <c r="D735" s="1" t="s">
        <v>252</v>
      </c>
      <c r="E735" s="1" t="s">
        <v>255</v>
      </c>
      <c r="F735" s="1">
        <v>1</v>
      </c>
      <c r="G735" s="1" t="s">
        <v>143</v>
      </c>
    </row>
    <row r="736" spans="1:9" hidden="1" x14ac:dyDescent="0.3">
      <c r="A736" s="1">
        <v>1671</v>
      </c>
      <c r="B736" s="1" t="s">
        <v>1842</v>
      </c>
      <c r="C736" s="1" t="s">
        <v>1843</v>
      </c>
      <c r="D736" s="1" t="s">
        <v>252</v>
      </c>
      <c r="E736" s="1" t="s">
        <v>255</v>
      </c>
      <c r="F736" s="1">
        <v>1</v>
      </c>
      <c r="G736" s="1" t="s">
        <v>143</v>
      </c>
      <c r="I736" s="1" t="s">
        <v>188</v>
      </c>
    </row>
    <row r="737" spans="1:9" hidden="1" x14ac:dyDescent="0.3">
      <c r="A737" s="1">
        <v>1672</v>
      </c>
      <c r="B737" s="1" t="s">
        <v>1844</v>
      </c>
      <c r="C737" s="1" t="s">
        <v>1845</v>
      </c>
      <c r="D737" s="1" t="s">
        <v>252</v>
      </c>
      <c r="E737" s="1" t="s">
        <v>340</v>
      </c>
      <c r="F737" s="1">
        <v>1</v>
      </c>
      <c r="G737" s="1" t="s">
        <v>143</v>
      </c>
    </row>
    <row r="738" spans="1:9" hidden="1" x14ac:dyDescent="0.3">
      <c r="A738" s="1">
        <v>1674</v>
      </c>
      <c r="B738" s="1" t="s">
        <v>1846</v>
      </c>
      <c r="C738" s="1" t="s">
        <v>1847</v>
      </c>
      <c r="D738" s="1" t="s">
        <v>422</v>
      </c>
      <c r="E738" s="1" t="s">
        <v>255</v>
      </c>
      <c r="F738" s="1">
        <v>1</v>
      </c>
      <c r="G738" s="1" t="s">
        <v>143</v>
      </c>
    </row>
    <row r="739" spans="1:9" hidden="1" x14ac:dyDescent="0.3">
      <c r="A739" s="1">
        <v>1675</v>
      </c>
      <c r="B739" s="1" t="s">
        <v>1848</v>
      </c>
      <c r="C739" s="1" t="s">
        <v>1849</v>
      </c>
      <c r="D739" s="1" t="s">
        <v>278</v>
      </c>
      <c r="E739" s="1" t="s">
        <v>255</v>
      </c>
      <c r="F739" s="1">
        <v>1</v>
      </c>
      <c r="G739" s="1" t="s">
        <v>143</v>
      </c>
    </row>
    <row r="740" spans="1:9" hidden="1" x14ac:dyDescent="0.3">
      <c r="A740" s="1">
        <v>1677</v>
      </c>
      <c r="B740" s="1" t="s">
        <v>1850</v>
      </c>
      <c r="C740" s="1" t="s">
        <v>1851</v>
      </c>
      <c r="D740" s="1" t="s">
        <v>252</v>
      </c>
      <c r="E740" s="1" t="s">
        <v>255</v>
      </c>
      <c r="F740" s="1">
        <v>1</v>
      </c>
      <c r="G740" s="1" t="s">
        <v>143</v>
      </c>
    </row>
    <row r="741" spans="1:9" hidden="1" x14ac:dyDescent="0.3">
      <c r="A741" s="1">
        <v>1681</v>
      </c>
      <c r="B741" s="1" t="s">
        <v>1852</v>
      </c>
      <c r="C741" s="1" t="s">
        <v>1853</v>
      </c>
      <c r="D741" s="1" t="s">
        <v>252</v>
      </c>
      <c r="E741" s="1" t="s">
        <v>259</v>
      </c>
      <c r="F741" s="1">
        <v>1</v>
      </c>
      <c r="G741" s="1" t="s">
        <v>143</v>
      </c>
    </row>
    <row r="742" spans="1:9" hidden="1" x14ac:dyDescent="0.3">
      <c r="A742" s="1">
        <v>1682</v>
      </c>
      <c r="B742" s="1" t="s">
        <v>1854</v>
      </c>
      <c r="C742" s="1" t="s">
        <v>1855</v>
      </c>
      <c r="D742" s="1" t="s">
        <v>345</v>
      </c>
      <c r="E742" s="1" t="s">
        <v>259</v>
      </c>
      <c r="F742" s="1">
        <v>0</v>
      </c>
      <c r="G742" s="1" t="s">
        <v>82</v>
      </c>
      <c r="I742" s="1" t="s">
        <v>188</v>
      </c>
    </row>
    <row r="743" spans="1:9" hidden="1" x14ac:dyDescent="0.3">
      <c r="A743" s="1">
        <v>1684</v>
      </c>
      <c r="B743" s="1" t="s">
        <v>1856</v>
      </c>
      <c r="C743" s="1" t="s">
        <v>1857</v>
      </c>
      <c r="D743" s="1" t="s">
        <v>252</v>
      </c>
      <c r="E743" s="1" t="s">
        <v>259</v>
      </c>
      <c r="F743" s="1">
        <v>1</v>
      </c>
      <c r="G743" s="1" t="s">
        <v>143</v>
      </c>
    </row>
    <row r="744" spans="1:9" hidden="1" x14ac:dyDescent="0.3">
      <c r="A744" s="1">
        <v>1685</v>
      </c>
      <c r="B744" s="1" t="s">
        <v>1858</v>
      </c>
      <c r="C744" s="1" t="s">
        <v>1859</v>
      </c>
      <c r="D744" s="1" t="s">
        <v>252</v>
      </c>
      <c r="E744" s="1" t="s">
        <v>259</v>
      </c>
      <c r="F744" s="1">
        <v>1</v>
      </c>
      <c r="G744" s="1" t="s">
        <v>143</v>
      </c>
    </row>
    <row r="745" spans="1:9" hidden="1" x14ac:dyDescent="0.3">
      <c r="A745" s="1">
        <v>1686</v>
      </c>
      <c r="B745" s="1" t="s">
        <v>1860</v>
      </c>
      <c r="C745" s="1" t="s">
        <v>1861</v>
      </c>
      <c r="D745" s="1" t="s">
        <v>422</v>
      </c>
      <c r="E745" s="1" t="s">
        <v>255</v>
      </c>
      <c r="F745" s="1">
        <v>1</v>
      </c>
      <c r="G745" s="1" t="s">
        <v>143</v>
      </c>
    </row>
    <row r="746" spans="1:9" hidden="1" x14ac:dyDescent="0.3">
      <c r="A746" s="1">
        <v>1690</v>
      </c>
      <c r="B746" s="1" t="s">
        <v>1862</v>
      </c>
      <c r="C746" s="1" t="s">
        <v>1863</v>
      </c>
      <c r="D746" s="1" t="s">
        <v>252</v>
      </c>
      <c r="E746" s="1" t="s">
        <v>255</v>
      </c>
      <c r="F746" s="1">
        <v>0</v>
      </c>
      <c r="G746" s="1" t="s">
        <v>82</v>
      </c>
      <c r="I746" s="1" t="s">
        <v>188</v>
      </c>
    </row>
    <row r="747" spans="1:9" hidden="1" x14ac:dyDescent="0.3">
      <c r="A747" s="1">
        <v>1692</v>
      </c>
      <c r="B747" s="1" t="s">
        <v>1864</v>
      </c>
      <c r="C747" s="1" t="s">
        <v>1865</v>
      </c>
      <c r="D747" s="1" t="s">
        <v>252</v>
      </c>
      <c r="E747" s="1" t="s">
        <v>147</v>
      </c>
      <c r="F747" s="1">
        <v>0</v>
      </c>
      <c r="G747" s="1" t="s">
        <v>82</v>
      </c>
      <c r="I747" s="1" t="s">
        <v>188</v>
      </c>
    </row>
    <row r="748" spans="1:9" hidden="1" x14ac:dyDescent="0.3">
      <c r="A748" s="1">
        <v>1696</v>
      </c>
      <c r="B748" s="1" t="s">
        <v>1866</v>
      </c>
      <c r="C748" s="1" t="s">
        <v>1867</v>
      </c>
      <c r="D748" s="1" t="s">
        <v>252</v>
      </c>
      <c r="E748" s="1" t="s">
        <v>255</v>
      </c>
      <c r="F748" s="1">
        <v>1</v>
      </c>
      <c r="G748" s="1" t="s">
        <v>143</v>
      </c>
      <c r="I748" s="1" t="s">
        <v>188</v>
      </c>
    </row>
    <row r="749" spans="1:9" hidden="1" x14ac:dyDescent="0.3">
      <c r="A749" s="1">
        <v>1699</v>
      </c>
      <c r="B749" s="1" t="s">
        <v>1868</v>
      </c>
      <c r="C749" s="1" t="s">
        <v>1869</v>
      </c>
      <c r="D749" s="1" t="s">
        <v>1870</v>
      </c>
      <c r="E749" s="1" t="s">
        <v>118</v>
      </c>
      <c r="F749" s="1">
        <v>0</v>
      </c>
      <c r="G749" s="1" t="s">
        <v>82</v>
      </c>
      <c r="I749" s="1" t="s">
        <v>123</v>
      </c>
    </row>
    <row r="750" spans="1:9" hidden="1" x14ac:dyDescent="0.3">
      <c r="A750" s="1">
        <v>1700</v>
      </c>
      <c r="B750" s="1" t="s">
        <v>1871</v>
      </c>
      <c r="C750" s="1" t="s">
        <v>1872</v>
      </c>
      <c r="D750" s="1" t="s">
        <v>1873</v>
      </c>
      <c r="E750" s="1" t="s">
        <v>142</v>
      </c>
      <c r="F750" s="1">
        <v>0</v>
      </c>
      <c r="G750" s="1" t="s">
        <v>82</v>
      </c>
      <c r="H750" s="1" t="s">
        <v>1874</v>
      </c>
      <c r="I750" s="1" t="s">
        <v>123</v>
      </c>
    </row>
    <row r="751" spans="1:9" hidden="1" x14ac:dyDescent="0.3">
      <c r="A751" s="1">
        <v>1701</v>
      </c>
      <c r="B751" s="1" t="s">
        <v>1875</v>
      </c>
      <c r="C751" s="1" t="s">
        <v>1876</v>
      </c>
      <c r="D751" s="1" t="s">
        <v>435</v>
      </c>
      <c r="E751" s="1" t="s">
        <v>111</v>
      </c>
      <c r="F751" s="1">
        <v>1</v>
      </c>
      <c r="G751" s="1" t="s">
        <v>143</v>
      </c>
    </row>
    <row r="752" spans="1:9" hidden="1" x14ac:dyDescent="0.3">
      <c r="A752" s="1">
        <v>1702</v>
      </c>
      <c r="B752" s="1" t="s">
        <v>1877</v>
      </c>
      <c r="C752" s="1" t="s">
        <v>1878</v>
      </c>
      <c r="D752" s="1" t="s">
        <v>623</v>
      </c>
      <c r="E752" s="1" t="s">
        <v>111</v>
      </c>
      <c r="F752" s="1">
        <v>1</v>
      </c>
      <c r="G752" s="1" t="s">
        <v>143</v>
      </c>
    </row>
    <row r="753" spans="1:9" hidden="1" x14ac:dyDescent="0.3">
      <c r="A753" s="1">
        <v>1703</v>
      </c>
      <c r="B753" s="1" t="s">
        <v>1879</v>
      </c>
      <c r="C753" s="1" t="s">
        <v>1880</v>
      </c>
      <c r="D753" s="1" t="s">
        <v>435</v>
      </c>
      <c r="E753" s="1" t="s">
        <v>111</v>
      </c>
      <c r="F753" s="1">
        <v>1</v>
      </c>
      <c r="G753" s="1" t="s">
        <v>143</v>
      </c>
    </row>
    <row r="754" spans="1:9" hidden="1" x14ac:dyDescent="0.3">
      <c r="A754" s="1">
        <v>1704</v>
      </c>
      <c r="B754" s="1" t="s">
        <v>1881</v>
      </c>
      <c r="C754" s="1" t="s">
        <v>1882</v>
      </c>
      <c r="D754" s="1" t="s">
        <v>623</v>
      </c>
      <c r="E754" s="1" t="s">
        <v>111</v>
      </c>
      <c r="F754" s="1">
        <v>1</v>
      </c>
      <c r="G754" s="1" t="s">
        <v>143</v>
      </c>
    </row>
    <row r="755" spans="1:9" hidden="1" x14ac:dyDescent="0.3">
      <c r="A755" s="1">
        <v>1706</v>
      </c>
      <c r="B755" s="1" t="s">
        <v>1883</v>
      </c>
      <c r="C755" s="1" t="s">
        <v>1884</v>
      </c>
      <c r="D755" s="1" t="s">
        <v>623</v>
      </c>
      <c r="E755" s="1" t="s">
        <v>111</v>
      </c>
      <c r="F755" s="1">
        <v>1</v>
      </c>
      <c r="G755" s="1" t="s">
        <v>143</v>
      </c>
    </row>
    <row r="756" spans="1:9" hidden="1" x14ac:dyDescent="0.3">
      <c r="A756" s="1">
        <v>1707</v>
      </c>
      <c r="B756" s="1" t="s">
        <v>1885</v>
      </c>
      <c r="C756" s="1" t="s">
        <v>1886</v>
      </c>
      <c r="D756" s="1" t="s">
        <v>583</v>
      </c>
      <c r="E756" s="1" t="s">
        <v>111</v>
      </c>
      <c r="F756" s="1">
        <v>0</v>
      </c>
      <c r="G756" s="1" t="s">
        <v>82</v>
      </c>
      <c r="I756" s="1" t="s">
        <v>123</v>
      </c>
    </row>
    <row r="757" spans="1:9" hidden="1" x14ac:dyDescent="0.3">
      <c r="A757" s="1">
        <v>1708</v>
      </c>
      <c r="B757" s="1" t="s">
        <v>1887</v>
      </c>
      <c r="C757" s="1" t="s">
        <v>1888</v>
      </c>
      <c r="D757" s="1" t="s">
        <v>623</v>
      </c>
      <c r="E757" s="1" t="s">
        <v>111</v>
      </c>
      <c r="F757" s="1">
        <v>1</v>
      </c>
      <c r="G757" s="1" t="s">
        <v>143</v>
      </c>
    </row>
    <row r="758" spans="1:9" hidden="1" x14ac:dyDescent="0.3">
      <c r="A758" s="1">
        <v>1709</v>
      </c>
      <c r="B758" s="1" t="s">
        <v>1889</v>
      </c>
      <c r="C758" s="1" t="s">
        <v>1890</v>
      </c>
      <c r="D758" s="1" t="s">
        <v>1146</v>
      </c>
      <c r="E758" s="1" t="s">
        <v>111</v>
      </c>
      <c r="F758" s="1">
        <v>0</v>
      </c>
      <c r="G758" s="1" t="s">
        <v>82</v>
      </c>
      <c r="I758" s="1" t="s">
        <v>123</v>
      </c>
    </row>
    <row r="759" spans="1:9" hidden="1" x14ac:dyDescent="0.3">
      <c r="A759" s="1">
        <v>1710</v>
      </c>
      <c r="B759" s="1" t="s">
        <v>1891</v>
      </c>
      <c r="C759" s="1" t="s">
        <v>1892</v>
      </c>
      <c r="D759" s="1" t="s">
        <v>623</v>
      </c>
      <c r="E759" s="1" t="s">
        <v>111</v>
      </c>
      <c r="F759" s="1">
        <v>1</v>
      </c>
      <c r="G759" s="1" t="s">
        <v>143</v>
      </c>
    </row>
    <row r="760" spans="1:9" hidden="1" x14ac:dyDescent="0.3">
      <c r="A760" s="1">
        <v>1711</v>
      </c>
      <c r="B760" s="1" t="s">
        <v>1893</v>
      </c>
      <c r="C760" s="1" t="s">
        <v>1894</v>
      </c>
      <c r="D760" s="1" t="s">
        <v>1895</v>
      </c>
      <c r="E760" s="1" t="s">
        <v>68</v>
      </c>
      <c r="F760" s="1">
        <v>0</v>
      </c>
      <c r="G760" s="1" t="s">
        <v>82</v>
      </c>
      <c r="I760" s="1" t="s">
        <v>123</v>
      </c>
    </row>
    <row r="761" spans="1:9" hidden="1" x14ac:dyDescent="0.3">
      <c r="A761" s="1">
        <v>1713</v>
      </c>
      <c r="B761" s="1" t="s">
        <v>1896</v>
      </c>
      <c r="C761" s="1" t="s">
        <v>1897</v>
      </c>
      <c r="D761" s="1" t="s">
        <v>1898</v>
      </c>
      <c r="E761" s="1" t="s">
        <v>95</v>
      </c>
      <c r="F761" s="1">
        <v>0</v>
      </c>
      <c r="G761" s="1" t="s">
        <v>82</v>
      </c>
      <c r="I761" s="1" t="s">
        <v>123</v>
      </c>
    </row>
    <row r="762" spans="1:9" hidden="1" x14ac:dyDescent="0.3">
      <c r="A762" s="1">
        <v>1714</v>
      </c>
      <c r="B762" s="1" t="s">
        <v>1899</v>
      </c>
      <c r="C762" s="1" t="s">
        <v>1900</v>
      </c>
      <c r="D762" s="1" t="s">
        <v>1901</v>
      </c>
      <c r="E762" s="1" t="s">
        <v>91</v>
      </c>
      <c r="F762" s="1">
        <v>1</v>
      </c>
      <c r="G762" s="1" t="s">
        <v>143</v>
      </c>
    </row>
    <row r="763" spans="1:9" hidden="1" x14ac:dyDescent="0.3">
      <c r="A763" s="1">
        <v>1715</v>
      </c>
      <c r="B763" s="1" t="s">
        <v>1902</v>
      </c>
      <c r="C763" s="1" t="s">
        <v>1903</v>
      </c>
      <c r="D763" s="1" t="s">
        <v>345</v>
      </c>
      <c r="E763" s="1" t="s">
        <v>331</v>
      </c>
      <c r="F763" s="1">
        <v>1</v>
      </c>
      <c r="G763" s="1" t="s">
        <v>143</v>
      </c>
    </row>
    <row r="764" spans="1:9" hidden="1" x14ac:dyDescent="0.3">
      <c r="A764" s="1">
        <v>1719</v>
      </c>
      <c r="B764" s="1" t="s">
        <v>1904</v>
      </c>
      <c r="C764" s="1" t="s">
        <v>1905</v>
      </c>
      <c r="D764" s="1" t="s">
        <v>278</v>
      </c>
      <c r="E764" s="1" t="s">
        <v>259</v>
      </c>
      <c r="F764" s="1">
        <v>1</v>
      </c>
      <c r="G764" s="1" t="s">
        <v>143</v>
      </c>
      <c r="I764" s="1" t="s">
        <v>188</v>
      </c>
    </row>
    <row r="765" spans="1:9" hidden="1" x14ac:dyDescent="0.3">
      <c r="A765" s="1">
        <v>1721</v>
      </c>
      <c r="B765" s="1" t="s">
        <v>1906</v>
      </c>
      <c r="C765" s="1" t="s">
        <v>1907</v>
      </c>
      <c r="D765" s="1" t="s">
        <v>252</v>
      </c>
      <c r="E765" s="1" t="s">
        <v>340</v>
      </c>
      <c r="F765" s="1">
        <v>0</v>
      </c>
      <c r="G765" s="1" t="s">
        <v>82</v>
      </c>
      <c r="I765" s="1" t="s">
        <v>188</v>
      </c>
    </row>
    <row r="766" spans="1:9" hidden="1" x14ac:dyDescent="0.3">
      <c r="A766" s="1">
        <v>1722</v>
      </c>
      <c r="B766" s="1" t="s">
        <v>1908</v>
      </c>
      <c r="C766" s="1" t="s">
        <v>1909</v>
      </c>
      <c r="D766" s="1" t="s">
        <v>252</v>
      </c>
      <c r="E766" s="1" t="s">
        <v>255</v>
      </c>
      <c r="F766" s="1">
        <v>1</v>
      </c>
      <c r="G766" s="1" t="s">
        <v>143</v>
      </c>
    </row>
    <row r="767" spans="1:9" hidden="1" x14ac:dyDescent="0.3">
      <c r="A767" s="1">
        <v>1724</v>
      </c>
      <c r="B767" s="1" t="s">
        <v>1910</v>
      </c>
      <c r="C767" s="1" t="s">
        <v>1911</v>
      </c>
      <c r="D767" s="1" t="s">
        <v>336</v>
      </c>
      <c r="E767" s="1" t="s">
        <v>331</v>
      </c>
      <c r="F767" s="1">
        <v>0</v>
      </c>
      <c r="G767" s="1" t="s">
        <v>82</v>
      </c>
      <c r="I767" s="1" t="s">
        <v>188</v>
      </c>
    </row>
    <row r="768" spans="1:9" hidden="1" x14ac:dyDescent="0.3">
      <c r="A768" s="1">
        <v>1729</v>
      </c>
      <c r="B768" s="1" t="s">
        <v>1912</v>
      </c>
      <c r="C768" s="1" t="s">
        <v>1913</v>
      </c>
      <c r="D768" s="1" t="s">
        <v>1914</v>
      </c>
      <c r="E768" s="1" t="s">
        <v>215</v>
      </c>
      <c r="F768" s="1">
        <v>1</v>
      </c>
      <c r="G768" s="1" t="s">
        <v>143</v>
      </c>
    </row>
    <row r="769" spans="1:9" hidden="1" x14ac:dyDescent="0.3">
      <c r="A769" s="1">
        <v>1730</v>
      </c>
      <c r="B769" s="1" t="s">
        <v>1915</v>
      </c>
      <c r="C769" s="1" t="s">
        <v>1916</v>
      </c>
      <c r="D769" s="1" t="s">
        <v>1030</v>
      </c>
      <c r="E769" s="1" t="s">
        <v>134</v>
      </c>
      <c r="F769" s="1">
        <v>1</v>
      </c>
      <c r="G769" s="1" t="s">
        <v>143</v>
      </c>
    </row>
    <row r="770" spans="1:9" hidden="1" x14ac:dyDescent="0.3">
      <c r="A770" s="1">
        <v>1733</v>
      </c>
      <c r="B770" s="1" t="s">
        <v>1917</v>
      </c>
      <c r="C770" s="1" t="s">
        <v>1918</v>
      </c>
      <c r="D770" s="1" t="s">
        <v>1919</v>
      </c>
      <c r="E770" s="1" t="s">
        <v>645</v>
      </c>
      <c r="F770" s="1">
        <v>1</v>
      </c>
      <c r="G770" s="1" t="s">
        <v>143</v>
      </c>
      <c r="I770" s="1" t="s">
        <v>84</v>
      </c>
    </row>
    <row r="771" spans="1:9" hidden="1" x14ac:dyDescent="0.3">
      <c r="A771" s="1">
        <v>1734</v>
      </c>
      <c r="B771" s="1" t="s">
        <v>1920</v>
      </c>
      <c r="C771" s="1" t="s">
        <v>1921</v>
      </c>
      <c r="D771" s="1" t="s">
        <v>422</v>
      </c>
      <c r="E771" s="1" t="s">
        <v>255</v>
      </c>
      <c r="F771" s="1">
        <v>1</v>
      </c>
      <c r="G771" s="1" t="s">
        <v>143</v>
      </c>
    </row>
    <row r="772" spans="1:9" hidden="1" x14ac:dyDescent="0.3">
      <c r="A772" s="1">
        <v>1735</v>
      </c>
      <c r="B772" s="1" t="s">
        <v>1922</v>
      </c>
      <c r="C772" s="1" t="s">
        <v>1923</v>
      </c>
      <c r="D772" s="1" t="s">
        <v>847</v>
      </c>
      <c r="E772" s="1" t="s">
        <v>111</v>
      </c>
      <c r="F772" s="1">
        <v>1</v>
      </c>
      <c r="G772" s="1" t="s">
        <v>143</v>
      </c>
    </row>
    <row r="773" spans="1:9" hidden="1" x14ac:dyDescent="0.3">
      <c r="A773" s="1">
        <v>1736</v>
      </c>
      <c r="B773" s="1" t="s">
        <v>1924</v>
      </c>
      <c r="C773" s="1" t="s">
        <v>1925</v>
      </c>
      <c r="D773" s="1" t="s">
        <v>252</v>
      </c>
      <c r="E773" s="1" t="s">
        <v>255</v>
      </c>
      <c r="F773" s="1">
        <v>0</v>
      </c>
      <c r="G773" s="1" t="s">
        <v>82</v>
      </c>
      <c r="I773" s="1" t="s">
        <v>188</v>
      </c>
    </row>
    <row r="774" spans="1:9" hidden="1" x14ac:dyDescent="0.3">
      <c r="A774" s="1">
        <v>1742</v>
      </c>
      <c r="B774" s="1" t="s">
        <v>1926</v>
      </c>
      <c r="C774" s="1" t="s">
        <v>1927</v>
      </c>
      <c r="D774" s="1" t="s">
        <v>345</v>
      </c>
      <c r="E774" s="1" t="s">
        <v>331</v>
      </c>
      <c r="F774" s="1">
        <v>1</v>
      </c>
      <c r="G774" s="1" t="s">
        <v>143</v>
      </c>
    </row>
    <row r="775" spans="1:9" hidden="1" x14ac:dyDescent="0.3">
      <c r="A775" s="1">
        <v>1746</v>
      </c>
      <c r="B775" s="1" t="s">
        <v>1928</v>
      </c>
      <c r="C775" s="1" t="s">
        <v>1929</v>
      </c>
      <c r="D775" s="1" t="s">
        <v>591</v>
      </c>
      <c r="E775" s="1" t="s">
        <v>111</v>
      </c>
      <c r="F775" s="1">
        <v>1</v>
      </c>
      <c r="G775" s="1" t="s">
        <v>143</v>
      </c>
    </row>
    <row r="776" spans="1:9" hidden="1" x14ac:dyDescent="0.3">
      <c r="A776" s="1">
        <v>1747</v>
      </c>
      <c r="B776" s="1" t="s">
        <v>1930</v>
      </c>
      <c r="C776" s="1" t="s">
        <v>1931</v>
      </c>
      <c r="D776" s="1" t="s">
        <v>1555</v>
      </c>
      <c r="E776" s="1" t="s">
        <v>111</v>
      </c>
      <c r="F776" s="1">
        <v>0</v>
      </c>
      <c r="G776" s="1" t="s">
        <v>82</v>
      </c>
      <c r="I776" s="1" t="s">
        <v>123</v>
      </c>
    </row>
    <row r="777" spans="1:9" hidden="1" x14ac:dyDescent="0.3">
      <c r="A777" s="1">
        <v>1748</v>
      </c>
      <c r="B777" s="1" t="s">
        <v>1932</v>
      </c>
      <c r="C777" s="1" t="s">
        <v>1933</v>
      </c>
      <c r="D777" s="1" t="s">
        <v>435</v>
      </c>
      <c r="E777" s="1" t="s">
        <v>111</v>
      </c>
      <c r="F777" s="1">
        <v>1</v>
      </c>
      <c r="G777" s="1" t="s">
        <v>143</v>
      </c>
    </row>
    <row r="778" spans="1:9" hidden="1" x14ac:dyDescent="0.3">
      <c r="A778" s="1">
        <v>1749</v>
      </c>
      <c r="B778" s="1" t="s">
        <v>1934</v>
      </c>
      <c r="C778" s="1" t="s">
        <v>1935</v>
      </c>
      <c r="D778" s="1" t="s">
        <v>1616</v>
      </c>
      <c r="E778" s="1" t="s">
        <v>111</v>
      </c>
      <c r="F778" s="1">
        <v>1</v>
      </c>
      <c r="G778" s="1" t="s">
        <v>143</v>
      </c>
    </row>
    <row r="779" spans="1:9" hidden="1" x14ac:dyDescent="0.3">
      <c r="A779" s="1">
        <v>1750</v>
      </c>
      <c r="B779" s="1" t="s">
        <v>1936</v>
      </c>
      <c r="C779" s="1" t="s">
        <v>1937</v>
      </c>
      <c r="D779" s="1" t="s">
        <v>435</v>
      </c>
      <c r="E779" s="1" t="s">
        <v>111</v>
      </c>
      <c r="F779" s="1">
        <v>1</v>
      </c>
      <c r="G779" s="1" t="s">
        <v>143</v>
      </c>
    </row>
    <row r="780" spans="1:9" hidden="1" x14ac:dyDescent="0.3">
      <c r="A780" s="1">
        <v>1757</v>
      </c>
      <c r="B780" s="1" t="s">
        <v>1938</v>
      </c>
      <c r="C780" s="1" t="s">
        <v>1939</v>
      </c>
      <c r="D780" s="1" t="s">
        <v>1940</v>
      </c>
      <c r="E780" s="1" t="s">
        <v>259</v>
      </c>
      <c r="F780" s="1">
        <v>1</v>
      </c>
      <c r="G780" s="1" t="s">
        <v>143</v>
      </c>
    </row>
    <row r="781" spans="1:9" hidden="1" x14ac:dyDescent="0.3">
      <c r="A781" s="1">
        <v>1758</v>
      </c>
      <c r="B781" s="1" t="s">
        <v>1941</v>
      </c>
      <c r="C781" s="1" t="s">
        <v>1942</v>
      </c>
      <c r="D781" s="1" t="s">
        <v>252</v>
      </c>
      <c r="E781" s="1" t="s">
        <v>255</v>
      </c>
      <c r="F781" s="1">
        <v>0</v>
      </c>
      <c r="G781" s="1" t="s">
        <v>82</v>
      </c>
      <c r="I781" s="1" t="s">
        <v>188</v>
      </c>
    </row>
    <row r="782" spans="1:9" hidden="1" x14ac:dyDescent="0.3">
      <c r="A782" s="1">
        <v>1759</v>
      </c>
      <c r="B782" s="1" t="s">
        <v>1943</v>
      </c>
      <c r="C782" s="1" t="s">
        <v>1944</v>
      </c>
      <c r="D782" s="1" t="s">
        <v>336</v>
      </c>
      <c r="E782" s="1" t="s">
        <v>331</v>
      </c>
      <c r="F782" s="1">
        <v>1</v>
      </c>
      <c r="G782" s="1" t="s">
        <v>143</v>
      </c>
    </row>
    <row r="783" spans="1:9" hidden="1" x14ac:dyDescent="0.3">
      <c r="A783" s="1">
        <v>1760</v>
      </c>
      <c r="B783" s="1" t="s">
        <v>1945</v>
      </c>
      <c r="C783" s="1" t="s">
        <v>1946</v>
      </c>
      <c r="D783" s="1" t="s">
        <v>1650</v>
      </c>
      <c r="E783" s="1" t="s">
        <v>1663</v>
      </c>
      <c r="F783" s="1">
        <v>1</v>
      </c>
      <c r="G783" s="1" t="s">
        <v>143</v>
      </c>
    </row>
    <row r="784" spans="1:9" hidden="1" x14ac:dyDescent="0.3">
      <c r="A784" s="1">
        <v>1762</v>
      </c>
      <c r="B784" s="1" t="s">
        <v>1947</v>
      </c>
      <c r="C784" s="1" t="s">
        <v>1948</v>
      </c>
      <c r="D784" s="1" t="s">
        <v>447</v>
      </c>
      <c r="E784" s="1" t="s">
        <v>65</v>
      </c>
      <c r="F784" s="1">
        <v>1</v>
      </c>
      <c r="G784" s="1" t="s">
        <v>143</v>
      </c>
    </row>
    <row r="785" spans="1:9" hidden="1" x14ac:dyDescent="0.3">
      <c r="A785" s="1">
        <v>1763</v>
      </c>
      <c r="B785" s="1" t="s">
        <v>1949</v>
      </c>
      <c r="C785" s="1" t="s">
        <v>1950</v>
      </c>
      <c r="D785" s="1" t="s">
        <v>1951</v>
      </c>
      <c r="E785" s="1" t="s">
        <v>170</v>
      </c>
      <c r="F785" s="1">
        <v>0</v>
      </c>
      <c r="G785" s="1" t="s">
        <v>82</v>
      </c>
      <c r="I785" s="1" t="s">
        <v>123</v>
      </c>
    </row>
    <row r="786" spans="1:9" hidden="1" x14ac:dyDescent="0.3">
      <c r="A786" s="1">
        <v>1766</v>
      </c>
      <c r="B786" s="1" t="s">
        <v>1952</v>
      </c>
      <c r="C786" s="1" t="s">
        <v>1953</v>
      </c>
      <c r="D786" s="1" t="s">
        <v>1954</v>
      </c>
      <c r="E786" s="1" t="s">
        <v>142</v>
      </c>
      <c r="F786" s="1">
        <v>1</v>
      </c>
      <c r="G786" s="1" t="s">
        <v>143</v>
      </c>
      <c r="I786" s="1" t="s">
        <v>123</v>
      </c>
    </row>
    <row r="787" spans="1:9" hidden="1" x14ac:dyDescent="0.3">
      <c r="A787" s="1">
        <v>1767</v>
      </c>
      <c r="B787" s="1" t="s">
        <v>1955</v>
      </c>
      <c r="C787" s="1" t="s">
        <v>1956</v>
      </c>
      <c r="D787" s="1" t="s">
        <v>623</v>
      </c>
      <c r="E787" s="1" t="s">
        <v>111</v>
      </c>
      <c r="F787" s="1">
        <v>1</v>
      </c>
      <c r="G787" s="1" t="s">
        <v>143</v>
      </c>
    </row>
    <row r="788" spans="1:9" hidden="1" x14ac:dyDescent="0.3">
      <c r="A788" s="1">
        <v>1768</v>
      </c>
      <c r="B788" s="1" t="s">
        <v>1957</v>
      </c>
      <c r="C788" s="1" t="s">
        <v>1958</v>
      </c>
      <c r="D788" s="1" t="s">
        <v>623</v>
      </c>
      <c r="E788" s="1" t="s">
        <v>111</v>
      </c>
      <c r="F788" s="1">
        <v>1</v>
      </c>
      <c r="G788" s="1" t="s">
        <v>143</v>
      </c>
    </row>
    <row r="789" spans="1:9" hidden="1" x14ac:dyDescent="0.3">
      <c r="A789" s="1">
        <v>1771</v>
      </c>
      <c r="B789" s="1" t="s">
        <v>1959</v>
      </c>
      <c r="C789" s="1" t="s">
        <v>1960</v>
      </c>
      <c r="D789" s="1" t="s">
        <v>623</v>
      </c>
      <c r="E789" s="1" t="s">
        <v>111</v>
      </c>
      <c r="F789" s="1">
        <v>0</v>
      </c>
      <c r="G789" s="1" t="s">
        <v>82</v>
      </c>
      <c r="I789" s="1" t="s">
        <v>123</v>
      </c>
    </row>
    <row r="790" spans="1:9" hidden="1" x14ac:dyDescent="0.3">
      <c r="A790" s="1">
        <v>1772</v>
      </c>
      <c r="B790" s="1" t="s">
        <v>1961</v>
      </c>
      <c r="C790" s="1" t="s">
        <v>1962</v>
      </c>
      <c r="D790" s="1" t="s">
        <v>1088</v>
      </c>
      <c r="E790" s="1" t="s">
        <v>215</v>
      </c>
      <c r="F790" s="1">
        <v>1</v>
      </c>
      <c r="G790" s="1" t="s">
        <v>143</v>
      </c>
    </row>
    <row r="791" spans="1:9" hidden="1" x14ac:dyDescent="0.3">
      <c r="A791" s="1">
        <v>1773</v>
      </c>
      <c r="B791" s="1" t="s">
        <v>1963</v>
      </c>
      <c r="C791" s="1" t="s">
        <v>1964</v>
      </c>
      <c r="D791" s="1" t="s">
        <v>1965</v>
      </c>
      <c r="E791" s="1" t="s">
        <v>142</v>
      </c>
      <c r="F791" s="1">
        <v>0</v>
      </c>
      <c r="G791" s="1" t="s">
        <v>82</v>
      </c>
      <c r="I791" s="1" t="s">
        <v>123</v>
      </c>
    </row>
    <row r="792" spans="1:9" hidden="1" x14ac:dyDescent="0.3">
      <c r="A792" s="1">
        <v>1774</v>
      </c>
      <c r="B792" s="1" t="s">
        <v>1966</v>
      </c>
      <c r="C792" s="1" t="s">
        <v>1967</v>
      </c>
      <c r="D792" s="1" t="s">
        <v>1088</v>
      </c>
      <c r="E792" s="1" t="s">
        <v>215</v>
      </c>
      <c r="F792" s="1">
        <v>1</v>
      </c>
      <c r="G792" s="1" t="s">
        <v>143</v>
      </c>
    </row>
    <row r="793" spans="1:9" hidden="1" x14ac:dyDescent="0.3">
      <c r="A793" s="1">
        <v>1775</v>
      </c>
      <c r="B793" s="1" t="s">
        <v>1968</v>
      </c>
      <c r="C793" s="1" t="s">
        <v>1969</v>
      </c>
      <c r="D793" s="1" t="s">
        <v>463</v>
      </c>
      <c r="E793" s="1" t="s">
        <v>289</v>
      </c>
      <c r="F793" s="1">
        <v>0</v>
      </c>
      <c r="G793" s="1" t="s">
        <v>82</v>
      </c>
      <c r="I793" s="1" t="s">
        <v>84</v>
      </c>
    </row>
    <row r="794" spans="1:9" hidden="1" x14ac:dyDescent="0.3">
      <c r="A794" s="1">
        <v>1777</v>
      </c>
      <c r="B794" s="1" t="s">
        <v>1970</v>
      </c>
      <c r="C794" s="1" t="s">
        <v>1971</v>
      </c>
      <c r="D794" s="1" t="s">
        <v>1972</v>
      </c>
      <c r="E794" s="1" t="s">
        <v>1304</v>
      </c>
      <c r="F794" s="1">
        <v>1</v>
      </c>
      <c r="G794" s="1" t="s">
        <v>143</v>
      </c>
    </row>
    <row r="795" spans="1:9" hidden="1" x14ac:dyDescent="0.3">
      <c r="A795" s="1">
        <v>1779</v>
      </c>
      <c r="B795" s="1" t="s">
        <v>1973</v>
      </c>
      <c r="C795" s="1" t="s">
        <v>1974</v>
      </c>
      <c r="D795" s="1" t="s">
        <v>252</v>
      </c>
      <c r="E795" s="1" t="s">
        <v>255</v>
      </c>
      <c r="F795" s="1">
        <v>0</v>
      </c>
      <c r="G795" s="1" t="s">
        <v>82</v>
      </c>
      <c r="I795" s="1" t="s">
        <v>188</v>
      </c>
    </row>
    <row r="796" spans="1:9" hidden="1" x14ac:dyDescent="0.3">
      <c r="A796" s="1">
        <v>1780</v>
      </c>
      <c r="B796" s="1" t="s">
        <v>1975</v>
      </c>
      <c r="C796" s="1" t="s">
        <v>1976</v>
      </c>
      <c r="D796" s="1" t="s">
        <v>1914</v>
      </c>
      <c r="E796" s="1" t="s">
        <v>215</v>
      </c>
      <c r="F796" s="1">
        <v>1</v>
      </c>
      <c r="G796" s="1" t="s">
        <v>143</v>
      </c>
    </row>
    <row r="797" spans="1:9" hidden="1" x14ac:dyDescent="0.3">
      <c r="A797" s="1">
        <v>1782</v>
      </c>
      <c r="B797" s="1" t="s">
        <v>1977</v>
      </c>
      <c r="C797" s="1" t="s">
        <v>1978</v>
      </c>
      <c r="D797" s="1" t="s">
        <v>252</v>
      </c>
      <c r="E797" s="1" t="s">
        <v>147</v>
      </c>
      <c r="F797" s="1">
        <v>1</v>
      </c>
      <c r="G797" s="1" t="s">
        <v>143</v>
      </c>
    </row>
    <row r="798" spans="1:9" hidden="1" x14ac:dyDescent="0.3">
      <c r="A798" s="1">
        <v>1784</v>
      </c>
      <c r="B798" s="1" t="s">
        <v>1979</v>
      </c>
      <c r="C798" s="1" t="s">
        <v>1980</v>
      </c>
      <c r="D798" s="1" t="s">
        <v>623</v>
      </c>
      <c r="E798" s="1" t="s">
        <v>111</v>
      </c>
      <c r="F798" s="1">
        <v>1</v>
      </c>
      <c r="G798" s="1" t="s">
        <v>143</v>
      </c>
    </row>
    <row r="799" spans="1:9" hidden="1" x14ac:dyDescent="0.3">
      <c r="A799" s="1">
        <v>1785</v>
      </c>
      <c r="B799" s="1" t="s">
        <v>1981</v>
      </c>
      <c r="C799" s="1" t="s">
        <v>1982</v>
      </c>
      <c r="D799" s="1" t="s">
        <v>623</v>
      </c>
      <c r="E799" s="1" t="s">
        <v>111</v>
      </c>
      <c r="F799" s="1">
        <v>1</v>
      </c>
      <c r="G799" s="1" t="s">
        <v>143</v>
      </c>
    </row>
    <row r="800" spans="1:9" hidden="1" x14ac:dyDescent="0.3">
      <c r="A800" s="1">
        <v>1786</v>
      </c>
      <c r="B800" s="1" t="s">
        <v>1983</v>
      </c>
      <c r="C800" s="1" t="s">
        <v>1984</v>
      </c>
      <c r="D800" s="1" t="s">
        <v>237</v>
      </c>
      <c r="E800" s="1" t="s">
        <v>419</v>
      </c>
      <c r="F800" s="1">
        <v>1</v>
      </c>
      <c r="G800" s="1" t="s">
        <v>143</v>
      </c>
    </row>
    <row r="801" spans="1:9" hidden="1" x14ac:dyDescent="0.3">
      <c r="A801" s="1">
        <v>1787</v>
      </c>
      <c r="B801" s="1" t="s">
        <v>1985</v>
      </c>
      <c r="C801" s="1" t="s">
        <v>1986</v>
      </c>
      <c r="D801" s="1" t="s">
        <v>745</v>
      </c>
      <c r="E801" s="1" t="s">
        <v>68</v>
      </c>
      <c r="F801" s="1">
        <v>1</v>
      </c>
      <c r="G801" s="1" t="s">
        <v>143</v>
      </c>
    </row>
    <row r="802" spans="1:9" hidden="1" x14ac:dyDescent="0.3">
      <c r="A802" s="1">
        <v>1788</v>
      </c>
      <c r="B802" s="1" t="s">
        <v>1987</v>
      </c>
      <c r="C802" s="1" t="s">
        <v>1988</v>
      </c>
      <c r="D802" s="1" t="s">
        <v>278</v>
      </c>
      <c r="E802" s="1" t="s">
        <v>340</v>
      </c>
      <c r="F802" s="1">
        <v>0</v>
      </c>
      <c r="G802" s="1" t="s">
        <v>82</v>
      </c>
      <c r="I802" s="1" t="s">
        <v>188</v>
      </c>
    </row>
    <row r="803" spans="1:9" hidden="1" x14ac:dyDescent="0.3">
      <c r="A803" s="1">
        <v>1791</v>
      </c>
      <c r="B803" s="1" t="s">
        <v>1989</v>
      </c>
      <c r="C803" s="1" t="s">
        <v>1990</v>
      </c>
      <c r="D803" s="1" t="s">
        <v>153</v>
      </c>
      <c r="E803" s="1" t="s">
        <v>134</v>
      </c>
      <c r="F803" s="1">
        <v>1</v>
      </c>
      <c r="G803" s="1" t="s">
        <v>143</v>
      </c>
    </row>
    <row r="804" spans="1:9" hidden="1" x14ac:dyDescent="0.3">
      <c r="A804" s="1">
        <v>1792</v>
      </c>
      <c r="B804" s="1" t="s">
        <v>1991</v>
      </c>
      <c r="C804" s="1" t="s">
        <v>1992</v>
      </c>
      <c r="D804" s="1" t="s">
        <v>494</v>
      </c>
      <c r="E804" s="1" t="s">
        <v>134</v>
      </c>
      <c r="F804" s="1">
        <v>1</v>
      </c>
      <c r="G804" s="1" t="s">
        <v>143</v>
      </c>
    </row>
    <row r="805" spans="1:9" hidden="1" x14ac:dyDescent="0.3">
      <c r="A805" s="1">
        <v>1793</v>
      </c>
      <c r="B805" s="1" t="s">
        <v>1993</v>
      </c>
      <c r="C805" s="1" t="s">
        <v>1994</v>
      </c>
      <c r="D805" s="1" t="s">
        <v>1995</v>
      </c>
      <c r="E805" s="1" t="s">
        <v>134</v>
      </c>
      <c r="F805" s="1">
        <v>1</v>
      </c>
      <c r="G805" s="1" t="s">
        <v>143</v>
      </c>
    </row>
    <row r="806" spans="1:9" hidden="1" x14ac:dyDescent="0.3">
      <c r="A806" s="1">
        <v>1794</v>
      </c>
      <c r="B806" s="1" t="s">
        <v>1996</v>
      </c>
      <c r="C806" s="1" t="s">
        <v>1997</v>
      </c>
      <c r="D806" s="1" t="s">
        <v>1552</v>
      </c>
      <c r="E806" s="1" t="s">
        <v>111</v>
      </c>
      <c r="F806" s="1">
        <v>0</v>
      </c>
      <c r="G806" s="1" t="s">
        <v>82</v>
      </c>
      <c r="I806" s="1" t="s">
        <v>123</v>
      </c>
    </row>
    <row r="807" spans="1:9" hidden="1" x14ac:dyDescent="0.3">
      <c r="A807" s="1">
        <v>1795</v>
      </c>
      <c r="B807" s="1" t="s">
        <v>1998</v>
      </c>
      <c r="C807" s="1" t="s">
        <v>1999</v>
      </c>
      <c r="D807" s="1" t="s">
        <v>887</v>
      </c>
      <c r="E807" s="1" t="s">
        <v>111</v>
      </c>
      <c r="F807" s="1">
        <v>0</v>
      </c>
      <c r="G807" s="1" t="s">
        <v>82</v>
      </c>
      <c r="I807" s="1" t="s">
        <v>123</v>
      </c>
    </row>
    <row r="808" spans="1:9" hidden="1" x14ac:dyDescent="0.3">
      <c r="A808" s="1">
        <v>1796</v>
      </c>
      <c r="B808" s="1" t="s">
        <v>2000</v>
      </c>
      <c r="C808" s="1" t="s">
        <v>2001</v>
      </c>
      <c r="D808" s="1" t="s">
        <v>2002</v>
      </c>
      <c r="E808" s="1" t="s">
        <v>111</v>
      </c>
      <c r="F808" s="1">
        <v>1</v>
      </c>
      <c r="G808" s="1" t="s">
        <v>143</v>
      </c>
    </row>
    <row r="809" spans="1:9" hidden="1" x14ac:dyDescent="0.3">
      <c r="A809" s="1">
        <v>1797</v>
      </c>
      <c r="B809" s="1" t="s">
        <v>2003</v>
      </c>
      <c r="C809" s="1" t="s">
        <v>2004</v>
      </c>
      <c r="D809" s="1" t="s">
        <v>2005</v>
      </c>
      <c r="E809" s="1" t="s">
        <v>1292</v>
      </c>
      <c r="F809" s="1">
        <v>0</v>
      </c>
      <c r="G809" s="1" t="s">
        <v>82</v>
      </c>
      <c r="I809" s="1" t="s">
        <v>123</v>
      </c>
    </row>
    <row r="810" spans="1:9" hidden="1" x14ac:dyDescent="0.3">
      <c r="A810" s="1">
        <v>1798</v>
      </c>
      <c r="B810" s="1" t="s">
        <v>2006</v>
      </c>
      <c r="C810" s="1" t="s">
        <v>2007</v>
      </c>
      <c r="D810" s="1" t="s">
        <v>648</v>
      </c>
      <c r="E810" s="1" t="s">
        <v>134</v>
      </c>
      <c r="F810" s="1">
        <v>0</v>
      </c>
      <c r="G810" s="1" t="s">
        <v>82</v>
      </c>
      <c r="I810" s="1" t="s">
        <v>123</v>
      </c>
    </row>
    <row r="811" spans="1:9" hidden="1" x14ac:dyDescent="0.3">
      <c r="A811" s="1">
        <v>1799</v>
      </c>
      <c r="B811" s="1" t="s">
        <v>2008</v>
      </c>
      <c r="C811" s="1" t="s">
        <v>2009</v>
      </c>
      <c r="D811" s="1" t="s">
        <v>2010</v>
      </c>
      <c r="E811" s="1" t="s">
        <v>68</v>
      </c>
      <c r="F811" s="1">
        <v>1</v>
      </c>
      <c r="G811" s="1" t="s">
        <v>143</v>
      </c>
    </row>
    <row r="812" spans="1:9" hidden="1" x14ac:dyDescent="0.3">
      <c r="A812" s="1">
        <v>1800</v>
      </c>
      <c r="B812" s="1" t="s">
        <v>2011</v>
      </c>
      <c r="C812" s="1" t="s">
        <v>2012</v>
      </c>
      <c r="D812" s="1" t="s">
        <v>751</v>
      </c>
      <c r="E812" s="1" t="s">
        <v>142</v>
      </c>
      <c r="F812" s="1">
        <v>0</v>
      </c>
      <c r="G812" s="1" t="s">
        <v>82</v>
      </c>
      <c r="I812" s="1" t="s">
        <v>123</v>
      </c>
    </row>
    <row r="813" spans="1:9" hidden="1" x14ac:dyDescent="0.3">
      <c r="A813" s="1">
        <v>1801</v>
      </c>
      <c r="B813" s="1" t="s">
        <v>2013</v>
      </c>
      <c r="C813" s="1" t="s">
        <v>2014</v>
      </c>
      <c r="D813" s="1" t="s">
        <v>1914</v>
      </c>
      <c r="E813" s="1" t="s">
        <v>215</v>
      </c>
      <c r="F813" s="1">
        <v>1</v>
      </c>
      <c r="G813" s="1" t="s">
        <v>143</v>
      </c>
    </row>
    <row r="814" spans="1:9" hidden="1" x14ac:dyDescent="0.3">
      <c r="A814" s="1">
        <v>1803</v>
      </c>
      <c r="B814" s="1" t="s">
        <v>2015</v>
      </c>
      <c r="C814" s="1" t="s">
        <v>2016</v>
      </c>
      <c r="D814" s="1" t="s">
        <v>1401</v>
      </c>
      <c r="E814" s="1" t="s">
        <v>130</v>
      </c>
      <c r="F814" s="1">
        <v>0</v>
      </c>
      <c r="G814" s="1" t="s">
        <v>82</v>
      </c>
      <c r="I814" s="1" t="s">
        <v>123</v>
      </c>
    </row>
    <row r="815" spans="1:9" hidden="1" x14ac:dyDescent="0.3">
      <c r="A815" s="1">
        <v>1804</v>
      </c>
      <c r="B815" s="1" t="s">
        <v>2017</v>
      </c>
      <c r="C815" s="1" t="s">
        <v>2018</v>
      </c>
      <c r="D815" s="1" t="s">
        <v>675</v>
      </c>
      <c r="E815" s="1" t="s">
        <v>142</v>
      </c>
      <c r="F815" s="1">
        <v>1</v>
      </c>
      <c r="G815" s="1" t="s">
        <v>143</v>
      </c>
    </row>
    <row r="816" spans="1:9" hidden="1" x14ac:dyDescent="0.3">
      <c r="A816" s="1">
        <v>1805</v>
      </c>
      <c r="B816" s="1" t="s">
        <v>2019</v>
      </c>
      <c r="C816" s="1" t="s">
        <v>2020</v>
      </c>
      <c r="D816" s="1" t="s">
        <v>278</v>
      </c>
      <c r="E816" s="1" t="s">
        <v>255</v>
      </c>
      <c r="F816" s="1">
        <v>0</v>
      </c>
      <c r="G816" s="1" t="s">
        <v>82</v>
      </c>
      <c r="I816" s="1" t="s">
        <v>188</v>
      </c>
    </row>
    <row r="817" spans="1:9" hidden="1" x14ac:dyDescent="0.3">
      <c r="A817" s="1">
        <v>1808</v>
      </c>
      <c r="B817" s="1" t="s">
        <v>2021</v>
      </c>
      <c r="C817" s="1" t="s">
        <v>2022</v>
      </c>
      <c r="D817" s="1" t="s">
        <v>336</v>
      </c>
      <c r="E817" s="1" t="s">
        <v>331</v>
      </c>
      <c r="F817" s="1">
        <v>0</v>
      </c>
      <c r="G817" s="1" t="s">
        <v>82</v>
      </c>
      <c r="I817" s="1" t="s">
        <v>188</v>
      </c>
    </row>
    <row r="818" spans="1:9" hidden="1" x14ac:dyDescent="0.3">
      <c r="A818" s="1">
        <v>1809</v>
      </c>
      <c r="B818" s="1" t="s">
        <v>2023</v>
      </c>
      <c r="C818" s="1" t="s">
        <v>2024</v>
      </c>
      <c r="D818" s="1" t="s">
        <v>252</v>
      </c>
      <c r="E818" s="1" t="s">
        <v>147</v>
      </c>
      <c r="F818" s="1">
        <v>1</v>
      </c>
      <c r="G818" s="1" t="s">
        <v>143</v>
      </c>
    </row>
    <row r="819" spans="1:9" hidden="1" x14ac:dyDescent="0.3">
      <c r="A819" s="1">
        <v>1810</v>
      </c>
      <c r="B819" s="1" t="s">
        <v>2025</v>
      </c>
      <c r="C819" s="1" t="s">
        <v>2026</v>
      </c>
      <c r="D819" s="1" t="s">
        <v>588</v>
      </c>
      <c r="E819" s="1" t="s">
        <v>111</v>
      </c>
      <c r="F819" s="1">
        <v>0</v>
      </c>
      <c r="G819" s="1" t="s">
        <v>82</v>
      </c>
      <c r="I819" s="1" t="s">
        <v>123</v>
      </c>
    </row>
    <row r="820" spans="1:9" hidden="1" x14ac:dyDescent="0.3">
      <c r="A820" s="1">
        <v>1811</v>
      </c>
      <c r="B820" s="1" t="s">
        <v>2027</v>
      </c>
      <c r="C820" s="1" t="s">
        <v>2028</v>
      </c>
      <c r="D820" s="1" t="s">
        <v>252</v>
      </c>
      <c r="E820" s="1" t="s">
        <v>147</v>
      </c>
      <c r="F820" s="1">
        <v>0</v>
      </c>
      <c r="G820" s="1" t="s">
        <v>82</v>
      </c>
      <c r="I820" s="1" t="s">
        <v>188</v>
      </c>
    </row>
    <row r="821" spans="1:9" hidden="1" x14ac:dyDescent="0.3">
      <c r="A821" s="1">
        <v>1812</v>
      </c>
      <c r="B821" s="1" t="s">
        <v>2029</v>
      </c>
      <c r="C821" s="1" t="s">
        <v>2030</v>
      </c>
      <c r="D821" s="1" t="s">
        <v>2031</v>
      </c>
      <c r="E821" s="1" t="s">
        <v>170</v>
      </c>
      <c r="F821" s="1">
        <v>0</v>
      </c>
      <c r="G821" s="1" t="s">
        <v>82</v>
      </c>
      <c r="I821" s="1" t="s">
        <v>84</v>
      </c>
    </row>
    <row r="822" spans="1:9" hidden="1" x14ac:dyDescent="0.3">
      <c r="A822" s="1">
        <v>1813</v>
      </c>
      <c r="B822" s="1" t="s">
        <v>2032</v>
      </c>
      <c r="C822" s="1" t="s">
        <v>2033</v>
      </c>
      <c r="D822" s="1" t="s">
        <v>2034</v>
      </c>
      <c r="E822" s="1" t="s">
        <v>289</v>
      </c>
      <c r="F822" s="1">
        <v>1</v>
      </c>
      <c r="G822" s="1" t="s">
        <v>143</v>
      </c>
      <c r="I822" s="1" t="s">
        <v>84</v>
      </c>
    </row>
    <row r="823" spans="1:9" hidden="1" x14ac:dyDescent="0.3">
      <c r="A823" s="1">
        <v>1814</v>
      </c>
      <c r="B823" s="1" t="s">
        <v>2035</v>
      </c>
      <c r="C823" s="1" t="s">
        <v>2036</v>
      </c>
      <c r="D823" s="1" t="s">
        <v>252</v>
      </c>
      <c r="E823" s="1" t="s">
        <v>255</v>
      </c>
      <c r="F823" s="1">
        <v>1</v>
      </c>
      <c r="G823" s="1" t="s">
        <v>143</v>
      </c>
      <c r="I823" s="1" t="s">
        <v>188</v>
      </c>
    </row>
    <row r="824" spans="1:9" hidden="1" x14ac:dyDescent="0.3">
      <c r="A824" s="1">
        <v>1815</v>
      </c>
      <c r="B824" s="1" t="s">
        <v>2037</v>
      </c>
      <c r="C824" s="1" t="s">
        <v>2038</v>
      </c>
      <c r="D824" s="1" t="s">
        <v>252</v>
      </c>
      <c r="E824" s="1" t="s">
        <v>259</v>
      </c>
      <c r="F824" s="1">
        <v>0</v>
      </c>
      <c r="G824" s="1" t="s">
        <v>82</v>
      </c>
      <c r="I824" s="1" t="s">
        <v>188</v>
      </c>
    </row>
    <row r="825" spans="1:9" hidden="1" x14ac:dyDescent="0.3">
      <c r="A825" s="1">
        <v>1816</v>
      </c>
      <c r="B825" s="1" t="s">
        <v>2039</v>
      </c>
      <c r="C825" s="1" t="s">
        <v>2040</v>
      </c>
      <c r="D825" s="1" t="s">
        <v>435</v>
      </c>
      <c r="E825" s="1" t="s">
        <v>111</v>
      </c>
      <c r="F825" s="1">
        <v>1</v>
      </c>
      <c r="G825" s="1" t="s">
        <v>143</v>
      </c>
    </row>
    <row r="826" spans="1:9" hidden="1" x14ac:dyDescent="0.3">
      <c r="A826" s="1">
        <v>1817</v>
      </c>
      <c r="B826" s="1" t="s">
        <v>2041</v>
      </c>
      <c r="C826" s="1" t="s">
        <v>2042</v>
      </c>
      <c r="D826" s="1" t="s">
        <v>435</v>
      </c>
      <c r="E826" s="1" t="s">
        <v>111</v>
      </c>
      <c r="F826" s="1">
        <v>0</v>
      </c>
      <c r="G826" s="1" t="s">
        <v>82</v>
      </c>
      <c r="I826" s="1" t="s">
        <v>123</v>
      </c>
    </row>
    <row r="827" spans="1:9" hidden="1" x14ac:dyDescent="0.3">
      <c r="A827" s="1">
        <v>1818</v>
      </c>
      <c r="B827" s="1" t="s">
        <v>2043</v>
      </c>
      <c r="C827" s="1" t="s">
        <v>2044</v>
      </c>
      <c r="D827" s="1" t="s">
        <v>623</v>
      </c>
      <c r="E827" s="1" t="s">
        <v>111</v>
      </c>
      <c r="F827" s="1">
        <v>1</v>
      </c>
      <c r="G827" s="1" t="s">
        <v>143</v>
      </c>
    </row>
    <row r="828" spans="1:9" hidden="1" x14ac:dyDescent="0.3">
      <c r="A828" s="1">
        <v>1819</v>
      </c>
      <c r="B828" s="1" t="s">
        <v>2045</v>
      </c>
      <c r="C828" s="1" t="s">
        <v>2046</v>
      </c>
      <c r="D828" s="1" t="s">
        <v>575</v>
      </c>
      <c r="E828" s="1" t="s">
        <v>111</v>
      </c>
      <c r="F828" s="1">
        <v>0</v>
      </c>
      <c r="G828" s="1" t="s">
        <v>82</v>
      </c>
      <c r="I828" s="1" t="s">
        <v>123</v>
      </c>
    </row>
    <row r="829" spans="1:9" hidden="1" x14ac:dyDescent="0.3">
      <c r="A829" s="1">
        <v>1820</v>
      </c>
      <c r="B829" s="1" t="s">
        <v>2047</v>
      </c>
      <c r="C829" s="1" t="s">
        <v>2048</v>
      </c>
      <c r="D829" s="1" t="s">
        <v>623</v>
      </c>
      <c r="E829" s="1" t="s">
        <v>111</v>
      </c>
      <c r="F829" s="1">
        <v>0</v>
      </c>
      <c r="G829" s="1" t="s">
        <v>82</v>
      </c>
      <c r="I829" s="1" t="s">
        <v>123</v>
      </c>
    </row>
    <row r="830" spans="1:9" hidden="1" x14ac:dyDescent="0.3">
      <c r="A830" s="1">
        <v>1821</v>
      </c>
      <c r="B830" s="1" t="s">
        <v>2049</v>
      </c>
      <c r="C830" s="1" t="s">
        <v>2050</v>
      </c>
      <c r="D830" s="1" t="s">
        <v>623</v>
      </c>
      <c r="E830" s="1" t="s">
        <v>111</v>
      </c>
      <c r="F830" s="1">
        <v>1</v>
      </c>
      <c r="G830" s="1" t="s">
        <v>143</v>
      </c>
    </row>
    <row r="831" spans="1:9" hidden="1" x14ac:dyDescent="0.3">
      <c r="A831" s="1">
        <v>1822</v>
      </c>
      <c r="B831" s="1" t="s">
        <v>2051</v>
      </c>
      <c r="C831" s="1" t="s">
        <v>2052</v>
      </c>
      <c r="D831" s="1" t="s">
        <v>591</v>
      </c>
      <c r="E831" s="1" t="s">
        <v>111</v>
      </c>
      <c r="F831" s="1">
        <v>0</v>
      </c>
      <c r="G831" s="1" t="s">
        <v>82</v>
      </c>
      <c r="I831" s="1" t="s">
        <v>123</v>
      </c>
    </row>
    <row r="832" spans="1:9" hidden="1" x14ac:dyDescent="0.3">
      <c r="A832" s="1">
        <v>1823</v>
      </c>
      <c r="B832" s="1" t="s">
        <v>2053</v>
      </c>
      <c r="C832" s="1" t="s">
        <v>2054</v>
      </c>
      <c r="D832" s="1" t="s">
        <v>435</v>
      </c>
      <c r="E832" s="1" t="s">
        <v>111</v>
      </c>
      <c r="F832" s="1">
        <v>0</v>
      </c>
      <c r="G832" s="1" t="s">
        <v>82</v>
      </c>
      <c r="I832" s="1" t="s">
        <v>123</v>
      </c>
    </row>
    <row r="833" spans="1:9" hidden="1" x14ac:dyDescent="0.3">
      <c r="A833" s="1">
        <v>1824</v>
      </c>
      <c r="B833" s="1" t="s">
        <v>2055</v>
      </c>
      <c r="C833" s="1" t="s">
        <v>2056</v>
      </c>
      <c r="D833" s="1" t="s">
        <v>1146</v>
      </c>
      <c r="E833" s="1" t="s">
        <v>111</v>
      </c>
      <c r="F833" s="1">
        <v>0</v>
      </c>
      <c r="G833" s="1" t="s">
        <v>82</v>
      </c>
      <c r="I833" s="1" t="s">
        <v>123</v>
      </c>
    </row>
    <row r="834" spans="1:9" hidden="1" x14ac:dyDescent="0.3">
      <c r="A834" s="1">
        <v>1825</v>
      </c>
      <c r="B834" s="1" t="s">
        <v>2057</v>
      </c>
      <c r="C834" s="1" t="s">
        <v>2058</v>
      </c>
      <c r="D834" s="1" t="s">
        <v>435</v>
      </c>
      <c r="E834" s="1" t="s">
        <v>111</v>
      </c>
      <c r="F834" s="1">
        <v>0</v>
      </c>
      <c r="G834" s="1" t="s">
        <v>82</v>
      </c>
      <c r="I834" s="1" t="s">
        <v>123</v>
      </c>
    </row>
    <row r="835" spans="1:9" hidden="1" x14ac:dyDescent="0.3">
      <c r="A835" s="1">
        <v>1826</v>
      </c>
      <c r="B835" s="1" t="s">
        <v>2059</v>
      </c>
      <c r="C835" s="1" t="s">
        <v>2060</v>
      </c>
      <c r="D835" s="1" t="s">
        <v>623</v>
      </c>
      <c r="E835" s="1" t="s">
        <v>111</v>
      </c>
      <c r="F835" s="1">
        <v>1</v>
      </c>
      <c r="G835" s="1" t="s">
        <v>143</v>
      </c>
    </row>
    <row r="836" spans="1:9" hidden="1" x14ac:dyDescent="0.3">
      <c r="A836" s="1">
        <v>1827</v>
      </c>
      <c r="B836" s="1" t="s">
        <v>2061</v>
      </c>
      <c r="C836" s="1" t="s">
        <v>2062</v>
      </c>
      <c r="D836" s="1" t="s">
        <v>591</v>
      </c>
      <c r="E836" s="1" t="s">
        <v>111</v>
      </c>
      <c r="F836" s="1">
        <v>1</v>
      </c>
      <c r="G836" s="1" t="s">
        <v>143</v>
      </c>
      <c r="I836" s="1" t="s">
        <v>123</v>
      </c>
    </row>
    <row r="837" spans="1:9" hidden="1" x14ac:dyDescent="0.3">
      <c r="A837" s="1">
        <v>1828</v>
      </c>
      <c r="B837" s="1" t="s">
        <v>2063</v>
      </c>
      <c r="C837" s="1" t="s">
        <v>2064</v>
      </c>
      <c r="D837" s="1" t="s">
        <v>1146</v>
      </c>
      <c r="E837" s="1" t="s">
        <v>111</v>
      </c>
      <c r="F837" s="1">
        <v>1</v>
      </c>
      <c r="G837" s="1" t="s">
        <v>143</v>
      </c>
    </row>
    <row r="838" spans="1:9" hidden="1" x14ac:dyDescent="0.3">
      <c r="A838" s="1">
        <v>1829</v>
      </c>
      <c r="B838" s="1" t="s">
        <v>2065</v>
      </c>
      <c r="C838" s="1" t="s">
        <v>2066</v>
      </c>
      <c r="D838" s="1" t="s">
        <v>2067</v>
      </c>
      <c r="E838" s="1" t="s">
        <v>111</v>
      </c>
      <c r="F838" s="1">
        <v>1</v>
      </c>
      <c r="G838" s="1" t="s">
        <v>143</v>
      </c>
      <c r="I838" s="1" t="s">
        <v>123</v>
      </c>
    </row>
    <row r="839" spans="1:9" hidden="1" x14ac:dyDescent="0.3">
      <c r="A839" s="1">
        <v>1830</v>
      </c>
      <c r="B839" s="1" t="s">
        <v>2068</v>
      </c>
      <c r="C839" s="1" t="s">
        <v>2069</v>
      </c>
      <c r="D839" s="1" t="s">
        <v>2070</v>
      </c>
      <c r="E839" s="1" t="s">
        <v>68</v>
      </c>
      <c r="F839" s="1">
        <v>0</v>
      </c>
      <c r="G839" s="1" t="s">
        <v>82</v>
      </c>
      <c r="I839" s="1" t="s">
        <v>123</v>
      </c>
    </row>
    <row r="840" spans="1:9" hidden="1" x14ac:dyDescent="0.3">
      <c r="A840" s="1">
        <v>1831</v>
      </c>
      <c r="B840" s="1" t="s">
        <v>2071</v>
      </c>
      <c r="C840" s="1" t="s">
        <v>2072</v>
      </c>
      <c r="D840" s="1" t="s">
        <v>1146</v>
      </c>
      <c r="E840" s="1" t="s">
        <v>111</v>
      </c>
      <c r="F840" s="1">
        <v>1</v>
      </c>
      <c r="G840" s="1" t="s">
        <v>143</v>
      </c>
    </row>
    <row r="841" spans="1:9" hidden="1" x14ac:dyDescent="0.3">
      <c r="A841" s="1">
        <v>1832</v>
      </c>
      <c r="B841" s="1" t="s">
        <v>2073</v>
      </c>
      <c r="C841" s="1" t="s">
        <v>2074</v>
      </c>
      <c r="D841" s="1" t="s">
        <v>2075</v>
      </c>
      <c r="E841" s="1" t="s">
        <v>111</v>
      </c>
      <c r="F841" s="1">
        <v>0</v>
      </c>
      <c r="G841" s="1" t="s">
        <v>82</v>
      </c>
      <c r="I841" s="1" t="s">
        <v>123</v>
      </c>
    </row>
    <row r="842" spans="1:9" hidden="1" x14ac:dyDescent="0.3">
      <c r="A842" s="1">
        <v>1833</v>
      </c>
      <c r="B842" s="1" t="s">
        <v>2076</v>
      </c>
      <c r="C842" s="1" t="s">
        <v>2077</v>
      </c>
      <c r="D842" s="1" t="s">
        <v>2078</v>
      </c>
      <c r="E842" s="1" t="s">
        <v>111</v>
      </c>
      <c r="F842" s="1">
        <v>0</v>
      </c>
      <c r="G842" s="1" t="s">
        <v>82</v>
      </c>
      <c r="I842" s="1" t="s">
        <v>123</v>
      </c>
    </row>
    <row r="843" spans="1:9" hidden="1" x14ac:dyDescent="0.3">
      <c r="A843" s="1">
        <v>1834</v>
      </c>
      <c r="B843" s="1" t="s">
        <v>2079</v>
      </c>
      <c r="C843" s="1" t="s">
        <v>2080</v>
      </c>
      <c r="D843" s="1" t="s">
        <v>447</v>
      </c>
      <c r="E843" s="1" t="s">
        <v>111</v>
      </c>
      <c r="F843" s="1">
        <v>0</v>
      </c>
      <c r="G843" s="1" t="s">
        <v>82</v>
      </c>
      <c r="I843" s="1" t="s">
        <v>123</v>
      </c>
    </row>
    <row r="844" spans="1:9" hidden="1" x14ac:dyDescent="0.3">
      <c r="A844" s="1">
        <v>1835</v>
      </c>
      <c r="B844" s="1" t="s">
        <v>2081</v>
      </c>
      <c r="C844" s="1" t="s">
        <v>2082</v>
      </c>
      <c r="D844" s="1" t="s">
        <v>2083</v>
      </c>
      <c r="E844" s="1" t="s">
        <v>111</v>
      </c>
      <c r="F844" s="1">
        <v>0</v>
      </c>
      <c r="G844" s="1" t="s">
        <v>82</v>
      </c>
      <c r="I844" s="1" t="s">
        <v>123</v>
      </c>
    </row>
    <row r="845" spans="1:9" hidden="1" x14ac:dyDescent="0.3">
      <c r="A845" s="1">
        <v>1837</v>
      </c>
      <c r="B845" s="1" t="s">
        <v>2084</v>
      </c>
      <c r="C845" s="1" t="s">
        <v>2085</v>
      </c>
      <c r="D845" s="1" t="s">
        <v>678</v>
      </c>
      <c r="E845" s="1" t="s">
        <v>68</v>
      </c>
      <c r="F845" s="1">
        <v>1</v>
      </c>
      <c r="G845" s="1" t="s">
        <v>143</v>
      </c>
    </row>
    <row r="846" spans="1:9" hidden="1" x14ac:dyDescent="0.3">
      <c r="A846" s="1">
        <v>1841</v>
      </c>
      <c r="B846" s="1" t="s">
        <v>2086</v>
      </c>
      <c r="C846" s="1" t="s">
        <v>2087</v>
      </c>
      <c r="D846" s="1" t="s">
        <v>422</v>
      </c>
      <c r="E846" s="1" t="s">
        <v>255</v>
      </c>
      <c r="F846" s="1">
        <v>1</v>
      </c>
      <c r="G846" s="1" t="s">
        <v>143</v>
      </c>
    </row>
    <row r="847" spans="1:9" hidden="1" x14ac:dyDescent="0.3">
      <c r="A847" s="1">
        <v>1843</v>
      </c>
      <c r="B847" s="1" t="s">
        <v>2088</v>
      </c>
      <c r="C847" s="1" t="s">
        <v>2089</v>
      </c>
      <c r="D847" s="1" t="s">
        <v>1030</v>
      </c>
      <c r="E847" s="1" t="s">
        <v>134</v>
      </c>
      <c r="F847" s="1">
        <v>0</v>
      </c>
      <c r="G847" s="1" t="s">
        <v>82</v>
      </c>
      <c r="I847" s="1" t="s">
        <v>123</v>
      </c>
    </row>
    <row r="848" spans="1:9" hidden="1" x14ac:dyDescent="0.3">
      <c r="A848" s="1">
        <v>1844</v>
      </c>
      <c r="B848" s="1" t="s">
        <v>2090</v>
      </c>
      <c r="C848" s="1" t="s">
        <v>2091</v>
      </c>
      <c r="D848" s="1" t="s">
        <v>1143</v>
      </c>
      <c r="E848" s="1" t="s">
        <v>111</v>
      </c>
      <c r="F848" s="1">
        <v>0</v>
      </c>
      <c r="G848" s="1" t="s">
        <v>82</v>
      </c>
      <c r="I848" s="1" t="s">
        <v>123</v>
      </c>
    </row>
    <row r="849" spans="1:9" hidden="1" x14ac:dyDescent="0.3">
      <c r="A849" s="1">
        <v>1845</v>
      </c>
      <c r="B849" s="1" t="s">
        <v>2092</v>
      </c>
      <c r="C849" s="1" t="s">
        <v>2093</v>
      </c>
      <c r="D849" s="1" t="s">
        <v>2094</v>
      </c>
      <c r="E849" s="1" t="s">
        <v>68</v>
      </c>
      <c r="F849" s="1">
        <v>0</v>
      </c>
      <c r="G849" s="1" t="s">
        <v>82</v>
      </c>
      <c r="I849" s="1" t="s">
        <v>123</v>
      </c>
    </row>
    <row r="850" spans="1:9" hidden="1" x14ac:dyDescent="0.3">
      <c r="A850" s="1">
        <v>1847</v>
      </c>
      <c r="B850" s="1" t="s">
        <v>2095</v>
      </c>
      <c r="C850" s="1" t="s">
        <v>2096</v>
      </c>
      <c r="D850" s="1" t="s">
        <v>2097</v>
      </c>
      <c r="E850" s="1" t="s">
        <v>111</v>
      </c>
      <c r="F850" s="1">
        <v>0</v>
      </c>
      <c r="G850" s="1" t="s">
        <v>82</v>
      </c>
      <c r="I850" s="1" t="s">
        <v>123</v>
      </c>
    </row>
    <row r="851" spans="1:9" hidden="1" x14ac:dyDescent="0.3">
      <c r="A851" s="1">
        <v>1849</v>
      </c>
      <c r="B851" s="1" t="s">
        <v>2098</v>
      </c>
      <c r="C851" s="1" t="s">
        <v>2099</v>
      </c>
      <c r="D851" s="1" t="s">
        <v>422</v>
      </c>
      <c r="E851" s="1" t="s">
        <v>255</v>
      </c>
      <c r="F851" s="1">
        <v>1</v>
      </c>
      <c r="G851" s="1" t="s">
        <v>143</v>
      </c>
    </row>
    <row r="852" spans="1:9" hidden="1" x14ac:dyDescent="0.3">
      <c r="A852" s="1">
        <v>1850</v>
      </c>
      <c r="B852" s="1" t="s">
        <v>2100</v>
      </c>
      <c r="C852" s="1" t="s">
        <v>2101</v>
      </c>
      <c r="D852" s="1" t="s">
        <v>422</v>
      </c>
      <c r="E852" s="1" t="s">
        <v>259</v>
      </c>
      <c r="F852" s="1">
        <v>1</v>
      </c>
      <c r="G852" s="1" t="s">
        <v>143</v>
      </c>
      <c r="I852" s="1" t="s">
        <v>188</v>
      </c>
    </row>
    <row r="853" spans="1:9" hidden="1" x14ac:dyDescent="0.3">
      <c r="A853" s="1">
        <v>1851</v>
      </c>
      <c r="B853" s="1" t="s">
        <v>2102</v>
      </c>
      <c r="C853" s="1" t="s">
        <v>2103</v>
      </c>
      <c r="D853" s="1" t="s">
        <v>252</v>
      </c>
      <c r="E853" s="1" t="s">
        <v>255</v>
      </c>
      <c r="F853" s="1">
        <v>1</v>
      </c>
      <c r="G853" s="1" t="s">
        <v>143</v>
      </c>
    </row>
    <row r="854" spans="1:9" hidden="1" x14ac:dyDescent="0.3">
      <c r="A854" s="1">
        <v>1853</v>
      </c>
      <c r="B854" s="1" t="s">
        <v>2104</v>
      </c>
      <c r="C854" s="1" t="s">
        <v>2105</v>
      </c>
      <c r="D854" s="1" t="s">
        <v>65</v>
      </c>
      <c r="E854" s="1" t="s">
        <v>118</v>
      </c>
      <c r="F854" s="1">
        <v>0</v>
      </c>
      <c r="G854" s="1" t="s">
        <v>82</v>
      </c>
      <c r="I854" s="1" t="s">
        <v>123</v>
      </c>
    </row>
    <row r="855" spans="1:9" hidden="1" x14ac:dyDescent="0.3">
      <c r="A855" s="1">
        <v>1856</v>
      </c>
      <c r="B855" s="1" t="s">
        <v>2106</v>
      </c>
      <c r="C855" s="1" t="s">
        <v>2107</v>
      </c>
      <c r="D855" s="1" t="s">
        <v>847</v>
      </c>
      <c r="E855" s="1" t="s">
        <v>111</v>
      </c>
      <c r="F855" s="1">
        <v>1</v>
      </c>
      <c r="G855" s="1" t="s">
        <v>143</v>
      </c>
    </row>
    <row r="856" spans="1:9" hidden="1" x14ac:dyDescent="0.3">
      <c r="A856" s="1">
        <v>1859</v>
      </c>
      <c r="B856" s="1" t="s">
        <v>2108</v>
      </c>
      <c r="C856" s="1" t="s">
        <v>2109</v>
      </c>
      <c r="D856" s="1" t="s">
        <v>675</v>
      </c>
      <c r="E856" s="1" t="s">
        <v>142</v>
      </c>
      <c r="F856" s="1">
        <v>1</v>
      </c>
      <c r="G856" s="1" t="s">
        <v>143</v>
      </c>
    </row>
    <row r="857" spans="1:9" hidden="1" x14ac:dyDescent="0.3">
      <c r="A857" s="1">
        <v>1861</v>
      </c>
      <c r="B857" s="1" t="s">
        <v>2110</v>
      </c>
      <c r="C857" s="1" t="s">
        <v>2111</v>
      </c>
      <c r="D857" s="1" t="s">
        <v>422</v>
      </c>
      <c r="E857" s="1" t="s">
        <v>259</v>
      </c>
      <c r="F857" s="1">
        <v>1</v>
      </c>
      <c r="G857" s="1" t="s">
        <v>143</v>
      </c>
    </row>
    <row r="858" spans="1:9" hidden="1" x14ac:dyDescent="0.3">
      <c r="A858" s="1">
        <v>1862</v>
      </c>
      <c r="B858" s="1" t="s">
        <v>2112</v>
      </c>
      <c r="C858" s="1" t="s">
        <v>2113</v>
      </c>
      <c r="D858" s="1" t="s">
        <v>2114</v>
      </c>
      <c r="E858" s="1" t="s">
        <v>1019</v>
      </c>
      <c r="F858" s="1">
        <v>0</v>
      </c>
      <c r="G858" s="1" t="s">
        <v>82</v>
      </c>
      <c r="I858" s="1" t="s">
        <v>123</v>
      </c>
    </row>
    <row r="859" spans="1:9" hidden="1" x14ac:dyDescent="0.3">
      <c r="A859" s="1">
        <v>1863</v>
      </c>
      <c r="B859" s="1" t="s">
        <v>2115</v>
      </c>
      <c r="C859" s="1" t="s">
        <v>2116</v>
      </c>
      <c r="D859" s="1" t="s">
        <v>1995</v>
      </c>
      <c r="E859" s="1" t="s">
        <v>130</v>
      </c>
      <c r="F859" s="1">
        <v>1</v>
      </c>
      <c r="G859" s="1" t="s">
        <v>143</v>
      </c>
      <c r="I859" s="1" t="s">
        <v>123</v>
      </c>
    </row>
    <row r="860" spans="1:9" hidden="1" x14ac:dyDescent="0.3">
      <c r="A860" s="1">
        <v>1866</v>
      </c>
      <c r="B860" s="1" t="s">
        <v>2117</v>
      </c>
      <c r="C860" s="1" t="s">
        <v>2118</v>
      </c>
      <c r="D860" s="1" t="s">
        <v>252</v>
      </c>
      <c r="E860" s="1" t="s">
        <v>147</v>
      </c>
      <c r="F860" s="1">
        <v>0</v>
      </c>
      <c r="G860" s="1" t="s">
        <v>82</v>
      </c>
      <c r="I860" s="1" t="s">
        <v>188</v>
      </c>
    </row>
    <row r="861" spans="1:9" hidden="1" x14ac:dyDescent="0.3">
      <c r="A861" s="1">
        <v>1867</v>
      </c>
      <c r="B861" s="1" t="s">
        <v>2119</v>
      </c>
      <c r="C861" s="1" t="s">
        <v>2120</v>
      </c>
      <c r="D861" s="1" t="s">
        <v>252</v>
      </c>
      <c r="E861" s="1" t="s">
        <v>340</v>
      </c>
      <c r="F861" s="1">
        <v>1</v>
      </c>
      <c r="G861" s="1" t="s">
        <v>143</v>
      </c>
    </row>
    <row r="862" spans="1:9" hidden="1" x14ac:dyDescent="0.3">
      <c r="A862" s="1">
        <v>1868</v>
      </c>
      <c r="B862" s="1" t="s">
        <v>2121</v>
      </c>
      <c r="C862" s="1" t="s">
        <v>2122</v>
      </c>
      <c r="D862" s="1" t="s">
        <v>779</v>
      </c>
      <c r="E862" s="1" t="s">
        <v>147</v>
      </c>
      <c r="F862" s="1">
        <v>1</v>
      </c>
      <c r="G862" s="1" t="s">
        <v>143</v>
      </c>
    </row>
    <row r="863" spans="1:9" hidden="1" x14ac:dyDescent="0.3">
      <c r="A863" s="1">
        <v>1869</v>
      </c>
      <c r="B863" s="1" t="s">
        <v>2123</v>
      </c>
      <c r="C863" s="1" t="s">
        <v>2124</v>
      </c>
      <c r="D863" s="1" t="s">
        <v>252</v>
      </c>
      <c r="E863" s="1" t="s">
        <v>255</v>
      </c>
      <c r="F863" s="1">
        <v>0</v>
      </c>
      <c r="G863" s="1" t="s">
        <v>82</v>
      </c>
      <c r="I863" s="1" t="s">
        <v>188</v>
      </c>
    </row>
    <row r="864" spans="1:9" hidden="1" x14ac:dyDescent="0.3">
      <c r="A864" s="1">
        <v>1870</v>
      </c>
      <c r="B864" s="1" t="s">
        <v>2125</v>
      </c>
      <c r="C864" s="1" t="s">
        <v>2126</v>
      </c>
      <c r="D864" s="1" t="s">
        <v>230</v>
      </c>
      <c r="E864" s="1" t="s">
        <v>197</v>
      </c>
      <c r="F864" s="1">
        <v>0</v>
      </c>
      <c r="G864" s="1" t="s">
        <v>82</v>
      </c>
      <c r="I864" s="1" t="s">
        <v>84</v>
      </c>
    </row>
    <row r="865" spans="1:9" hidden="1" x14ac:dyDescent="0.3">
      <c r="A865" s="1">
        <v>1873</v>
      </c>
      <c r="B865" s="1" t="s">
        <v>2127</v>
      </c>
      <c r="C865" s="1" t="s">
        <v>2128</v>
      </c>
      <c r="D865" s="1" t="s">
        <v>365</v>
      </c>
      <c r="E865" s="1" t="s">
        <v>331</v>
      </c>
      <c r="F865" s="1">
        <v>0</v>
      </c>
      <c r="G865" s="1" t="s">
        <v>82</v>
      </c>
      <c r="I865" s="1" t="s">
        <v>188</v>
      </c>
    </row>
    <row r="866" spans="1:9" hidden="1" x14ac:dyDescent="0.3">
      <c r="A866" s="1">
        <v>1874</v>
      </c>
      <c r="B866" s="1" t="s">
        <v>2129</v>
      </c>
      <c r="C866" s="1" t="s">
        <v>2130</v>
      </c>
      <c r="D866" s="1" t="s">
        <v>745</v>
      </c>
      <c r="E866" s="1" t="s">
        <v>68</v>
      </c>
      <c r="F866" s="1">
        <v>1</v>
      </c>
      <c r="G866" s="1" t="s">
        <v>143</v>
      </c>
    </row>
    <row r="867" spans="1:9" hidden="1" x14ac:dyDescent="0.3">
      <c r="A867" s="1">
        <v>1875</v>
      </c>
      <c r="B867" s="1" t="s">
        <v>2131</v>
      </c>
      <c r="C867" s="1" t="s">
        <v>2132</v>
      </c>
      <c r="D867" s="1" t="s">
        <v>278</v>
      </c>
      <c r="E867" s="1" t="s">
        <v>1327</v>
      </c>
      <c r="F867" s="1">
        <v>1</v>
      </c>
      <c r="G867" s="1" t="s">
        <v>143</v>
      </c>
    </row>
    <row r="868" spans="1:9" hidden="1" x14ac:dyDescent="0.3">
      <c r="A868" s="1">
        <v>1877</v>
      </c>
      <c r="B868" s="1" t="s">
        <v>2133</v>
      </c>
      <c r="C868" s="1" t="s">
        <v>2134</v>
      </c>
      <c r="D868" s="1" t="s">
        <v>252</v>
      </c>
      <c r="E868" s="1" t="s">
        <v>259</v>
      </c>
      <c r="F868" s="1">
        <v>1</v>
      </c>
      <c r="G868" s="1" t="s">
        <v>143</v>
      </c>
    </row>
    <row r="869" spans="1:9" hidden="1" x14ac:dyDescent="0.3">
      <c r="A869" s="1">
        <v>1881</v>
      </c>
      <c r="B869" s="1" t="s">
        <v>2135</v>
      </c>
      <c r="C869" s="1" t="s">
        <v>2136</v>
      </c>
      <c r="D869" s="1" t="s">
        <v>252</v>
      </c>
      <c r="E869" s="1" t="s">
        <v>259</v>
      </c>
      <c r="F869" s="1">
        <v>1</v>
      </c>
      <c r="G869" s="1" t="s">
        <v>143</v>
      </c>
    </row>
    <row r="870" spans="1:9" hidden="1" x14ac:dyDescent="0.3">
      <c r="A870" s="1">
        <v>1882</v>
      </c>
      <c r="B870" s="1" t="s">
        <v>2137</v>
      </c>
      <c r="C870" s="1" t="s">
        <v>2138</v>
      </c>
      <c r="D870" s="1" t="s">
        <v>422</v>
      </c>
      <c r="E870" s="1" t="s">
        <v>340</v>
      </c>
      <c r="F870" s="1">
        <v>1</v>
      </c>
      <c r="G870" s="1" t="s">
        <v>143</v>
      </c>
    </row>
    <row r="871" spans="1:9" hidden="1" x14ac:dyDescent="0.3">
      <c r="A871" s="1">
        <v>1883</v>
      </c>
      <c r="B871" s="1" t="s">
        <v>2139</v>
      </c>
      <c r="C871" s="1" t="s">
        <v>2140</v>
      </c>
      <c r="D871" s="1" t="s">
        <v>2141</v>
      </c>
      <c r="E871" s="1" t="s">
        <v>134</v>
      </c>
      <c r="F871" s="1">
        <v>0</v>
      </c>
      <c r="G871" s="1" t="s">
        <v>82</v>
      </c>
      <c r="I871" s="1" t="s">
        <v>123</v>
      </c>
    </row>
    <row r="872" spans="1:9" hidden="1" x14ac:dyDescent="0.3">
      <c r="A872" s="1">
        <v>1884</v>
      </c>
      <c r="B872" s="1" t="s">
        <v>2142</v>
      </c>
      <c r="C872" s="1" t="s">
        <v>2143</v>
      </c>
      <c r="D872" s="1" t="s">
        <v>748</v>
      </c>
      <c r="E872" s="1" t="s">
        <v>130</v>
      </c>
      <c r="F872" s="1">
        <v>0</v>
      </c>
      <c r="G872" s="1" t="s">
        <v>82</v>
      </c>
      <c r="I872" s="1" t="s">
        <v>123</v>
      </c>
    </row>
    <row r="873" spans="1:9" hidden="1" x14ac:dyDescent="0.3">
      <c r="A873" s="1">
        <v>1885</v>
      </c>
      <c r="B873" s="1" t="s">
        <v>2144</v>
      </c>
      <c r="C873" s="1" t="s">
        <v>2145</v>
      </c>
      <c r="D873" s="1" t="s">
        <v>252</v>
      </c>
      <c r="E873" s="1" t="s">
        <v>259</v>
      </c>
      <c r="F873" s="1">
        <v>0</v>
      </c>
      <c r="G873" s="1" t="s">
        <v>82</v>
      </c>
      <c r="I873" s="1" t="s">
        <v>188</v>
      </c>
    </row>
    <row r="874" spans="1:9" hidden="1" x14ac:dyDescent="0.3">
      <c r="A874" s="1">
        <v>1886</v>
      </c>
      <c r="B874" s="1" t="s">
        <v>2146</v>
      </c>
      <c r="C874" s="1" t="s">
        <v>2147</v>
      </c>
      <c r="D874" s="1" t="s">
        <v>252</v>
      </c>
      <c r="E874" s="1" t="s">
        <v>259</v>
      </c>
      <c r="F874" s="1">
        <v>1</v>
      </c>
      <c r="G874" s="1" t="s">
        <v>143</v>
      </c>
      <c r="I874" s="1" t="s">
        <v>188</v>
      </c>
    </row>
    <row r="875" spans="1:9" hidden="1" x14ac:dyDescent="0.3">
      <c r="A875" s="1">
        <v>1888</v>
      </c>
      <c r="B875" s="1" t="s">
        <v>2148</v>
      </c>
      <c r="C875" s="1" t="s">
        <v>2149</v>
      </c>
      <c r="D875" s="1" t="s">
        <v>252</v>
      </c>
      <c r="E875" s="1" t="s">
        <v>255</v>
      </c>
      <c r="F875" s="1">
        <v>0</v>
      </c>
      <c r="G875" s="1" t="s">
        <v>82</v>
      </c>
      <c r="I875" s="1" t="s">
        <v>188</v>
      </c>
    </row>
    <row r="876" spans="1:9" hidden="1" x14ac:dyDescent="0.3">
      <c r="A876" s="1">
        <v>1889</v>
      </c>
      <c r="B876" s="1" t="s">
        <v>2150</v>
      </c>
      <c r="C876" s="1" t="s">
        <v>2151</v>
      </c>
      <c r="D876" s="1" t="s">
        <v>2010</v>
      </c>
      <c r="E876" s="1" t="s">
        <v>68</v>
      </c>
      <c r="F876" s="1">
        <v>1</v>
      </c>
      <c r="G876" s="1" t="s">
        <v>143</v>
      </c>
    </row>
    <row r="877" spans="1:9" hidden="1" x14ac:dyDescent="0.3">
      <c r="A877" s="1">
        <v>1890</v>
      </c>
      <c r="B877" s="1" t="s">
        <v>2152</v>
      </c>
      <c r="C877" s="1" t="s">
        <v>2153</v>
      </c>
      <c r="D877" s="1" t="s">
        <v>252</v>
      </c>
      <c r="E877" s="1" t="s">
        <v>340</v>
      </c>
      <c r="F877" s="1">
        <v>0</v>
      </c>
      <c r="G877" s="1" t="s">
        <v>82</v>
      </c>
      <c r="I877" s="1" t="s">
        <v>188</v>
      </c>
    </row>
    <row r="878" spans="1:9" x14ac:dyDescent="0.3">
      <c r="A878" s="1">
        <v>1893</v>
      </c>
      <c r="B878" s="1" t="s">
        <v>2154</v>
      </c>
      <c r="C878" s="1" t="s">
        <v>2155</v>
      </c>
      <c r="D878" s="1" t="s">
        <v>2156</v>
      </c>
      <c r="E878" s="1" t="s">
        <v>215</v>
      </c>
      <c r="F878" s="1">
        <v>0</v>
      </c>
      <c r="G878" s="1" t="s">
        <v>82</v>
      </c>
      <c r="I878" s="1" t="s">
        <v>123</v>
      </c>
    </row>
    <row r="879" spans="1:9" hidden="1" x14ac:dyDescent="0.3">
      <c r="A879" s="1">
        <v>1894</v>
      </c>
      <c r="B879" s="1" t="s">
        <v>2157</v>
      </c>
      <c r="C879" s="1" t="s">
        <v>2158</v>
      </c>
      <c r="D879" s="1" t="s">
        <v>2159</v>
      </c>
      <c r="E879" s="1" t="s">
        <v>111</v>
      </c>
      <c r="F879" s="1">
        <v>1</v>
      </c>
      <c r="G879" s="1" t="s">
        <v>143</v>
      </c>
    </row>
    <row r="880" spans="1:9" hidden="1" x14ac:dyDescent="0.3">
      <c r="A880" s="1">
        <v>1895</v>
      </c>
      <c r="B880" s="1" t="s">
        <v>2160</v>
      </c>
      <c r="C880" s="1" t="s">
        <v>2161</v>
      </c>
      <c r="D880" s="1" t="s">
        <v>252</v>
      </c>
      <c r="E880" s="1" t="s">
        <v>340</v>
      </c>
      <c r="F880" s="1">
        <v>1</v>
      </c>
      <c r="G880" s="1" t="s">
        <v>143</v>
      </c>
      <c r="I880" s="1" t="s">
        <v>188</v>
      </c>
    </row>
    <row r="881" spans="1:9" hidden="1" x14ac:dyDescent="0.3">
      <c r="A881" s="1">
        <v>1896</v>
      </c>
      <c r="B881" s="1" t="s">
        <v>2162</v>
      </c>
      <c r="C881" s="1" t="s">
        <v>2163</v>
      </c>
      <c r="D881" s="1" t="s">
        <v>252</v>
      </c>
      <c r="E881" s="1" t="s">
        <v>340</v>
      </c>
      <c r="F881" s="1">
        <v>0</v>
      </c>
      <c r="G881" s="1" t="s">
        <v>82</v>
      </c>
      <c r="I881" s="1" t="s">
        <v>188</v>
      </c>
    </row>
    <row r="882" spans="1:9" hidden="1" x14ac:dyDescent="0.3">
      <c r="A882" s="1">
        <v>1898</v>
      </c>
      <c r="B882" s="1" t="s">
        <v>2164</v>
      </c>
      <c r="C882" s="1" t="s">
        <v>2165</v>
      </c>
      <c r="D882" s="1" t="s">
        <v>252</v>
      </c>
      <c r="E882" s="1" t="s">
        <v>147</v>
      </c>
      <c r="F882" s="1">
        <v>0</v>
      </c>
      <c r="G882" s="1" t="s">
        <v>82</v>
      </c>
      <c r="I882" s="1" t="s">
        <v>188</v>
      </c>
    </row>
    <row r="883" spans="1:9" hidden="1" x14ac:dyDescent="0.3">
      <c r="A883" s="1">
        <v>1899</v>
      </c>
      <c r="B883" s="1" t="s">
        <v>2166</v>
      </c>
      <c r="C883" s="1" t="s">
        <v>2167</v>
      </c>
      <c r="D883" s="1" t="s">
        <v>422</v>
      </c>
      <c r="E883" s="1" t="s">
        <v>147</v>
      </c>
      <c r="F883" s="1">
        <v>1</v>
      </c>
      <c r="G883" s="1" t="s">
        <v>143</v>
      </c>
    </row>
    <row r="884" spans="1:9" hidden="1" x14ac:dyDescent="0.3">
      <c r="A884" s="1">
        <v>1902</v>
      </c>
      <c r="B884" s="1" t="s">
        <v>2168</v>
      </c>
      <c r="C884" s="1" t="s">
        <v>2169</v>
      </c>
      <c r="D884" s="1" t="s">
        <v>330</v>
      </c>
      <c r="E884" s="1" t="s">
        <v>1114</v>
      </c>
      <c r="F884" s="1">
        <v>0</v>
      </c>
      <c r="G884" s="1" t="s">
        <v>82</v>
      </c>
      <c r="I884" s="1" t="s">
        <v>84</v>
      </c>
    </row>
    <row r="885" spans="1:9" hidden="1" x14ac:dyDescent="0.3">
      <c r="A885" s="1">
        <v>1905</v>
      </c>
      <c r="B885" s="1" t="s">
        <v>2170</v>
      </c>
      <c r="C885" s="1" t="s">
        <v>2171</v>
      </c>
      <c r="D885" s="1" t="s">
        <v>202</v>
      </c>
      <c r="E885" s="1" t="s">
        <v>111</v>
      </c>
      <c r="F885" s="1">
        <v>1</v>
      </c>
      <c r="G885" s="1" t="s">
        <v>143</v>
      </c>
    </row>
    <row r="886" spans="1:9" hidden="1" x14ac:dyDescent="0.3">
      <c r="A886" s="1">
        <v>1907</v>
      </c>
      <c r="B886" s="1" t="s">
        <v>2172</v>
      </c>
      <c r="C886" s="1" t="s">
        <v>2173</v>
      </c>
      <c r="D886" s="1" t="s">
        <v>270</v>
      </c>
      <c r="E886" s="1" t="s">
        <v>1114</v>
      </c>
      <c r="F886" s="1">
        <v>0</v>
      </c>
      <c r="G886" s="1" t="s">
        <v>82</v>
      </c>
      <c r="I886" s="1" t="s">
        <v>188</v>
      </c>
    </row>
    <row r="887" spans="1:9" hidden="1" x14ac:dyDescent="0.3">
      <c r="A887" s="1">
        <v>1908</v>
      </c>
      <c r="B887" s="1" t="s">
        <v>2174</v>
      </c>
      <c r="C887" s="1" t="s">
        <v>2175</v>
      </c>
      <c r="D887" s="1" t="s">
        <v>278</v>
      </c>
      <c r="E887" s="1" t="s">
        <v>1114</v>
      </c>
      <c r="F887" s="1">
        <v>1</v>
      </c>
      <c r="G887" s="1" t="s">
        <v>143</v>
      </c>
    </row>
    <row r="888" spans="1:9" hidden="1" x14ac:dyDescent="0.3">
      <c r="A888" s="1">
        <v>1909</v>
      </c>
      <c r="B888" s="1" t="s">
        <v>2176</v>
      </c>
      <c r="C888" s="1" t="s">
        <v>2177</v>
      </c>
      <c r="D888" s="1" t="s">
        <v>278</v>
      </c>
      <c r="E888" s="1" t="s">
        <v>1114</v>
      </c>
      <c r="F888" s="1">
        <v>1</v>
      </c>
      <c r="G888" s="1" t="s">
        <v>143</v>
      </c>
      <c r="I888" s="1" t="s">
        <v>188</v>
      </c>
    </row>
    <row r="889" spans="1:9" hidden="1" x14ac:dyDescent="0.3">
      <c r="A889" s="1">
        <v>1911</v>
      </c>
      <c r="B889" s="1" t="s">
        <v>2178</v>
      </c>
      <c r="C889" s="1" t="s">
        <v>2179</v>
      </c>
      <c r="D889" s="1" t="s">
        <v>278</v>
      </c>
      <c r="E889" s="1" t="s">
        <v>1114</v>
      </c>
      <c r="F889" s="1">
        <v>1</v>
      </c>
      <c r="G889" s="1" t="s">
        <v>143</v>
      </c>
    </row>
    <row r="890" spans="1:9" hidden="1" x14ac:dyDescent="0.3">
      <c r="A890" s="1">
        <v>1912</v>
      </c>
      <c r="B890" s="1" t="s">
        <v>2180</v>
      </c>
      <c r="C890" s="1" t="s">
        <v>2181</v>
      </c>
      <c r="D890" s="1" t="s">
        <v>278</v>
      </c>
      <c r="E890" s="1" t="s">
        <v>1114</v>
      </c>
      <c r="F890" s="1">
        <v>1</v>
      </c>
      <c r="G890" s="1" t="s">
        <v>143</v>
      </c>
      <c r="I890" s="1" t="s">
        <v>188</v>
      </c>
    </row>
    <row r="891" spans="1:9" hidden="1" x14ac:dyDescent="0.3">
      <c r="A891" s="1">
        <v>1914</v>
      </c>
      <c r="B891" s="1" t="s">
        <v>2182</v>
      </c>
      <c r="C891" s="1" t="s">
        <v>2183</v>
      </c>
      <c r="D891" s="1" t="s">
        <v>2184</v>
      </c>
      <c r="E891" s="1" t="s">
        <v>1114</v>
      </c>
      <c r="F891" s="1">
        <v>1</v>
      </c>
      <c r="G891" s="1" t="s">
        <v>143</v>
      </c>
    </row>
    <row r="892" spans="1:9" hidden="1" x14ac:dyDescent="0.3">
      <c r="A892" s="1">
        <v>1916</v>
      </c>
      <c r="B892" s="1" t="s">
        <v>2185</v>
      </c>
      <c r="C892" s="1" t="s">
        <v>2186</v>
      </c>
      <c r="D892" s="1" t="s">
        <v>365</v>
      </c>
      <c r="E892" s="1" t="s">
        <v>1114</v>
      </c>
      <c r="F892" s="1">
        <v>0</v>
      </c>
      <c r="G892" s="1" t="s">
        <v>82</v>
      </c>
      <c r="I892" s="1" t="s">
        <v>188</v>
      </c>
    </row>
    <row r="893" spans="1:9" hidden="1" x14ac:dyDescent="0.3">
      <c r="A893" s="1">
        <v>1918</v>
      </c>
      <c r="B893" s="1" t="s">
        <v>2187</v>
      </c>
      <c r="C893" s="1" t="s">
        <v>2188</v>
      </c>
      <c r="D893" s="1" t="s">
        <v>2189</v>
      </c>
      <c r="E893" s="1" t="s">
        <v>1114</v>
      </c>
      <c r="F893" s="1">
        <v>1</v>
      </c>
      <c r="G893" s="1" t="s">
        <v>143</v>
      </c>
    </row>
    <row r="894" spans="1:9" hidden="1" x14ac:dyDescent="0.3">
      <c r="A894" s="1">
        <v>1919</v>
      </c>
      <c r="B894" s="1" t="s">
        <v>2190</v>
      </c>
      <c r="C894" s="1" t="s">
        <v>2191</v>
      </c>
      <c r="D894" s="1" t="s">
        <v>2184</v>
      </c>
      <c r="E894" s="1" t="s">
        <v>1114</v>
      </c>
      <c r="F894" s="1">
        <v>1</v>
      </c>
      <c r="G894" s="1" t="s">
        <v>143</v>
      </c>
      <c r="I894" s="1" t="s">
        <v>188</v>
      </c>
    </row>
    <row r="895" spans="1:9" hidden="1" x14ac:dyDescent="0.3">
      <c r="A895" s="1">
        <v>1920</v>
      </c>
      <c r="B895" s="1" t="s">
        <v>2192</v>
      </c>
      <c r="C895" s="1" t="s">
        <v>2193</v>
      </c>
      <c r="D895" s="1" t="s">
        <v>2189</v>
      </c>
      <c r="E895" s="1" t="s">
        <v>1114</v>
      </c>
      <c r="F895" s="1">
        <v>1</v>
      </c>
      <c r="G895" s="1" t="s">
        <v>143</v>
      </c>
    </row>
    <row r="896" spans="1:9" hidden="1" x14ac:dyDescent="0.3">
      <c r="A896" s="1">
        <v>1924</v>
      </c>
      <c r="B896" s="1" t="s">
        <v>2194</v>
      </c>
      <c r="C896" s="1" t="s">
        <v>2195</v>
      </c>
      <c r="D896" s="1" t="s">
        <v>2189</v>
      </c>
      <c r="E896" s="1" t="s">
        <v>1114</v>
      </c>
      <c r="F896" s="1">
        <v>1</v>
      </c>
      <c r="G896" s="1" t="s">
        <v>143</v>
      </c>
    </row>
    <row r="897" spans="1:9" hidden="1" x14ac:dyDescent="0.3">
      <c r="A897" s="1">
        <v>1926</v>
      </c>
      <c r="B897" s="1" t="s">
        <v>2196</v>
      </c>
      <c r="C897" s="1" t="s">
        <v>2197</v>
      </c>
      <c r="D897" s="1" t="s">
        <v>2189</v>
      </c>
      <c r="E897" s="1" t="s">
        <v>1114</v>
      </c>
      <c r="F897" s="1">
        <v>1</v>
      </c>
      <c r="G897" s="1" t="s">
        <v>143</v>
      </c>
    </row>
    <row r="898" spans="1:9" hidden="1" x14ac:dyDescent="0.3">
      <c r="A898" s="1">
        <v>1927</v>
      </c>
      <c r="B898" s="1" t="s">
        <v>2198</v>
      </c>
      <c r="C898" s="1" t="s">
        <v>2199</v>
      </c>
      <c r="D898" s="1" t="s">
        <v>2184</v>
      </c>
      <c r="E898" s="1" t="s">
        <v>1114</v>
      </c>
      <c r="F898" s="1">
        <v>1</v>
      </c>
      <c r="G898" s="1" t="s">
        <v>143</v>
      </c>
      <c r="I898" s="1" t="s">
        <v>188</v>
      </c>
    </row>
    <row r="899" spans="1:9" hidden="1" x14ac:dyDescent="0.3">
      <c r="A899" s="1">
        <v>1934</v>
      </c>
      <c r="B899" s="1" t="s">
        <v>2200</v>
      </c>
      <c r="C899" s="1" t="s">
        <v>2201</v>
      </c>
      <c r="D899" s="1" t="s">
        <v>2189</v>
      </c>
      <c r="E899" s="1" t="s">
        <v>1114</v>
      </c>
      <c r="F899" s="1">
        <v>0</v>
      </c>
      <c r="G899" s="1" t="s">
        <v>82</v>
      </c>
      <c r="I899" s="1" t="s">
        <v>188</v>
      </c>
    </row>
    <row r="900" spans="1:9" hidden="1" x14ac:dyDescent="0.3">
      <c r="A900" s="1">
        <v>1939</v>
      </c>
      <c r="B900" s="1" t="s">
        <v>2202</v>
      </c>
      <c r="C900" s="1" t="s">
        <v>2203</v>
      </c>
      <c r="D900" s="1" t="s">
        <v>2189</v>
      </c>
      <c r="E900" s="1" t="s">
        <v>1114</v>
      </c>
      <c r="F900" s="1">
        <v>1</v>
      </c>
      <c r="G900" s="1" t="s">
        <v>143</v>
      </c>
      <c r="I900" s="1" t="s">
        <v>188</v>
      </c>
    </row>
    <row r="901" spans="1:9" hidden="1" x14ac:dyDescent="0.3">
      <c r="A901" s="1">
        <v>1940</v>
      </c>
      <c r="B901" s="1" t="s">
        <v>2204</v>
      </c>
      <c r="C901" s="1" t="s">
        <v>2205</v>
      </c>
      <c r="D901" s="1" t="s">
        <v>2189</v>
      </c>
      <c r="E901" s="1" t="s">
        <v>1114</v>
      </c>
      <c r="F901" s="1">
        <v>0</v>
      </c>
      <c r="G901" s="1" t="s">
        <v>82</v>
      </c>
      <c r="I901" s="1" t="s">
        <v>188</v>
      </c>
    </row>
    <row r="902" spans="1:9" hidden="1" x14ac:dyDescent="0.3">
      <c r="A902" s="1">
        <v>1943</v>
      </c>
      <c r="B902" s="1" t="s">
        <v>2206</v>
      </c>
      <c r="C902" s="1" t="s">
        <v>2207</v>
      </c>
      <c r="D902" s="1" t="s">
        <v>2189</v>
      </c>
      <c r="E902" s="1" t="s">
        <v>1114</v>
      </c>
      <c r="F902" s="1">
        <v>1</v>
      </c>
      <c r="G902" s="1" t="s">
        <v>143</v>
      </c>
    </row>
    <row r="903" spans="1:9" hidden="1" x14ac:dyDescent="0.3">
      <c r="A903" s="1">
        <v>1945</v>
      </c>
      <c r="B903" s="1" t="s">
        <v>2208</v>
      </c>
      <c r="C903" s="1" t="s">
        <v>2209</v>
      </c>
      <c r="D903" s="1" t="s">
        <v>252</v>
      </c>
      <c r="E903" s="1" t="s">
        <v>255</v>
      </c>
      <c r="F903" s="1">
        <v>1</v>
      </c>
      <c r="G903" s="1" t="s">
        <v>143</v>
      </c>
    </row>
    <row r="904" spans="1:9" hidden="1" x14ac:dyDescent="0.3">
      <c r="A904" s="1">
        <v>1946</v>
      </c>
      <c r="B904" s="1" t="s">
        <v>2210</v>
      </c>
      <c r="C904" s="1" t="s">
        <v>2211</v>
      </c>
      <c r="D904" s="1" t="s">
        <v>237</v>
      </c>
      <c r="E904" s="1" t="s">
        <v>419</v>
      </c>
      <c r="F904" s="1">
        <v>1</v>
      </c>
      <c r="G904" s="1" t="s">
        <v>143</v>
      </c>
    </row>
    <row r="905" spans="1:9" hidden="1" x14ac:dyDescent="0.3">
      <c r="A905" s="1">
        <v>1950</v>
      </c>
      <c r="B905" s="1" t="s">
        <v>2212</v>
      </c>
      <c r="C905" s="1" t="s">
        <v>2213</v>
      </c>
      <c r="D905" s="1" t="s">
        <v>1690</v>
      </c>
      <c r="E905" s="1" t="s">
        <v>134</v>
      </c>
      <c r="F905" s="1">
        <v>1</v>
      </c>
      <c r="G905" s="1" t="s">
        <v>143</v>
      </c>
    </row>
    <row r="906" spans="1:9" hidden="1" x14ac:dyDescent="0.3">
      <c r="A906" s="1">
        <v>1951</v>
      </c>
      <c r="B906" s="1" t="s">
        <v>2214</v>
      </c>
      <c r="C906" s="1" t="s">
        <v>2215</v>
      </c>
      <c r="D906" s="1" t="s">
        <v>2075</v>
      </c>
      <c r="E906" s="1" t="s">
        <v>111</v>
      </c>
      <c r="F906" s="1">
        <v>0</v>
      </c>
      <c r="G906" s="1" t="s">
        <v>82</v>
      </c>
      <c r="I906" s="1" t="s">
        <v>123</v>
      </c>
    </row>
    <row r="907" spans="1:9" hidden="1" x14ac:dyDescent="0.3">
      <c r="A907" s="1">
        <v>1953</v>
      </c>
      <c r="B907" s="1" t="s">
        <v>2216</v>
      </c>
      <c r="C907" s="1" t="s">
        <v>2217</v>
      </c>
      <c r="D907" s="1" t="s">
        <v>2189</v>
      </c>
      <c r="E907" s="1" t="s">
        <v>1114</v>
      </c>
      <c r="F907" s="1">
        <v>1</v>
      </c>
      <c r="G907" s="1" t="s">
        <v>143</v>
      </c>
      <c r="I907" s="1" t="s">
        <v>188</v>
      </c>
    </row>
    <row r="908" spans="1:9" hidden="1" x14ac:dyDescent="0.3">
      <c r="A908" s="1">
        <v>1955</v>
      </c>
      <c r="B908" s="1" t="s">
        <v>2218</v>
      </c>
      <c r="C908" s="1" t="s">
        <v>2219</v>
      </c>
      <c r="D908" s="1" t="s">
        <v>2220</v>
      </c>
      <c r="E908" s="1" t="s">
        <v>134</v>
      </c>
      <c r="F908" s="1">
        <v>0</v>
      </c>
      <c r="G908" s="1" t="s">
        <v>82</v>
      </c>
      <c r="I908" s="1" t="s">
        <v>123</v>
      </c>
    </row>
    <row r="909" spans="1:9" hidden="1" x14ac:dyDescent="0.3">
      <c r="A909" s="1">
        <v>1958</v>
      </c>
      <c r="B909" s="1" t="s">
        <v>2221</v>
      </c>
      <c r="C909" s="1" t="s">
        <v>2222</v>
      </c>
      <c r="D909" s="1" t="s">
        <v>422</v>
      </c>
      <c r="E909" s="1" t="s">
        <v>255</v>
      </c>
      <c r="F909" s="1">
        <v>1</v>
      </c>
      <c r="G909" s="1" t="s">
        <v>143</v>
      </c>
    </row>
    <row r="910" spans="1:9" hidden="1" x14ac:dyDescent="0.3">
      <c r="A910" s="1">
        <v>1959</v>
      </c>
      <c r="B910" s="1" t="s">
        <v>2223</v>
      </c>
      <c r="C910" s="1" t="s">
        <v>2224</v>
      </c>
      <c r="D910" s="1" t="s">
        <v>422</v>
      </c>
      <c r="E910" s="1" t="s">
        <v>340</v>
      </c>
      <c r="F910" s="1">
        <v>1</v>
      </c>
      <c r="G910" s="1" t="s">
        <v>143</v>
      </c>
    </row>
    <row r="911" spans="1:9" hidden="1" x14ac:dyDescent="0.3">
      <c r="A911" s="1">
        <v>1961</v>
      </c>
      <c r="B911" s="1" t="s">
        <v>2225</v>
      </c>
      <c r="C911" s="1" t="s">
        <v>2226</v>
      </c>
      <c r="D911" s="1" t="s">
        <v>2227</v>
      </c>
      <c r="E911" s="1" t="s">
        <v>215</v>
      </c>
      <c r="F911" s="1">
        <v>1</v>
      </c>
      <c r="G911" s="1" t="s">
        <v>143</v>
      </c>
    </row>
    <row r="912" spans="1:9" hidden="1" x14ac:dyDescent="0.3">
      <c r="A912" s="1">
        <v>1964</v>
      </c>
      <c r="B912" s="1" t="s">
        <v>2228</v>
      </c>
      <c r="C912" s="1" t="s">
        <v>2229</v>
      </c>
      <c r="D912" s="1" t="s">
        <v>252</v>
      </c>
      <c r="E912" s="1" t="s">
        <v>255</v>
      </c>
      <c r="F912" s="1">
        <v>1</v>
      </c>
      <c r="G912" s="1" t="s">
        <v>143</v>
      </c>
    </row>
    <row r="913" spans="1:9" hidden="1" x14ac:dyDescent="0.3">
      <c r="A913" s="1">
        <v>1966</v>
      </c>
      <c r="B913" s="1" t="s">
        <v>2230</v>
      </c>
      <c r="C913" s="1" t="s">
        <v>2231</v>
      </c>
      <c r="D913" s="1" t="s">
        <v>422</v>
      </c>
      <c r="E913" s="1" t="s">
        <v>147</v>
      </c>
      <c r="F913" s="1">
        <v>1</v>
      </c>
      <c r="G913" s="1" t="s">
        <v>143</v>
      </c>
    </row>
    <row r="914" spans="1:9" hidden="1" x14ac:dyDescent="0.3">
      <c r="A914" s="1">
        <v>1968</v>
      </c>
      <c r="B914" s="1" t="s">
        <v>2232</v>
      </c>
      <c r="C914" s="1" t="s">
        <v>2233</v>
      </c>
      <c r="D914" s="1" t="s">
        <v>252</v>
      </c>
      <c r="E914" s="1" t="s">
        <v>255</v>
      </c>
      <c r="F914" s="1">
        <v>0</v>
      </c>
      <c r="G914" s="1" t="s">
        <v>82</v>
      </c>
      <c r="I914" s="1" t="s">
        <v>188</v>
      </c>
    </row>
    <row r="915" spans="1:9" hidden="1" x14ac:dyDescent="0.3">
      <c r="A915" s="1">
        <v>1971</v>
      </c>
      <c r="B915" s="1" t="s">
        <v>2234</v>
      </c>
      <c r="C915" s="1" t="s">
        <v>2235</v>
      </c>
      <c r="D915" s="1" t="s">
        <v>422</v>
      </c>
      <c r="E915" s="1" t="s">
        <v>340</v>
      </c>
      <c r="F915" s="1">
        <v>1</v>
      </c>
      <c r="G915" s="1" t="s">
        <v>143</v>
      </c>
    </row>
    <row r="916" spans="1:9" hidden="1" x14ac:dyDescent="0.3">
      <c r="A916" s="1">
        <v>1972</v>
      </c>
      <c r="B916" s="1" t="s">
        <v>2236</v>
      </c>
      <c r="C916" s="1" t="s">
        <v>2237</v>
      </c>
      <c r="D916" s="1" t="s">
        <v>2184</v>
      </c>
      <c r="E916" s="1" t="s">
        <v>1114</v>
      </c>
      <c r="F916" s="1">
        <v>1</v>
      </c>
      <c r="G916" s="1" t="s">
        <v>143</v>
      </c>
    </row>
    <row r="917" spans="1:9" hidden="1" x14ac:dyDescent="0.3">
      <c r="A917" s="1">
        <v>1975</v>
      </c>
      <c r="B917" s="1" t="s">
        <v>2238</v>
      </c>
      <c r="C917" s="1" t="s">
        <v>2239</v>
      </c>
      <c r="D917" s="1" t="s">
        <v>336</v>
      </c>
      <c r="E917" s="1" t="s">
        <v>331</v>
      </c>
      <c r="F917" s="1">
        <v>1</v>
      </c>
      <c r="G917" s="1" t="s">
        <v>143</v>
      </c>
    </row>
    <row r="918" spans="1:9" hidden="1" x14ac:dyDescent="0.3">
      <c r="A918" s="1">
        <v>1977</v>
      </c>
      <c r="B918" s="1" t="s">
        <v>2240</v>
      </c>
      <c r="C918" s="1" t="s">
        <v>2241</v>
      </c>
      <c r="D918" s="1" t="s">
        <v>1668</v>
      </c>
      <c r="E918" s="1" t="s">
        <v>111</v>
      </c>
      <c r="F918" s="1">
        <v>0</v>
      </c>
      <c r="G918" s="1" t="s">
        <v>82</v>
      </c>
      <c r="I918" s="1" t="s">
        <v>123</v>
      </c>
    </row>
    <row r="919" spans="1:9" hidden="1" x14ac:dyDescent="0.3">
      <c r="A919" s="1">
        <v>1978</v>
      </c>
      <c r="B919" s="1" t="s">
        <v>2242</v>
      </c>
      <c r="C919" s="1" t="s">
        <v>2243</v>
      </c>
      <c r="D919" s="1" t="s">
        <v>2244</v>
      </c>
      <c r="E919" s="1" t="s">
        <v>111</v>
      </c>
      <c r="F919" s="1">
        <v>0</v>
      </c>
      <c r="G919" s="1" t="s">
        <v>82</v>
      </c>
      <c r="I919" s="1" t="s">
        <v>123</v>
      </c>
    </row>
    <row r="920" spans="1:9" hidden="1" x14ac:dyDescent="0.3">
      <c r="A920" s="1">
        <v>1979</v>
      </c>
      <c r="B920" s="1" t="s">
        <v>2245</v>
      </c>
      <c r="C920" s="1" t="s">
        <v>2246</v>
      </c>
      <c r="D920" s="1" t="s">
        <v>252</v>
      </c>
      <c r="E920" s="1" t="s">
        <v>340</v>
      </c>
      <c r="F920" s="1">
        <v>0</v>
      </c>
      <c r="G920" s="1" t="s">
        <v>82</v>
      </c>
      <c r="I920" s="1" t="s">
        <v>188</v>
      </c>
    </row>
    <row r="921" spans="1:9" hidden="1" x14ac:dyDescent="0.3">
      <c r="A921" s="1">
        <v>1980</v>
      </c>
      <c r="B921" s="1" t="s">
        <v>2247</v>
      </c>
      <c r="C921" s="1" t="s">
        <v>2248</v>
      </c>
      <c r="D921" s="1" t="s">
        <v>345</v>
      </c>
      <c r="E921" s="1" t="s">
        <v>331</v>
      </c>
      <c r="F921" s="1">
        <v>1</v>
      </c>
      <c r="G921" s="1" t="s">
        <v>143</v>
      </c>
    </row>
    <row r="922" spans="1:9" hidden="1" x14ac:dyDescent="0.3">
      <c r="A922" s="1">
        <v>1981</v>
      </c>
      <c r="B922" s="1" t="s">
        <v>2249</v>
      </c>
      <c r="C922" s="1" t="s">
        <v>2250</v>
      </c>
      <c r="D922" s="1" t="s">
        <v>1153</v>
      </c>
      <c r="E922" s="1" t="s">
        <v>91</v>
      </c>
      <c r="F922" s="1">
        <v>1</v>
      </c>
      <c r="G922" s="1" t="s">
        <v>143</v>
      </c>
    </row>
    <row r="923" spans="1:9" hidden="1" x14ac:dyDescent="0.3">
      <c r="A923" s="1">
        <v>1982</v>
      </c>
      <c r="B923" s="1" t="s">
        <v>2251</v>
      </c>
      <c r="C923" s="1" t="s">
        <v>2252</v>
      </c>
      <c r="D923" s="1" t="s">
        <v>435</v>
      </c>
      <c r="E923" s="1" t="s">
        <v>111</v>
      </c>
      <c r="F923" s="1">
        <v>0</v>
      </c>
      <c r="G923" s="1" t="s">
        <v>82</v>
      </c>
      <c r="I923" s="1" t="s">
        <v>123</v>
      </c>
    </row>
    <row r="924" spans="1:9" hidden="1" x14ac:dyDescent="0.3">
      <c r="A924" s="1">
        <v>1983</v>
      </c>
      <c r="B924" s="1" t="s">
        <v>2253</v>
      </c>
      <c r="C924" s="1" t="s">
        <v>2254</v>
      </c>
      <c r="D924" s="1" t="s">
        <v>278</v>
      </c>
      <c r="E924" s="1" t="s">
        <v>340</v>
      </c>
      <c r="F924" s="1">
        <v>1</v>
      </c>
      <c r="G924" s="1" t="s">
        <v>143</v>
      </c>
    </row>
    <row r="925" spans="1:9" hidden="1" x14ac:dyDescent="0.3">
      <c r="A925" s="1">
        <v>1984</v>
      </c>
      <c r="B925" s="1" t="s">
        <v>2255</v>
      </c>
      <c r="C925" s="1" t="s">
        <v>2256</v>
      </c>
      <c r="D925" s="1" t="s">
        <v>2257</v>
      </c>
      <c r="E925" s="1" t="s">
        <v>215</v>
      </c>
      <c r="F925" s="1">
        <v>1</v>
      </c>
      <c r="G925" s="1" t="s">
        <v>143</v>
      </c>
    </row>
    <row r="926" spans="1:9" hidden="1" x14ac:dyDescent="0.3">
      <c r="A926" s="1">
        <v>1985</v>
      </c>
      <c r="B926" s="1" t="s">
        <v>2258</v>
      </c>
      <c r="C926" s="1" t="s">
        <v>2259</v>
      </c>
      <c r="D926" s="1" t="s">
        <v>252</v>
      </c>
      <c r="E926" s="1" t="s">
        <v>340</v>
      </c>
      <c r="F926" s="1">
        <v>0</v>
      </c>
      <c r="G926" s="1" t="s">
        <v>82</v>
      </c>
      <c r="I926" s="1" t="s">
        <v>188</v>
      </c>
    </row>
    <row r="927" spans="1:9" hidden="1" x14ac:dyDescent="0.3">
      <c r="A927" s="1">
        <v>1986</v>
      </c>
      <c r="B927" s="1" t="s">
        <v>2260</v>
      </c>
      <c r="C927" s="1" t="s">
        <v>2261</v>
      </c>
      <c r="D927" s="1" t="s">
        <v>422</v>
      </c>
      <c r="E927" s="1" t="s">
        <v>147</v>
      </c>
      <c r="F927" s="1">
        <v>0</v>
      </c>
      <c r="G927" s="1" t="s">
        <v>82</v>
      </c>
      <c r="I927" s="1" t="s">
        <v>188</v>
      </c>
    </row>
    <row r="928" spans="1:9" hidden="1" x14ac:dyDescent="0.3">
      <c r="A928" s="1">
        <v>1987</v>
      </c>
      <c r="B928" s="1" t="s">
        <v>2262</v>
      </c>
      <c r="C928" s="1" t="s">
        <v>2263</v>
      </c>
      <c r="D928" s="1" t="s">
        <v>422</v>
      </c>
      <c r="E928" s="1" t="s">
        <v>340</v>
      </c>
      <c r="F928" s="1">
        <v>1</v>
      </c>
      <c r="G928" s="1" t="s">
        <v>143</v>
      </c>
    </row>
    <row r="929" spans="1:9" hidden="1" x14ac:dyDescent="0.3">
      <c r="A929" s="1">
        <v>1991</v>
      </c>
      <c r="B929" s="1" t="s">
        <v>2264</v>
      </c>
      <c r="C929" s="1" t="s">
        <v>2265</v>
      </c>
      <c r="D929" s="1" t="s">
        <v>1914</v>
      </c>
      <c r="E929" s="1" t="s">
        <v>215</v>
      </c>
      <c r="F929" s="1">
        <v>1</v>
      </c>
      <c r="G929" s="1" t="s">
        <v>143</v>
      </c>
    </row>
    <row r="930" spans="1:9" hidden="1" x14ac:dyDescent="0.3">
      <c r="A930" s="1">
        <v>1992</v>
      </c>
      <c r="B930" s="1" t="s">
        <v>2266</v>
      </c>
      <c r="C930" s="1" t="s">
        <v>2267</v>
      </c>
      <c r="D930" s="1" t="s">
        <v>252</v>
      </c>
      <c r="E930" s="1" t="s">
        <v>340</v>
      </c>
      <c r="F930" s="1">
        <v>0</v>
      </c>
      <c r="G930" s="1" t="s">
        <v>82</v>
      </c>
      <c r="I930" s="1" t="s">
        <v>188</v>
      </c>
    </row>
    <row r="931" spans="1:9" hidden="1" x14ac:dyDescent="0.3">
      <c r="A931" s="1">
        <v>1993</v>
      </c>
      <c r="B931" s="1" t="s">
        <v>2268</v>
      </c>
      <c r="C931" s="1" t="s">
        <v>2269</v>
      </c>
      <c r="D931" s="1" t="s">
        <v>252</v>
      </c>
      <c r="E931" s="1" t="s">
        <v>259</v>
      </c>
      <c r="F931" s="1">
        <v>1</v>
      </c>
      <c r="G931" s="1" t="s">
        <v>143</v>
      </c>
      <c r="I931" s="1" t="s">
        <v>188</v>
      </c>
    </row>
    <row r="932" spans="1:9" hidden="1" x14ac:dyDescent="0.3">
      <c r="A932" s="1">
        <v>1994</v>
      </c>
      <c r="B932" s="1" t="s">
        <v>2270</v>
      </c>
      <c r="C932" s="1" t="s">
        <v>2271</v>
      </c>
      <c r="D932" s="1" t="s">
        <v>591</v>
      </c>
      <c r="E932" s="1" t="s">
        <v>111</v>
      </c>
      <c r="F932" s="1">
        <v>0</v>
      </c>
      <c r="G932" s="1" t="s">
        <v>82</v>
      </c>
      <c r="I932" s="1" t="s">
        <v>123</v>
      </c>
    </row>
    <row r="933" spans="1:9" hidden="1" x14ac:dyDescent="0.3">
      <c r="A933" s="1">
        <v>1995</v>
      </c>
      <c r="B933" s="1" t="s">
        <v>2272</v>
      </c>
      <c r="C933" s="1" t="s">
        <v>2273</v>
      </c>
      <c r="D933" s="1" t="s">
        <v>1146</v>
      </c>
      <c r="E933" s="1" t="s">
        <v>111</v>
      </c>
      <c r="F933" s="1">
        <v>0</v>
      </c>
      <c r="G933" s="1" t="s">
        <v>82</v>
      </c>
      <c r="I933" s="1" t="s">
        <v>123</v>
      </c>
    </row>
    <row r="934" spans="1:9" hidden="1" x14ac:dyDescent="0.3">
      <c r="A934" s="1">
        <v>1996</v>
      </c>
      <c r="B934" s="1" t="s">
        <v>2274</v>
      </c>
      <c r="C934" s="1" t="s">
        <v>2275</v>
      </c>
      <c r="D934" s="1" t="s">
        <v>1146</v>
      </c>
      <c r="E934" s="1" t="s">
        <v>111</v>
      </c>
      <c r="F934" s="1">
        <v>0</v>
      </c>
      <c r="G934" s="1" t="s">
        <v>82</v>
      </c>
      <c r="I934" s="1" t="s">
        <v>123</v>
      </c>
    </row>
    <row r="935" spans="1:9" hidden="1" x14ac:dyDescent="0.3">
      <c r="A935" s="1">
        <v>1997</v>
      </c>
      <c r="B935" s="1" t="s">
        <v>2276</v>
      </c>
      <c r="C935" s="1" t="s">
        <v>2277</v>
      </c>
      <c r="D935" s="1" t="s">
        <v>435</v>
      </c>
      <c r="E935" s="1" t="s">
        <v>111</v>
      </c>
      <c r="F935" s="1">
        <v>0</v>
      </c>
      <c r="G935" s="1" t="s">
        <v>82</v>
      </c>
      <c r="I935" s="1" t="s">
        <v>123</v>
      </c>
    </row>
    <row r="936" spans="1:9" hidden="1" x14ac:dyDescent="0.3">
      <c r="A936" s="1">
        <v>1998</v>
      </c>
      <c r="B936" s="1" t="s">
        <v>2278</v>
      </c>
      <c r="C936" s="1" t="s">
        <v>2279</v>
      </c>
      <c r="D936" s="1" t="s">
        <v>2280</v>
      </c>
      <c r="E936" s="1" t="s">
        <v>111</v>
      </c>
      <c r="F936" s="1">
        <v>0</v>
      </c>
      <c r="G936" s="1" t="s">
        <v>82</v>
      </c>
      <c r="I936" s="1" t="s">
        <v>123</v>
      </c>
    </row>
    <row r="937" spans="1:9" hidden="1" x14ac:dyDescent="0.3">
      <c r="A937" s="1">
        <v>1999</v>
      </c>
      <c r="B937" s="1" t="s">
        <v>2281</v>
      </c>
      <c r="C937" s="1" t="s">
        <v>2282</v>
      </c>
      <c r="D937" s="1" t="s">
        <v>623</v>
      </c>
      <c r="E937" s="1" t="s">
        <v>111</v>
      </c>
      <c r="F937" s="1">
        <v>0</v>
      </c>
      <c r="G937" s="1" t="s">
        <v>82</v>
      </c>
      <c r="I937" s="1" t="s">
        <v>123</v>
      </c>
    </row>
    <row r="938" spans="1:9" hidden="1" x14ac:dyDescent="0.3">
      <c r="A938" s="1">
        <v>2000</v>
      </c>
      <c r="B938" s="1" t="s">
        <v>2283</v>
      </c>
      <c r="C938" s="1" t="s">
        <v>2284</v>
      </c>
      <c r="D938" s="1" t="s">
        <v>623</v>
      </c>
      <c r="E938" s="1" t="s">
        <v>111</v>
      </c>
      <c r="F938" s="1">
        <v>1</v>
      </c>
      <c r="G938" s="1" t="s">
        <v>143</v>
      </c>
      <c r="I938" s="1" t="s">
        <v>123</v>
      </c>
    </row>
    <row r="939" spans="1:9" hidden="1" x14ac:dyDescent="0.3">
      <c r="A939" s="1">
        <v>2001</v>
      </c>
      <c r="B939" s="1" t="s">
        <v>2285</v>
      </c>
      <c r="C939" s="1" t="s">
        <v>2286</v>
      </c>
      <c r="D939" s="1" t="s">
        <v>591</v>
      </c>
      <c r="E939" s="1" t="s">
        <v>111</v>
      </c>
      <c r="F939" s="1">
        <v>1</v>
      </c>
      <c r="G939" s="1" t="s">
        <v>143</v>
      </c>
      <c r="I939" s="1" t="s">
        <v>123</v>
      </c>
    </row>
    <row r="940" spans="1:9" hidden="1" x14ac:dyDescent="0.3">
      <c r="A940" s="1">
        <v>2002</v>
      </c>
      <c r="B940" s="1" t="s">
        <v>2287</v>
      </c>
      <c r="C940" s="1" t="s">
        <v>2288</v>
      </c>
      <c r="D940" s="1" t="s">
        <v>623</v>
      </c>
      <c r="E940" s="1" t="s">
        <v>111</v>
      </c>
      <c r="F940" s="1">
        <v>1</v>
      </c>
      <c r="G940" s="1" t="s">
        <v>143</v>
      </c>
    </row>
    <row r="941" spans="1:9" hidden="1" x14ac:dyDescent="0.3">
      <c r="A941" s="1">
        <v>2003</v>
      </c>
      <c r="B941" s="1" t="s">
        <v>2289</v>
      </c>
      <c r="C941" s="1" t="s">
        <v>2290</v>
      </c>
      <c r="D941" s="1" t="s">
        <v>847</v>
      </c>
      <c r="E941" s="1" t="s">
        <v>111</v>
      </c>
      <c r="F941" s="1">
        <v>1</v>
      </c>
      <c r="G941" s="1" t="s">
        <v>143</v>
      </c>
      <c r="I941" s="1" t="s">
        <v>123</v>
      </c>
    </row>
    <row r="942" spans="1:9" hidden="1" x14ac:dyDescent="0.3">
      <c r="A942" s="1">
        <v>2006</v>
      </c>
      <c r="B942" s="1" t="s">
        <v>2291</v>
      </c>
      <c r="C942" s="1" t="s">
        <v>2292</v>
      </c>
      <c r="D942" s="1" t="s">
        <v>244</v>
      </c>
      <c r="E942" s="1" t="s">
        <v>245</v>
      </c>
      <c r="F942" s="1">
        <v>0</v>
      </c>
      <c r="G942" s="1" t="s">
        <v>82</v>
      </c>
      <c r="I942" s="1" t="s">
        <v>84</v>
      </c>
    </row>
    <row r="943" spans="1:9" hidden="1" x14ac:dyDescent="0.3">
      <c r="A943" s="1">
        <v>2007</v>
      </c>
      <c r="B943" s="1" t="s">
        <v>2293</v>
      </c>
      <c r="C943" s="1" t="s">
        <v>2294</v>
      </c>
      <c r="D943" s="1" t="s">
        <v>252</v>
      </c>
      <c r="E943" s="1" t="s">
        <v>259</v>
      </c>
      <c r="F943" s="1">
        <v>1</v>
      </c>
      <c r="G943" s="1" t="s">
        <v>143</v>
      </c>
      <c r="I943" s="1" t="s">
        <v>188</v>
      </c>
    </row>
    <row r="944" spans="1:9" hidden="1" x14ac:dyDescent="0.3">
      <c r="A944" s="1">
        <v>2009</v>
      </c>
      <c r="B944" s="1" t="s">
        <v>2295</v>
      </c>
      <c r="C944" s="1" t="s">
        <v>2296</v>
      </c>
      <c r="D944" s="1" t="s">
        <v>2297</v>
      </c>
      <c r="E944" s="1" t="s">
        <v>65</v>
      </c>
      <c r="F944" s="1">
        <v>0</v>
      </c>
      <c r="G944" s="1" t="s">
        <v>82</v>
      </c>
      <c r="I944" s="1" t="s">
        <v>123</v>
      </c>
    </row>
    <row r="945" spans="1:9" hidden="1" x14ac:dyDescent="0.3">
      <c r="A945" s="1">
        <v>2012</v>
      </c>
      <c r="B945" s="1" t="s">
        <v>2298</v>
      </c>
      <c r="C945" s="1" t="s">
        <v>2299</v>
      </c>
      <c r="D945" s="1" t="s">
        <v>422</v>
      </c>
      <c r="E945" s="1" t="s">
        <v>340</v>
      </c>
      <c r="F945" s="1">
        <v>1</v>
      </c>
      <c r="G945" s="1" t="s">
        <v>143</v>
      </c>
    </row>
    <row r="946" spans="1:9" hidden="1" x14ac:dyDescent="0.3">
      <c r="A946" s="1">
        <v>2014</v>
      </c>
      <c r="B946" s="1" t="s">
        <v>2300</v>
      </c>
      <c r="C946" s="1" t="s">
        <v>2301</v>
      </c>
      <c r="D946" s="1" t="s">
        <v>2184</v>
      </c>
      <c r="E946" s="1" t="s">
        <v>1114</v>
      </c>
      <c r="F946" s="1">
        <v>1</v>
      </c>
      <c r="G946" s="1" t="s">
        <v>143</v>
      </c>
    </row>
    <row r="947" spans="1:9" hidden="1" x14ac:dyDescent="0.3">
      <c r="A947" s="1">
        <v>2017</v>
      </c>
      <c r="B947" s="1" t="s">
        <v>2302</v>
      </c>
      <c r="C947" s="1" t="s">
        <v>2303</v>
      </c>
      <c r="D947" s="1" t="s">
        <v>2304</v>
      </c>
      <c r="E947" s="1" t="s">
        <v>505</v>
      </c>
      <c r="F947" s="1">
        <v>1</v>
      </c>
      <c r="G947" s="1" t="s">
        <v>143</v>
      </c>
    </row>
    <row r="948" spans="1:9" hidden="1" x14ac:dyDescent="0.3">
      <c r="A948" s="1">
        <v>2018</v>
      </c>
      <c r="B948" s="1" t="s">
        <v>2305</v>
      </c>
      <c r="C948" s="1" t="s">
        <v>2306</v>
      </c>
      <c r="D948" s="1" t="s">
        <v>252</v>
      </c>
      <c r="E948" s="1" t="s">
        <v>147</v>
      </c>
      <c r="F948" s="1">
        <v>1</v>
      </c>
      <c r="G948" s="1" t="s">
        <v>143</v>
      </c>
    </row>
    <row r="949" spans="1:9" hidden="1" x14ac:dyDescent="0.3">
      <c r="A949" s="1">
        <v>2019</v>
      </c>
      <c r="B949" s="1" t="s">
        <v>2307</v>
      </c>
      <c r="C949" s="1" t="s">
        <v>2308</v>
      </c>
      <c r="D949" s="1" t="s">
        <v>275</v>
      </c>
      <c r="E949" s="1" t="s">
        <v>118</v>
      </c>
      <c r="F949" s="1">
        <v>0</v>
      </c>
      <c r="G949" s="1" t="s">
        <v>82</v>
      </c>
      <c r="I949" s="1" t="s">
        <v>123</v>
      </c>
    </row>
    <row r="950" spans="1:9" hidden="1" x14ac:dyDescent="0.3">
      <c r="A950" s="1">
        <v>2020</v>
      </c>
      <c r="B950" s="1" t="s">
        <v>2309</v>
      </c>
      <c r="C950" s="1" t="s">
        <v>2310</v>
      </c>
      <c r="D950" s="1" t="s">
        <v>252</v>
      </c>
      <c r="E950" s="1" t="s">
        <v>340</v>
      </c>
      <c r="F950" s="1">
        <v>0</v>
      </c>
      <c r="G950" s="1" t="s">
        <v>82</v>
      </c>
      <c r="I950" s="1" t="s">
        <v>188</v>
      </c>
    </row>
    <row r="951" spans="1:9" hidden="1" x14ac:dyDescent="0.3">
      <c r="A951" s="1">
        <v>2021</v>
      </c>
      <c r="B951" s="1" t="s">
        <v>2311</v>
      </c>
      <c r="C951" s="1" t="s">
        <v>2312</v>
      </c>
      <c r="D951" s="1" t="s">
        <v>221</v>
      </c>
      <c r="E951" s="1" t="s">
        <v>197</v>
      </c>
      <c r="F951" s="1">
        <v>1</v>
      </c>
      <c r="G951" s="1" t="s">
        <v>143</v>
      </c>
    </row>
    <row r="952" spans="1:9" hidden="1" x14ac:dyDescent="0.3">
      <c r="A952" s="1">
        <v>2024</v>
      </c>
      <c r="B952" s="1" t="s">
        <v>2313</v>
      </c>
      <c r="C952" s="1" t="s">
        <v>2314</v>
      </c>
      <c r="D952" s="1" t="s">
        <v>1552</v>
      </c>
      <c r="E952" s="1" t="s">
        <v>111</v>
      </c>
      <c r="F952" s="1">
        <v>1</v>
      </c>
      <c r="G952" s="1" t="s">
        <v>143</v>
      </c>
    </row>
    <row r="953" spans="1:9" hidden="1" x14ac:dyDescent="0.3">
      <c r="A953" s="1">
        <v>2027</v>
      </c>
      <c r="B953" s="1" t="s">
        <v>2315</v>
      </c>
      <c r="C953" s="1" t="s">
        <v>2316</v>
      </c>
      <c r="D953" s="1" t="s">
        <v>252</v>
      </c>
      <c r="E953" s="1" t="s">
        <v>340</v>
      </c>
      <c r="F953" s="1">
        <v>0</v>
      </c>
      <c r="G953" s="1" t="s">
        <v>82</v>
      </c>
      <c r="I953" s="1" t="s">
        <v>188</v>
      </c>
    </row>
    <row r="954" spans="1:9" hidden="1" x14ac:dyDescent="0.3">
      <c r="A954" s="1">
        <v>2028</v>
      </c>
      <c r="B954" s="1" t="s">
        <v>2317</v>
      </c>
      <c r="C954" s="1" t="s">
        <v>2318</v>
      </c>
      <c r="D954" s="1" t="s">
        <v>422</v>
      </c>
      <c r="E954" s="1" t="s">
        <v>340</v>
      </c>
      <c r="F954" s="1">
        <v>1</v>
      </c>
      <c r="G954" s="1" t="s">
        <v>143</v>
      </c>
      <c r="I954" s="1" t="s">
        <v>188</v>
      </c>
    </row>
    <row r="955" spans="1:9" hidden="1" x14ac:dyDescent="0.3">
      <c r="A955" s="1">
        <v>2029</v>
      </c>
      <c r="B955" s="1" t="s">
        <v>2319</v>
      </c>
      <c r="C955" s="1" t="s">
        <v>2320</v>
      </c>
      <c r="D955" s="1" t="s">
        <v>422</v>
      </c>
      <c r="E955" s="1" t="s">
        <v>340</v>
      </c>
      <c r="F955" s="1">
        <v>1</v>
      </c>
      <c r="G955" s="1" t="s">
        <v>143</v>
      </c>
    </row>
    <row r="956" spans="1:9" hidden="1" x14ac:dyDescent="0.3">
      <c r="A956" s="1">
        <v>2030</v>
      </c>
      <c r="B956" s="1" t="s">
        <v>2321</v>
      </c>
      <c r="C956" s="1" t="s">
        <v>2322</v>
      </c>
      <c r="D956" s="1" t="s">
        <v>422</v>
      </c>
      <c r="E956" s="1" t="s">
        <v>340</v>
      </c>
      <c r="F956" s="1">
        <v>1</v>
      </c>
      <c r="G956" s="1" t="s">
        <v>143</v>
      </c>
    </row>
    <row r="957" spans="1:9" hidden="1" x14ac:dyDescent="0.3">
      <c r="A957" s="1">
        <v>2031</v>
      </c>
      <c r="B957" s="1" t="s">
        <v>2323</v>
      </c>
      <c r="C957" s="1" t="s">
        <v>2324</v>
      </c>
      <c r="D957" s="1" t="s">
        <v>252</v>
      </c>
      <c r="E957" s="1" t="s">
        <v>255</v>
      </c>
      <c r="F957" s="1">
        <v>1</v>
      </c>
      <c r="G957" s="1" t="s">
        <v>143</v>
      </c>
      <c r="I957" s="1" t="s">
        <v>188</v>
      </c>
    </row>
    <row r="958" spans="1:9" hidden="1" x14ac:dyDescent="0.3">
      <c r="A958" s="1">
        <v>2032</v>
      </c>
      <c r="B958" s="1" t="s">
        <v>2325</v>
      </c>
      <c r="C958" s="1" t="s">
        <v>2326</v>
      </c>
      <c r="D958" s="1" t="s">
        <v>2327</v>
      </c>
      <c r="E958" s="1" t="s">
        <v>170</v>
      </c>
      <c r="F958" s="1">
        <v>1</v>
      </c>
      <c r="G958" s="1" t="s">
        <v>143</v>
      </c>
    </row>
    <row r="959" spans="1:9" hidden="1" x14ac:dyDescent="0.3">
      <c r="A959" s="1">
        <v>2033</v>
      </c>
      <c r="B959" s="1" t="s">
        <v>2328</v>
      </c>
      <c r="C959" s="1" t="s">
        <v>2329</v>
      </c>
      <c r="D959" s="1" t="s">
        <v>2330</v>
      </c>
      <c r="E959" s="1" t="s">
        <v>130</v>
      </c>
      <c r="F959" s="1">
        <v>0</v>
      </c>
      <c r="G959" s="1" t="s">
        <v>82</v>
      </c>
      <c r="I959" s="1" t="s">
        <v>123</v>
      </c>
    </row>
    <row r="960" spans="1:9" hidden="1" x14ac:dyDescent="0.3">
      <c r="A960" s="1">
        <v>2035</v>
      </c>
      <c r="B960" s="1" t="s">
        <v>2331</v>
      </c>
      <c r="C960" s="1" t="s">
        <v>2332</v>
      </c>
      <c r="D960" s="1" t="s">
        <v>278</v>
      </c>
      <c r="E960" s="1" t="s">
        <v>147</v>
      </c>
      <c r="F960" s="1">
        <v>1</v>
      </c>
      <c r="G960" s="1" t="s">
        <v>143</v>
      </c>
    </row>
    <row r="961" spans="1:9" hidden="1" x14ac:dyDescent="0.3">
      <c r="A961" s="1">
        <v>2036</v>
      </c>
      <c r="B961" s="1" t="s">
        <v>2333</v>
      </c>
      <c r="C961" s="1" t="s">
        <v>2334</v>
      </c>
      <c r="D961" s="1" t="s">
        <v>422</v>
      </c>
      <c r="E961" s="1" t="s">
        <v>340</v>
      </c>
      <c r="F961" s="1">
        <v>1</v>
      </c>
      <c r="G961" s="1" t="s">
        <v>143</v>
      </c>
    </row>
    <row r="962" spans="1:9" hidden="1" x14ac:dyDescent="0.3">
      <c r="A962" s="1">
        <v>2039</v>
      </c>
      <c r="B962" s="1" t="s">
        <v>2335</v>
      </c>
      <c r="C962" s="1" t="s">
        <v>2336</v>
      </c>
      <c r="D962" s="1" t="s">
        <v>323</v>
      </c>
      <c r="E962" s="1" t="s">
        <v>122</v>
      </c>
      <c r="F962" s="1">
        <v>0</v>
      </c>
      <c r="G962" s="1" t="s">
        <v>82</v>
      </c>
      <c r="I962" s="1" t="s">
        <v>123</v>
      </c>
    </row>
    <row r="963" spans="1:9" hidden="1" x14ac:dyDescent="0.3">
      <c r="A963" s="1">
        <v>2040</v>
      </c>
      <c r="B963" s="1" t="s">
        <v>2337</v>
      </c>
      <c r="C963" s="1" t="s">
        <v>2338</v>
      </c>
      <c r="D963" s="1" t="s">
        <v>2339</v>
      </c>
      <c r="E963" s="1" t="s">
        <v>111</v>
      </c>
      <c r="F963" s="1">
        <v>1</v>
      </c>
      <c r="G963" s="1" t="s">
        <v>143</v>
      </c>
    </row>
    <row r="964" spans="1:9" hidden="1" x14ac:dyDescent="0.3">
      <c r="A964" s="1">
        <v>2042</v>
      </c>
      <c r="B964" s="1" t="s">
        <v>2340</v>
      </c>
      <c r="C964" s="1" t="s">
        <v>2341</v>
      </c>
      <c r="D964" s="1" t="s">
        <v>1295</v>
      </c>
      <c r="E964" s="1" t="s">
        <v>215</v>
      </c>
      <c r="F964" s="1">
        <v>1</v>
      </c>
      <c r="G964" s="1" t="s">
        <v>143</v>
      </c>
      <c r="I964" s="1" t="s">
        <v>123</v>
      </c>
    </row>
    <row r="965" spans="1:9" hidden="1" x14ac:dyDescent="0.3">
      <c r="A965" s="1">
        <v>2043</v>
      </c>
      <c r="B965" s="1" t="s">
        <v>2342</v>
      </c>
      <c r="C965" s="1" t="s">
        <v>2343</v>
      </c>
      <c r="D965" s="1" t="s">
        <v>252</v>
      </c>
      <c r="E965" s="1" t="s">
        <v>259</v>
      </c>
      <c r="F965" s="1">
        <v>1</v>
      </c>
      <c r="G965" s="1" t="s">
        <v>143</v>
      </c>
      <c r="I965" s="1" t="s">
        <v>188</v>
      </c>
    </row>
    <row r="966" spans="1:9" hidden="1" x14ac:dyDescent="0.3">
      <c r="A966" s="1">
        <v>2045</v>
      </c>
      <c r="B966" s="1" t="s">
        <v>2344</v>
      </c>
      <c r="C966" s="1" t="s">
        <v>2345</v>
      </c>
      <c r="D966" s="1" t="s">
        <v>852</v>
      </c>
      <c r="E966" s="1" t="s">
        <v>215</v>
      </c>
      <c r="F966" s="1">
        <v>1</v>
      </c>
      <c r="G966" s="1" t="s">
        <v>143</v>
      </c>
    </row>
    <row r="967" spans="1:9" hidden="1" x14ac:dyDescent="0.3">
      <c r="A967" s="1">
        <v>2046</v>
      </c>
      <c r="B967" s="1" t="s">
        <v>2346</v>
      </c>
      <c r="C967" s="1" t="s">
        <v>2347</v>
      </c>
      <c r="D967" s="1" t="s">
        <v>2348</v>
      </c>
      <c r="E967" s="1" t="s">
        <v>134</v>
      </c>
      <c r="F967" s="1">
        <v>0</v>
      </c>
      <c r="G967" s="1" t="s">
        <v>82</v>
      </c>
      <c r="I967" s="1" t="s">
        <v>123</v>
      </c>
    </row>
    <row r="968" spans="1:9" hidden="1" x14ac:dyDescent="0.3">
      <c r="A968" s="1">
        <v>2048</v>
      </c>
      <c r="B968" s="1" t="s">
        <v>2349</v>
      </c>
      <c r="C968" s="1" t="s">
        <v>2350</v>
      </c>
      <c r="D968" s="1" t="s">
        <v>252</v>
      </c>
      <c r="E968" s="1" t="s">
        <v>147</v>
      </c>
      <c r="F968" s="1">
        <v>0</v>
      </c>
      <c r="G968" s="1" t="s">
        <v>82</v>
      </c>
      <c r="I968" s="1" t="s">
        <v>188</v>
      </c>
    </row>
    <row r="969" spans="1:9" hidden="1" x14ac:dyDescent="0.3">
      <c r="A969" s="1">
        <v>2049</v>
      </c>
      <c r="B969" s="1" t="s">
        <v>2351</v>
      </c>
      <c r="C969" s="1" t="s">
        <v>2352</v>
      </c>
      <c r="D969" s="1" t="s">
        <v>422</v>
      </c>
      <c r="E969" s="1" t="s">
        <v>255</v>
      </c>
      <c r="F969" s="1">
        <v>1</v>
      </c>
      <c r="G969" s="1" t="s">
        <v>143</v>
      </c>
    </row>
    <row r="970" spans="1:9" hidden="1" x14ac:dyDescent="0.3">
      <c r="A970" s="1">
        <v>2050</v>
      </c>
      <c r="B970" s="1" t="s">
        <v>2353</v>
      </c>
      <c r="C970" s="1" t="s">
        <v>2354</v>
      </c>
      <c r="D970" s="1" t="s">
        <v>2355</v>
      </c>
      <c r="E970" s="1" t="s">
        <v>68</v>
      </c>
      <c r="F970" s="1">
        <v>1</v>
      </c>
      <c r="G970" s="1" t="s">
        <v>143</v>
      </c>
    </row>
    <row r="971" spans="1:9" hidden="1" x14ac:dyDescent="0.3">
      <c r="A971" s="1">
        <v>2051</v>
      </c>
      <c r="B971" s="1" t="s">
        <v>2356</v>
      </c>
      <c r="C971" s="1" t="s">
        <v>2357</v>
      </c>
      <c r="D971" s="1" t="s">
        <v>2189</v>
      </c>
      <c r="E971" s="1" t="s">
        <v>1114</v>
      </c>
      <c r="F971" s="1">
        <v>1</v>
      </c>
      <c r="G971" s="1" t="s">
        <v>143</v>
      </c>
      <c r="I971" s="1" t="s">
        <v>188</v>
      </c>
    </row>
    <row r="972" spans="1:9" hidden="1" x14ac:dyDescent="0.3">
      <c r="A972" s="1">
        <v>2052</v>
      </c>
      <c r="B972" s="1" t="s">
        <v>2358</v>
      </c>
      <c r="C972" s="1" t="s">
        <v>2359</v>
      </c>
      <c r="D972" s="1" t="s">
        <v>422</v>
      </c>
      <c r="E972" s="1" t="s">
        <v>340</v>
      </c>
      <c r="F972" s="1">
        <v>1</v>
      </c>
      <c r="G972" s="1" t="s">
        <v>143</v>
      </c>
    </row>
    <row r="973" spans="1:9" hidden="1" x14ac:dyDescent="0.3">
      <c r="A973" s="1">
        <v>2053</v>
      </c>
      <c r="B973" s="1" t="s">
        <v>2360</v>
      </c>
      <c r="C973" s="1" t="s">
        <v>2361</v>
      </c>
      <c r="D973" s="1" t="s">
        <v>336</v>
      </c>
      <c r="E973" s="1" t="s">
        <v>331</v>
      </c>
      <c r="F973" s="1">
        <v>0</v>
      </c>
      <c r="G973" s="1" t="s">
        <v>82</v>
      </c>
      <c r="I973" s="1" t="s">
        <v>188</v>
      </c>
    </row>
    <row r="974" spans="1:9" hidden="1" x14ac:dyDescent="0.3">
      <c r="A974" s="1">
        <v>2054</v>
      </c>
      <c r="B974" s="1" t="s">
        <v>2362</v>
      </c>
      <c r="C974" s="1" t="s">
        <v>2363</v>
      </c>
      <c r="D974" s="1" t="s">
        <v>422</v>
      </c>
      <c r="E974" s="1" t="s">
        <v>259</v>
      </c>
      <c r="F974" s="1">
        <v>1</v>
      </c>
      <c r="G974" s="1" t="s">
        <v>143</v>
      </c>
    </row>
    <row r="975" spans="1:9" hidden="1" x14ac:dyDescent="0.3">
      <c r="A975" s="1">
        <v>2055</v>
      </c>
      <c r="B975" s="1" t="s">
        <v>2364</v>
      </c>
      <c r="C975" s="1" t="s">
        <v>2365</v>
      </c>
      <c r="D975" s="1" t="s">
        <v>2366</v>
      </c>
      <c r="E975" s="1" t="s">
        <v>1663</v>
      </c>
      <c r="F975" s="1">
        <v>1</v>
      </c>
      <c r="G975" s="1" t="s">
        <v>143</v>
      </c>
      <c r="I975" s="1" t="s">
        <v>123</v>
      </c>
    </row>
    <row r="976" spans="1:9" hidden="1" x14ac:dyDescent="0.3">
      <c r="A976" s="1">
        <v>2056</v>
      </c>
      <c r="B976" s="1" t="s">
        <v>2367</v>
      </c>
      <c r="C976" s="1" t="s">
        <v>2368</v>
      </c>
      <c r="D976" s="1" t="s">
        <v>1233</v>
      </c>
      <c r="E976" s="1" t="s">
        <v>68</v>
      </c>
      <c r="F976" s="1">
        <v>0</v>
      </c>
      <c r="G976" s="1" t="s">
        <v>82</v>
      </c>
      <c r="I976" s="1" t="s">
        <v>123</v>
      </c>
    </row>
    <row r="977" spans="1:9" hidden="1" x14ac:dyDescent="0.3">
      <c r="A977" s="1">
        <v>2057</v>
      </c>
      <c r="B977" s="1" t="s">
        <v>2369</v>
      </c>
      <c r="C977" s="1" t="s">
        <v>2370</v>
      </c>
      <c r="D977" s="1" t="s">
        <v>422</v>
      </c>
      <c r="E977" s="1" t="s">
        <v>147</v>
      </c>
      <c r="F977" s="1">
        <v>1</v>
      </c>
      <c r="G977" s="1" t="s">
        <v>143</v>
      </c>
      <c r="I977" s="1" t="s">
        <v>188</v>
      </c>
    </row>
    <row r="978" spans="1:9" hidden="1" x14ac:dyDescent="0.3">
      <c r="A978" s="1">
        <v>2059</v>
      </c>
      <c r="B978" s="1" t="s">
        <v>2371</v>
      </c>
      <c r="C978" s="1" t="s">
        <v>2372</v>
      </c>
      <c r="D978" s="1" t="s">
        <v>2373</v>
      </c>
      <c r="E978" s="1" t="s">
        <v>68</v>
      </c>
      <c r="F978" s="1">
        <v>1</v>
      </c>
      <c r="G978" s="1" t="s">
        <v>143</v>
      </c>
    </row>
    <row r="979" spans="1:9" hidden="1" x14ac:dyDescent="0.3">
      <c r="A979" s="1">
        <v>2061</v>
      </c>
      <c r="B979" s="1" t="s">
        <v>2374</v>
      </c>
      <c r="C979" s="1" t="s">
        <v>2375</v>
      </c>
      <c r="D979" s="1" t="s">
        <v>336</v>
      </c>
      <c r="E979" s="1" t="s">
        <v>331</v>
      </c>
      <c r="F979" s="1">
        <v>1</v>
      </c>
      <c r="G979" s="1" t="s">
        <v>143</v>
      </c>
    </row>
    <row r="980" spans="1:9" hidden="1" x14ac:dyDescent="0.3">
      <c r="A980" s="1">
        <v>2062</v>
      </c>
      <c r="B980" s="1" t="s">
        <v>2376</v>
      </c>
      <c r="C980" s="1" t="s">
        <v>2377</v>
      </c>
      <c r="D980" s="1" t="s">
        <v>422</v>
      </c>
      <c r="E980" s="1" t="s">
        <v>147</v>
      </c>
      <c r="F980" s="1">
        <v>1</v>
      </c>
      <c r="G980" s="1" t="s">
        <v>143</v>
      </c>
    </row>
    <row r="981" spans="1:9" hidden="1" x14ac:dyDescent="0.3">
      <c r="A981" s="1">
        <v>2063</v>
      </c>
      <c r="B981" s="1" t="s">
        <v>2378</v>
      </c>
      <c r="C981" s="1" t="s">
        <v>2379</v>
      </c>
      <c r="D981" s="1" t="s">
        <v>252</v>
      </c>
      <c r="E981" s="1" t="s">
        <v>340</v>
      </c>
      <c r="F981" s="1">
        <v>0</v>
      </c>
      <c r="G981" s="1" t="s">
        <v>82</v>
      </c>
      <c r="I981" s="1" t="s">
        <v>188</v>
      </c>
    </row>
    <row r="982" spans="1:9" hidden="1" x14ac:dyDescent="0.3">
      <c r="A982" s="1">
        <v>2064</v>
      </c>
      <c r="B982" s="1" t="s">
        <v>66</v>
      </c>
      <c r="C982" s="1" t="s">
        <v>2380</v>
      </c>
      <c r="D982" s="1" t="s">
        <v>2381</v>
      </c>
      <c r="E982" s="1" t="s">
        <v>68</v>
      </c>
      <c r="F982" s="1">
        <v>0</v>
      </c>
      <c r="G982" s="1" t="s">
        <v>82</v>
      </c>
      <c r="H982" s="1" t="s">
        <v>2382</v>
      </c>
      <c r="I982" s="1" t="s">
        <v>123</v>
      </c>
    </row>
    <row r="983" spans="1:9" hidden="1" x14ac:dyDescent="0.3">
      <c r="A983" s="1">
        <v>2065</v>
      </c>
      <c r="B983" s="1" t="s">
        <v>2383</v>
      </c>
      <c r="C983" s="1" t="s">
        <v>2384</v>
      </c>
      <c r="D983" s="1" t="s">
        <v>345</v>
      </c>
      <c r="E983" s="1" t="s">
        <v>331</v>
      </c>
      <c r="F983" s="1">
        <v>1</v>
      </c>
      <c r="G983" s="1" t="s">
        <v>143</v>
      </c>
    </row>
    <row r="984" spans="1:9" hidden="1" x14ac:dyDescent="0.3">
      <c r="A984" s="1">
        <v>2066</v>
      </c>
      <c r="B984" s="1" t="s">
        <v>2385</v>
      </c>
      <c r="C984" s="1" t="s">
        <v>2386</v>
      </c>
      <c r="D984" s="1" t="s">
        <v>1295</v>
      </c>
      <c r="E984" s="1" t="s">
        <v>215</v>
      </c>
      <c r="F984" s="1">
        <v>1</v>
      </c>
      <c r="G984" s="1" t="s">
        <v>143</v>
      </c>
    </row>
    <row r="985" spans="1:9" hidden="1" x14ac:dyDescent="0.3">
      <c r="A985" s="1">
        <v>2067</v>
      </c>
      <c r="B985" s="1" t="s">
        <v>2387</v>
      </c>
      <c r="C985" s="1" t="s">
        <v>2388</v>
      </c>
      <c r="D985" s="1" t="s">
        <v>252</v>
      </c>
      <c r="E985" s="1" t="s">
        <v>255</v>
      </c>
      <c r="F985" s="1">
        <v>0</v>
      </c>
      <c r="G985" s="1" t="s">
        <v>82</v>
      </c>
      <c r="I985" s="1" t="s">
        <v>188</v>
      </c>
    </row>
    <row r="986" spans="1:9" hidden="1" x14ac:dyDescent="0.3">
      <c r="A986" s="1">
        <v>2069</v>
      </c>
      <c r="B986" s="1" t="s">
        <v>2389</v>
      </c>
      <c r="C986" s="1" t="s">
        <v>2390</v>
      </c>
      <c r="D986" s="1" t="s">
        <v>252</v>
      </c>
      <c r="E986" s="1" t="s">
        <v>255</v>
      </c>
      <c r="F986" s="1">
        <v>0</v>
      </c>
      <c r="G986" s="1" t="s">
        <v>82</v>
      </c>
      <c r="I986" s="1" t="s">
        <v>188</v>
      </c>
    </row>
    <row r="987" spans="1:9" hidden="1" x14ac:dyDescent="0.3">
      <c r="A987" s="1">
        <v>2070</v>
      </c>
      <c r="B987" s="1" t="s">
        <v>2391</v>
      </c>
      <c r="C987" s="1" t="s">
        <v>2392</v>
      </c>
      <c r="D987" s="1" t="s">
        <v>252</v>
      </c>
      <c r="E987" s="1" t="s">
        <v>255</v>
      </c>
      <c r="F987" s="1">
        <v>1</v>
      </c>
      <c r="G987" s="1" t="s">
        <v>143</v>
      </c>
      <c r="I987" s="1" t="s">
        <v>188</v>
      </c>
    </row>
    <row r="988" spans="1:9" hidden="1" x14ac:dyDescent="0.3">
      <c r="A988" s="1">
        <v>2072</v>
      </c>
      <c r="B988" s="1" t="s">
        <v>2393</v>
      </c>
      <c r="C988" s="1" t="s">
        <v>2394</v>
      </c>
      <c r="D988" s="1" t="s">
        <v>422</v>
      </c>
      <c r="E988" s="1" t="s">
        <v>255</v>
      </c>
      <c r="F988" s="1">
        <v>1</v>
      </c>
      <c r="G988" s="1" t="s">
        <v>143</v>
      </c>
    </row>
    <row r="989" spans="1:9" hidden="1" x14ac:dyDescent="0.3">
      <c r="A989" s="1">
        <v>2073</v>
      </c>
      <c r="B989" s="1" t="s">
        <v>2395</v>
      </c>
      <c r="C989" s="1" t="s">
        <v>2396</v>
      </c>
      <c r="D989" s="1" t="s">
        <v>278</v>
      </c>
      <c r="E989" s="1" t="s">
        <v>340</v>
      </c>
      <c r="F989" s="1">
        <v>1</v>
      </c>
      <c r="G989" s="1" t="s">
        <v>143</v>
      </c>
    </row>
    <row r="990" spans="1:9" hidden="1" x14ac:dyDescent="0.3">
      <c r="A990" s="1">
        <v>2074</v>
      </c>
      <c r="B990" s="1" t="s">
        <v>2397</v>
      </c>
      <c r="C990" s="1" t="s">
        <v>2398</v>
      </c>
      <c r="D990" s="1" t="s">
        <v>422</v>
      </c>
      <c r="E990" s="1" t="s">
        <v>255</v>
      </c>
      <c r="F990" s="1">
        <v>1</v>
      </c>
      <c r="G990" s="1" t="s">
        <v>143</v>
      </c>
    </row>
    <row r="991" spans="1:9" hidden="1" x14ac:dyDescent="0.3">
      <c r="A991" s="1">
        <v>2075</v>
      </c>
      <c r="B991" s="1" t="s">
        <v>2399</v>
      </c>
      <c r="C991" s="1" t="s">
        <v>2400</v>
      </c>
      <c r="D991" s="1" t="s">
        <v>2189</v>
      </c>
      <c r="E991" s="1" t="s">
        <v>1114</v>
      </c>
      <c r="F991" s="1">
        <v>1</v>
      </c>
      <c r="G991" s="1" t="s">
        <v>143</v>
      </c>
      <c r="I991" s="1" t="s">
        <v>188</v>
      </c>
    </row>
    <row r="992" spans="1:9" hidden="1" x14ac:dyDescent="0.3">
      <c r="A992" s="1">
        <v>2076</v>
      </c>
      <c r="B992" s="1" t="s">
        <v>2401</v>
      </c>
      <c r="C992" s="1" t="s">
        <v>2402</v>
      </c>
      <c r="D992" s="1" t="s">
        <v>675</v>
      </c>
      <c r="E992" s="1" t="s">
        <v>142</v>
      </c>
      <c r="F992" s="1">
        <v>0</v>
      </c>
      <c r="G992" s="1" t="s">
        <v>82</v>
      </c>
      <c r="I992" s="1" t="s">
        <v>123</v>
      </c>
    </row>
    <row r="993" spans="1:9" hidden="1" x14ac:dyDescent="0.3">
      <c r="A993" s="1">
        <v>2077</v>
      </c>
      <c r="B993" s="1" t="s">
        <v>2403</v>
      </c>
      <c r="C993" s="1" t="s">
        <v>2404</v>
      </c>
      <c r="D993" s="1" t="s">
        <v>270</v>
      </c>
      <c r="E993" s="1" t="s">
        <v>331</v>
      </c>
      <c r="F993" s="1">
        <v>0</v>
      </c>
      <c r="G993" s="1" t="s">
        <v>82</v>
      </c>
      <c r="I993" s="1" t="s">
        <v>188</v>
      </c>
    </row>
    <row r="994" spans="1:9" hidden="1" x14ac:dyDescent="0.3">
      <c r="A994" s="1">
        <v>2078</v>
      </c>
      <c r="B994" s="1" t="s">
        <v>2405</v>
      </c>
      <c r="C994" s="1" t="s">
        <v>2406</v>
      </c>
      <c r="D994" s="1" t="s">
        <v>345</v>
      </c>
      <c r="E994" s="1" t="s">
        <v>331</v>
      </c>
      <c r="F994" s="1">
        <v>1</v>
      </c>
      <c r="G994" s="1" t="s">
        <v>143</v>
      </c>
    </row>
    <row r="995" spans="1:9" hidden="1" x14ac:dyDescent="0.3">
      <c r="A995" s="1">
        <v>2079</v>
      </c>
      <c r="B995" s="1" t="s">
        <v>2407</v>
      </c>
      <c r="C995" s="1" t="s">
        <v>2408</v>
      </c>
      <c r="D995" s="1" t="s">
        <v>2189</v>
      </c>
      <c r="E995" s="1" t="s">
        <v>1114</v>
      </c>
      <c r="F995" s="1">
        <v>1</v>
      </c>
      <c r="G995" s="1" t="s">
        <v>143</v>
      </c>
      <c r="I995" s="1" t="s">
        <v>188</v>
      </c>
    </row>
    <row r="996" spans="1:9" hidden="1" x14ac:dyDescent="0.3">
      <c r="A996" s="1">
        <v>2080</v>
      </c>
      <c r="B996" s="1" t="s">
        <v>2409</v>
      </c>
      <c r="C996" s="1" t="s">
        <v>2410</v>
      </c>
      <c r="D996" s="1" t="s">
        <v>447</v>
      </c>
      <c r="E996" s="1" t="s">
        <v>65</v>
      </c>
      <c r="F996" s="1">
        <v>1</v>
      </c>
      <c r="G996" s="1" t="s">
        <v>143</v>
      </c>
    </row>
    <row r="997" spans="1:9" hidden="1" x14ac:dyDescent="0.3">
      <c r="A997" s="1">
        <v>2081</v>
      </c>
      <c r="B997" s="1" t="s">
        <v>2411</v>
      </c>
      <c r="C997" s="1" t="s">
        <v>2412</v>
      </c>
      <c r="D997" s="1" t="s">
        <v>1030</v>
      </c>
      <c r="E997" s="1" t="s">
        <v>134</v>
      </c>
      <c r="F997" s="1">
        <v>0</v>
      </c>
      <c r="G997" s="1" t="s">
        <v>82</v>
      </c>
      <c r="I997" s="1" t="s">
        <v>123</v>
      </c>
    </row>
    <row r="998" spans="1:9" hidden="1" x14ac:dyDescent="0.3">
      <c r="A998" s="1">
        <v>2082</v>
      </c>
      <c r="B998" s="1" t="s">
        <v>2413</v>
      </c>
      <c r="C998" s="1" t="s">
        <v>2414</v>
      </c>
      <c r="D998" s="1" t="s">
        <v>2415</v>
      </c>
      <c r="E998" s="1" t="s">
        <v>91</v>
      </c>
      <c r="F998" s="1">
        <v>1</v>
      </c>
      <c r="G998" s="1" t="s">
        <v>143</v>
      </c>
      <c r="I998" s="1" t="s">
        <v>123</v>
      </c>
    </row>
    <row r="999" spans="1:9" hidden="1" x14ac:dyDescent="0.3">
      <c r="A999" s="1">
        <v>2083</v>
      </c>
      <c r="B999" s="1" t="s">
        <v>2416</v>
      </c>
      <c r="C999" s="1" t="s">
        <v>2417</v>
      </c>
      <c r="D999" s="1" t="s">
        <v>422</v>
      </c>
      <c r="E999" s="1" t="s">
        <v>340</v>
      </c>
      <c r="F999" s="1">
        <v>1</v>
      </c>
      <c r="G999" s="1" t="s">
        <v>143</v>
      </c>
    </row>
    <row r="1000" spans="1:9" hidden="1" x14ac:dyDescent="0.3">
      <c r="A1000" s="1">
        <v>2084</v>
      </c>
      <c r="B1000" s="1" t="s">
        <v>2418</v>
      </c>
      <c r="C1000" s="1" t="s">
        <v>2419</v>
      </c>
      <c r="D1000" s="1" t="s">
        <v>278</v>
      </c>
      <c r="E1000" s="1" t="s">
        <v>255</v>
      </c>
      <c r="F1000" s="1">
        <v>1</v>
      </c>
      <c r="G1000" s="1" t="s">
        <v>143</v>
      </c>
      <c r="I1000" s="1" t="s">
        <v>188</v>
      </c>
    </row>
    <row r="1001" spans="1:9" hidden="1" x14ac:dyDescent="0.3">
      <c r="A1001" s="1">
        <v>2085</v>
      </c>
      <c r="B1001" s="1" t="s">
        <v>2420</v>
      </c>
      <c r="C1001" s="1" t="s">
        <v>2421</v>
      </c>
      <c r="D1001" s="1" t="s">
        <v>641</v>
      </c>
      <c r="E1001" s="1" t="s">
        <v>111</v>
      </c>
      <c r="F1001" s="1">
        <v>1</v>
      </c>
      <c r="G1001" s="1" t="s">
        <v>143</v>
      </c>
      <c r="I1001" s="1" t="s">
        <v>123</v>
      </c>
    </row>
    <row r="1002" spans="1:9" hidden="1" x14ac:dyDescent="0.3">
      <c r="A1002" s="1">
        <v>2086</v>
      </c>
      <c r="B1002" s="1" t="s">
        <v>2422</v>
      </c>
      <c r="C1002" s="1" t="s">
        <v>2423</v>
      </c>
      <c r="D1002" s="1" t="s">
        <v>345</v>
      </c>
      <c r="E1002" s="1" t="s">
        <v>331</v>
      </c>
      <c r="F1002" s="1">
        <v>0</v>
      </c>
      <c r="G1002" s="1" t="s">
        <v>82</v>
      </c>
      <c r="I1002" s="1" t="s">
        <v>188</v>
      </c>
    </row>
    <row r="1003" spans="1:9" hidden="1" x14ac:dyDescent="0.3">
      <c r="A1003" s="1">
        <v>2087</v>
      </c>
      <c r="B1003" s="1" t="s">
        <v>2424</v>
      </c>
      <c r="C1003" s="1" t="s">
        <v>2425</v>
      </c>
      <c r="D1003" s="1" t="s">
        <v>2426</v>
      </c>
      <c r="E1003" s="1" t="s">
        <v>142</v>
      </c>
      <c r="F1003" s="1">
        <v>0</v>
      </c>
      <c r="G1003" s="1" t="s">
        <v>82</v>
      </c>
      <c r="I1003" s="1" t="s">
        <v>123</v>
      </c>
    </row>
    <row r="1004" spans="1:9" hidden="1" x14ac:dyDescent="0.3">
      <c r="A1004" s="1">
        <v>2088</v>
      </c>
      <c r="B1004" s="1" t="s">
        <v>2427</v>
      </c>
      <c r="C1004" s="1" t="s">
        <v>2428</v>
      </c>
      <c r="D1004" s="1" t="s">
        <v>365</v>
      </c>
      <c r="E1004" s="1" t="s">
        <v>331</v>
      </c>
      <c r="F1004" s="1">
        <v>0</v>
      </c>
      <c r="G1004" s="1" t="s">
        <v>82</v>
      </c>
      <c r="I1004" s="1" t="s">
        <v>188</v>
      </c>
    </row>
    <row r="1005" spans="1:9" hidden="1" x14ac:dyDescent="0.3">
      <c r="A1005" s="1">
        <v>2089</v>
      </c>
      <c r="B1005" s="1" t="s">
        <v>2429</v>
      </c>
      <c r="C1005" s="1" t="s">
        <v>2430</v>
      </c>
      <c r="D1005" s="1" t="s">
        <v>422</v>
      </c>
      <c r="E1005" s="1" t="s">
        <v>147</v>
      </c>
      <c r="F1005" s="1">
        <v>1</v>
      </c>
      <c r="G1005" s="1" t="s">
        <v>143</v>
      </c>
    </row>
    <row r="1006" spans="1:9" hidden="1" x14ac:dyDescent="0.3">
      <c r="A1006" s="1">
        <v>2090</v>
      </c>
      <c r="B1006" s="1" t="s">
        <v>2431</v>
      </c>
      <c r="C1006" s="1" t="s">
        <v>2432</v>
      </c>
      <c r="D1006" s="1" t="s">
        <v>759</v>
      </c>
      <c r="E1006" s="1" t="s">
        <v>331</v>
      </c>
      <c r="F1006" s="1">
        <v>0</v>
      </c>
      <c r="G1006" s="1" t="s">
        <v>82</v>
      </c>
      <c r="I1006" s="1" t="s">
        <v>84</v>
      </c>
    </row>
    <row r="1007" spans="1:9" hidden="1" x14ac:dyDescent="0.3">
      <c r="A1007" s="1">
        <v>2091</v>
      </c>
      <c r="B1007" s="1" t="s">
        <v>2433</v>
      </c>
      <c r="C1007" s="1" t="s">
        <v>2434</v>
      </c>
      <c r="D1007" s="1" t="s">
        <v>252</v>
      </c>
      <c r="E1007" s="1" t="s">
        <v>340</v>
      </c>
      <c r="F1007" s="1">
        <v>0</v>
      </c>
      <c r="G1007" s="1" t="s">
        <v>82</v>
      </c>
      <c r="I1007" s="1" t="s">
        <v>188</v>
      </c>
    </row>
    <row r="1008" spans="1:9" hidden="1" x14ac:dyDescent="0.3">
      <c r="A1008" s="1">
        <v>2092</v>
      </c>
      <c r="B1008" s="1" t="s">
        <v>2435</v>
      </c>
      <c r="C1008" s="1" t="s">
        <v>2436</v>
      </c>
      <c r="D1008" s="1" t="s">
        <v>237</v>
      </c>
      <c r="E1008" s="1" t="s">
        <v>419</v>
      </c>
      <c r="F1008" s="1">
        <v>1</v>
      </c>
      <c r="G1008" s="1" t="s">
        <v>143</v>
      </c>
    </row>
    <row r="1009" spans="1:9" hidden="1" x14ac:dyDescent="0.3">
      <c r="A1009" s="1">
        <v>2093</v>
      </c>
      <c r="B1009" s="1" t="s">
        <v>2437</v>
      </c>
      <c r="C1009" s="1" t="s">
        <v>2438</v>
      </c>
      <c r="D1009" s="1" t="s">
        <v>2439</v>
      </c>
      <c r="E1009" s="1" t="s">
        <v>142</v>
      </c>
      <c r="F1009" s="1">
        <v>1</v>
      </c>
      <c r="G1009" s="1" t="s">
        <v>143</v>
      </c>
    </row>
    <row r="1010" spans="1:9" hidden="1" x14ac:dyDescent="0.3">
      <c r="A1010" s="1">
        <v>2094</v>
      </c>
      <c r="B1010" s="1" t="s">
        <v>2440</v>
      </c>
      <c r="C1010" s="1" t="s">
        <v>2441</v>
      </c>
      <c r="D1010" s="1" t="s">
        <v>336</v>
      </c>
      <c r="E1010" s="1" t="s">
        <v>331</v>
      </c>
      <c r="F1010" s="1">
        <v>0</v>
      </c>
      <c r="G1010" s="1" t="s">
        <v>82</v>
      </c>
      <c r="I1010" s="1" t="s">
        <v>188</v>
      </c>
    </row>
    <row r="1011" spans="1:9" hidden="1" x14ac:dyDescent="0.3">
      <c r="A1011" s="1">
        <v>2095</v>
      </c>
      <c r="B1011" s="1" t="s">
        <v>2442</v>
      </c>
      <c r="C1011" s="1" t="s">
        <v>2443</v>
      </c>
      <c r="D1011" s="1" t="s">
        <v>336</v>
      </c>
      <c r="E1011" s="1" t="s">
        <v>331</v>
      </c>
      <c r="F1011" s="1">
        <v>0</v>
      </c>
      <c r="G1011" s="1" t="s">
        <v>82</v>
      </c>
      <c r="I1011" s="1" t="s">
        <v>188</v>
      </c>
    </row>
    <row r="1012" spans="1:9" hidden="1" x14ac:dyDescent="0.3">
      <c r="A1012" s="1">
        <v>2096</v>
      </c>
      <c r="B1012" s="1" t="s">
        <v>2444</v>
      </c>
      <c r="C1012" s="1" t="s">
        <v>2445</v>
      </c>
      <c r="D1012" s="1" t="s">
        <v>447</v>
      </c>
      <c r="E1012" s="1" t="s">
        <v>142</v>
      </c>
      <c r="F1012" s="1">
        <v>1</v>
      </c>
      <c r="G1012" s="1" t="s">
        <v>143</v>
      </c>
    </row>
    <row r="1013" spans="1:9" hidden="1" x14ac:dyDescent="0.3">
      <c r="A1013" s="1">
        <v>2097</v>
      </c>
      <c r="B1013" s="1" t="s">
        <v>2446</v>
      </c>
      <c r="C1013" s="1" t="s">
        <v>2447</v>
      </c>
      <c r="D1013" s="1" t="s">
        <v>2189</v>
      </c>
      <c r="E1013" s="1" t="s">
        <v>1114</v>
      </c>
      <c r="F1013" s="1">
        <v>1</v>
      </c>
      <c r="G1013" s="1" t="s">
        <v>143</v>
      </c>
    </row>
    <row r="1014" spans="1:9" hidden="1" x14ac:dyDescent="0.3">
      <c r="A1014" s="1">
        <v>2098</v>
      </c>
      <c r="B1014" s="1" t="s">
        <v>2448</v>
      </c>
      <c r="C1014" s="1" t="s">
        <v>2449</v>
      </c>
      <c r="D1014" s="1" t="s">
        <v>847</v>
      </c>
      <c r="E1014" s="1" t="s">
        <v>111</v>
      </c>
      <c r="F1014" s="1">
        <v>1</v>
      </c>
      <c r="G1014" s="1" t="s">
        <v>143</v>
      </c>
    </row>
    <row r="1015" spans="1:9" hidden="1" x14ac:dyDescent="0.3">
      <c r="A1015" s="1">
        <v>2099</v>
      </c>
      <c r="B1015" s="1" t="s">
        <v>2450</v>
      </c>
      <c r="C1015" s="1" t="s">
        <v>2451</v>
      </c>
      <c r="D1015" s="1" t="s">
        <v>336</v>
      </c>
      <c r="E1015" s="1" t="s">
        <v>331</v>
      </c>
      <c r="F1015" s="1">
        <v>0</v>
      </c>
      <c r="G1015" s="1" t="s">
        <v>82</v>
      </c>
      <c r="I1015" s="1" t="s">
        <v>188</v>
      </c>
    </row>
    <row r="1016" spans="1:9" hidden="1" x14ac:dyDescent="0.3">
      <c r="A1016" s="1">
        <v>2102</v>
      </c>
      <c r="B1016" s="1" t="s">
        <v>2452</v>
      </c>
      <c r="C1016" s="1" t="s">
        <v>2453</v>
      </c>
      <c r="D1016" s="1" t="s">
        <v>422</v>
      </c>
      <c r="E1016" s="1" t="s">
        <v>255</v>
      </c>
      <c r="F1016" s="1">
        <v>1</v>
      </c>
      <c r="G1016" s="1" t="s">
        <v>143</v>
      </c>
    </row>
    <row r="1017" spans="1:9" hidden="1" x14ac:dyDescent="0.3">
      <c r="A1017" s="1">
        <v>2103</v>
      </c>
      <c r="B1017" s="1" t="s">
        <v>2454</v>
      </c>
      <c r="C1017" s="1" t="s">
        <v>2455</v>
      </c>
      <c r="D1017" s="1" t="s">
        <v>890</v>
      </c>
      <c r="E1017" s="1" t="s">
        <v>419</v>
      </c>
      <c r="F1017" s="1">
        <v>0</v>
      </c>
      <c r="G1017" s="1" t="s">
        <v>82</v>
      </c>
      <c r="I1017" s="1" t="s">
        <v>123</v>
      </c>
    </row>
    <row r="1018" spans="1:9" hidden="1" x14ac:dyDescent="0.3">
      <c r="A1018" s="1">
        <v>2104</v>
      </c>
      <c r="B1018" s="1" t="s">
        <v>2456</v>
      </c>
      <c r="C1018" s="1" t="s">
        <v>2457</v>
      </c>
      <c r="D1018" s="1" t="s">
        <v>675</v>
      </c>
      <c r="E1018" s="1" t="s">
        <v>142</v>
      </c>
      <c r="F1018" s="1">
        <v>1</v>
      </c>
      <c r="G1018" s="1" t="s">
        <v>143</v>
      </c>
    </row>
    <row r="1019" spans="1:9" hidden="1" x14ac:dyDescent="0.3">
      <c r="A1019" s="1">
        <v>2105</v>
      </c>
      <c r="B1019" s="1" t="s">
        <v>2458</v>
      </c>
      <c r="C1019" s="1" t="s">
        <v>2459</v>
      </c>
      <c r="D1019" s="1" t="s">
        <v>2460</v>
      </c>
      <c r="E1019" s="1" t="s">
        <v>111</v>
      </c>
      <c r="F1019" s="1">
        <v>0</v>
      </c>
      <c r="G1019" s="1" t="s">
        <v>82</v>
      </c>
      <c r="I1019" s="1" t="s">
        <v>123</v>
      </c>
    </row>
    <row r="1020" spans="1:9" hidden="1" x14ac:dyDescent="0.3">
      <c r="A1020" s="1">
        <v>2106</v>
      </c>
      <c r="B1020" s="1" t="s">
        <v>2461</v>
      </c>
      <c r="C1020" s="1" t="s">
        <v>2462</v>
      </c>
      <c r="D1020" s="1" t="s">
        <v>2463</v>
      </c>
      <c r="E1020" s="1" t="s">
        <v>111</v>
      </c>
      <c r="F1020" s="1">
        <v>1</v>
      </c>
      <c r="G1020" s="1" t="s">
        <v>143</v>
      </c>
    </row>
    <row r="1021" spans="1:9" hidden="1" x14ac:dyDescent="0.3">
      <c r="A1021" s="1">
        <v>2107</v>
      </c>
      <c r="B1021" s="1" t="s">
        <v>2464</v>
      </c>
      <c r="C1021" s="1" t="s">
        <v>2465</v>
      </c>
      <c r="D1021" s="1" t="s">
        <v>2184</v>
      </c>
      <c r="E1021" s="1" t="s">
        <v>1114</v>
      </c>
      <c r="F1021" s="1">
        <v>1</v>
      </c>
      <c r="G1021" s="1" t="s">
        <v>143</v>
      </c>
    </row>
    <row r="1022" spans="1:9" hidden="1" x14ac:dyDescent="0.3">
      <c r="A1022" s="1">
        <v>2108</v>
      </c>
      <c r="B1022" s="1" t="s">
        <v>2466</v>
      </c>
      <c r="C1022" s="1" t="s">
        <v>2467</v>
      </c>
      <c r="D1022" s="1" t="s">
        <v>422</v>
      </c>
      <c r="E1022" s="1" t="s">
        <v>255</v>
      </c>
      <c r="F1022" s="1">
        <v>1</v>
      </c>
      <c r="G1022" s="1" t="s">
        <v>143</v>
      </c>
    </row>
    <row r="1023" spans="1:9" hidden="1" x14ac:dyDescent="0.3">
      <c r="A1023" s="1">
        <v>2110</v>
      </c>
      <c r="B1023" s="1" t="s">
        <v>2468</v>
      </c>
      <c r="C1023" s="1" t="s">
        <v>2469</v>
      </c>
      <c r="D1023" s="1" t="s">
        <v>2189</v>
      </c>
      <c r="E1023" s="1" t="s">
        <v>1114</v>
      </c>
      <c r="F1023" s="1">
        <v>1</v>
      </c>
      <c r="G1023" s="1" t="s">
        <v>143</v>
      </c>
    </row>
    <row r="1024" spans="1:9" hidden="1" x14ac:dyDescent="0.3">
      <c r="A1024" s="1">
        <v>2111</v>
      </c>
      <c r="B1024" s="1" t="s">
        <v>2470</v>
      </c>
      <c r="C1024" s="1" t="s">
        <v>2471</v>
      </c>
      <c r="D1024" s="1" t="s">
        <v>252</v>
      </c>
      <c r="E1024" s="1" t="s">
        <v>259</v>
      </c>
      <c r="F1024" s="1">
        <v>0</v>
      </c>
      <c r="G1024" s="1" t="s">
        <v>82</v>
      </c>
      <c r="I1024" s="1" t="s">
        <v>188</v>
      </c>
    </row>
    <row r="1025" spans="1:9" hidden="1" x14ac:dyDescent="0.3">
      <c r="A1025" s="1">
        <v>2113</v>
      </c>
      <c r="B1025" s="1" t="s">
        <v>2472</v>
      </c>
      <c r="C1025" s="1" t="s">
        <v>2473</v>
      </c>
      <c r="D1025" s="1" t="s">
        <v>1033</v>
      </c>
      <c r="E1025" s="1" t="s">
        <v>111</v>
      </c>
      <c r="F1025" s="1">
        <v>1</v>
      </c>
      <c r="G1025" s="1" t="s">
        <v>143</v>
      </c>
    </row>
    <row r="1026" spans="1:9" hidden="1" x14ac:dyDescent="0.3">
      <c r="A1026" s="1">
        <v>2114</v>
      </c>
      <c r="B1026" s="1" t="s">
        <v>2474</v>
      </c>
      <c r="C1026" s="1" t="s">
        <v>2475</v>
      </c>
      <c r="D1026" s="1" t="s">
        <v>336</v>
      </c>
      <c r="E1026" s="1" t="s">
        <v>331</v>
      </c>
      <c r="F1026" s="1">
        <v>0</v>
      </c>
      <c r="G1026" s="1" t="s">
        <v>82</v>
      </c>
      <c r="I1026" s="1" t="s">
        <v>188</v>
      </c>
    </row>
    <row r="1027" spans="1:9" hidden="1" x14ac:dyDescent="0.3">
      <c r="A1027" s="1">
        <v>2115</v>
      </c>
      <c r="B1027" s="1" t="s">
        <v>2476</v>
      </c>
      <c r="C1027" s="1" t="s">
        <v>2477</v>
      </c>
      <c r="D1027" s="1" t="s">
        <v>2478</v>
      </c>
      <c r="E1027" s="1" t="s">
        <v>1327</v>
      </c>
      <c r="F1027" s="1">
        <v>1</v>
      </c>
      <c r="G1027" s="1" t="s">
        <v>143</v>
      </c>
      <c r="I1027" s="1" t="s">
        <v>84</v>
      </c>
    </row>
    <row r="1028" spans="1:9" hidden="1" x14ac:dyDescent="0.3">
      <c r="A1028" s="1">
        <v>2116</v>
      </c>
      <c r="B1028" s="1" t="s">
        <v>2479</v>
      </c>
      <c r="C1028" s="1" t="s">
        <v>2480</v>
      </c>
      <c r="D1028" s="1" t="s">
        <v>422</v>
      </c>
      <c r="E1028" s="1" t="s">
        <v>259</v>
      </c>
      <c r="F1028" s="1">
        <v>1</v>
      </c>
      <c r="G1028" s="1" t="s">
        <v>143</v>
      </c>
    </row>
    <row r="1029" spans="1:9" hidden="1" x14ac:dyDescent="0.3">
      <c r="A1029" s="1">
        <v>2117</v>
      </c>
      <c r="B1029" s="1" t="s">
        <v>2481</v>
      </c>
      <c r="C1029" s="1" t="s">
        <v>2482</v>
      </c>
      <c r="D1029" s="1" t="s">
        <v>429</v>
      </c>
      <c r="E1029" s="1" t="s">
        <v>215</v>
      </c>
      <c r="F1029" s="1">
        <v>1</v>
      </c>
      <c r="G1029" s="1" t="s">
        <v>143</v>
      </c>
      <c r="I1029" s="1" t="s">
        <v>123</v>
      </c>
    </row>
    <row r="1030" spans="1:9" hidden="1" x14ac:dyDescent="0.3">
      <c r="A1030" s="1">
        <v>2118</v>
      </c>
      <c r="B1030" s="1" t="s">
        <v>2483</v>
      </c>
      <c r="C1030" s="1" t="s">
        <v>2484</v>
      </c>
      <c r="D1030" s="1" t="s">
        <v>252</v>
      </c>
      <c r="E1030" s="1" t="s">
        <v>147</v>
      </c>
      <c r="F1030" s="1">
        <v>0</v>
      </c>
      <c r="G1030" s="1" t="s">
        <v>82</v>
      </c>
      <c r="I1030" s="1" t="s">
        <v>188</v>
      </c>
    </row>
    <row r="1031" spans="1:9" hidden="1" x14ac:dyDescent="0.3">
      <c r="A1031" s="1">
        <v>2119</v>
      </c>
      <c r="B1031" s="1" t="s">
        <v>2485</v>
      </c>
      <c r="C1031" s="1" t="s">
        <v>2486</v>
      </c>
      <c r="D1031" s="1" t="s">
        <v>252</v>
      </c>
      <c r="E1031" s="1" t="s">
        <v>147</v>
      </c>
      <c r="F1031" s="1">
        <v>1</v>
      </c>
      <c r="G1031" s="1" t="s">
        <v>143</v>
      </c>
    </row>
    <row r="1032" spans="1:9" hidden="1" x14ac:dyDescent="0.3">
      <c r="A1032" s="1">
        <v>2120</v>
      </c>
      <c r="B1032" s="1" t="s">
        <v>2487</v>
      </c>
      <c r="C1032" s="1" t="s">
        <v>2488</v>
      </c>
      <c r="D1032" s="1" t="s">
        <v>2189</v>
      </c>
      <c r="E1032" s="1" t="s">
        <v>1114</v>
      </c>
      <c r="F1032" s="1">
        <v>1</v>
      </c>
      <c r="G1032" s="1" t="s">
        <v>143</v>
      </c>
    </row>
    <row r="1033" spans="1:9" hidden="1" x14ac:dyDescent="0.3">
      <c r="A1033" s="1">
        <v>2121</v>
      </c>
      <c r="B1033" s="1" t="s">
        <v>2489</v>
      </c>
      <c r="C1033" s="1" t="s">
        <v>2490</v>
      </c>
      <c r="D1033" s="1" t="s">
        <v>336</v>
      </c>
      <c r="E1033" s="1" t="s">
        <v>331</v>
      </c>
      <c r="F1033" s="1">
        <v>1</v>
      </c>
      <c r="G1033" s="1" t="s">
        <v>143</v>
      </c>
      <c r="I1033" s="1" t="s">
        <v>188</v>
      </c>
    </row>
    <row r="1034" spans="1:9" hidden="1" x14ac:dyDescent="0.3">
      <c r="A1034" s="1">
        <v>2122</v>
      </c>
      <c r="B1034" s="1" t="s">
        <v>2491</v>
      </c>
      <c r="C1034" s="1" t="s">
        <v>2492</v>
      </c>
      <c r="D1034" s="1" t="s">
        <v>345</v>
      </c>
      <c r="E1034" s="1" t="s">
        <v>331</v>
      </c>
      <c r="F1034" s="1">
        <v>1</v>
      </c>
      <c r="G1034" s="1" t="s">
        <v>143</v>
      </c>
    </row>
    <row r="1035" spans="1:9" hidden="1" x14ac:dyDescent="0.3">
      <c r="A1035" s="1">
        <v>2124</v>
      </c>
      <c r="B1035" s="1" t="s">
        <v>2493</v>
      </c>
      <c r="C1035" s="1" t="s">
        <v>2494</v>
      </c>
      <c r="D1035" s="1" t="s">
        <v>2495</v>
      </c>
      <c r="E1035" s="1" t="s">
        <v>95</v>
      </c>
      <c r="F1035" s="1">
        <v>0</v>
      </c>
      <c r="G1035" s="1" t="s">
        <v>82</v>
      </c>
      <c r="I1035" s="1" t="s">
        <v>123</v>
      </c>
    </row>
    <row r="1036" spans="1:9" hidden="1" x14ac:dyDescent="0.3">
      <c r="A1036" s="1">
        <v>2125</v>
      </c>
      <c r="B1036" s="1" t="s">
        <v>2496</v>
      </c>
      <c r="C1036" s="1" t="s">
        <v>2497</v>
      </c>
      <c r="D1036" s="1" t="s">
        <v>779</v>
      </c>
      <c r="E1036" s="1" t="s">
        <v>2498</v>
      </c>
      <c r="F1036" s="1">
        <v>1</v>
      </c>
      <c r="G1036" s="1" t="s">
        <v>143</v>
      </c>
    </row>
    <row r="1037" spans="1:9" hidden="1" x14ac:dyDescent="0.3">
      <c r="A1037" s="1">
        <v>2126</v>
      </c>
      <c r="B1037" s="1" t="s">
        <v>2499</v>
      </c>
      <c r="C1037" s="1" t="s">
        <v>2500</v>
      </c>
      <c r="D1037" s="1" t="s">
        <v>2501</v>
      </c>
      <c r="E1037" s="1" t="s">
        <v>142</v>
      </c>
      <c r="F1037" s="1">
        <v>1</v>
      </c>
      <c r="G1037" s="1" t="s">
        <v>143</v>
      </c>
    </row>
    <row r="1038" spans="1:9" hidden="1" x14ac:dyDescent="0.3">
      <c r="A1038" s="1">
        <v>2127</v>
      </c>
      <c r="B1038" s="1" t="s">
        <v>2502</v>
      </c>
      <c r="C1038" s="1" t="s">
        <v>2503</v>
      </c>
      <c r="D1038" s="1" t="s">
        <v>1304</v>
      </c>
      <c r="E1038" s="1" t="s">
        <v>1292</v>
      </c>
      <c r="F1038" s="1">
        <v>1</v>
      </c>
      <c r="G1038" s="1" t="s">
        <v>143</v>
      </c>
    </row>
    <row r="1039" spans="1:9" hidden="1" x14ac:dyDescent="0.3">
      <c r="A1039" s="1">
        <v>2128</v>
      </c>
      <c r="B1039" s="1" t="s">
        <v>2504</v>
      </c>
      <c r="C1039" s="1" t="s">
        <v>2505</v>
      </c>
      <c r="D1039" s="1" t="s">
        <v>252</v>
      </c>
      <c r="E1039" s="1" t="s">
        <v>147</v>
      </c>
      <c r="F1039" s="1">
        <v>1</v>
      </c>
      <c r="G1039" s="1" t="s">
        <v>143</v>
      </c>
      <c r="I1039" s="1" t="s">
        <v>188</v>
      </c>
    </row>
    <row r="1040" spans="1:9" hidden="1" x14ac:dyDescent="0.3">
      <c r="A1040" s="1">
        <v>2129</v>
      </c>
      <c r="B1040" s="1" t="s">
        <v>2506</v>
      </c>
      <c r="C1040" s="1" t="s">
        <v>2507</v>
      </c>
      <c r="D1040" s="1" t="s">
        <v>422</v>
      </c>
      <c r="E1040" s="1" t="s">
        <v>147</v>
      </c>
      <c r="F1040" s="1">
        <v>1</v>
      </c>
      <c r="G1040" s="1" t="s">
        <v>143</v>
      </c>
    </row>
    <row r="1041" spans="1:9" hidden="1" x14ac:dyDescent="0.3">
      <c r="A1041" s="1">
        <v>2130</v>
      </c>
      <c r="B1041" s="1" t="s">
        <v>2508</v>
      </c>
      <c r="C1041" s="1" t="s">
        <v>2509</v>
      </c>
      <c r="D1041" s="1" t="s">
        <v>278</v>
      </c>
      <c r="E1041" s="1" t="s">
        <v>1327</v>
      </c>
      <c r="F1041" s="1">
        <v>1</v>
      </c>
      <c r="G1041" s="1" t="s">
        <v>143</v>
      </c>
    </row>
    <row r="1042" spans="1:9" hidden="1" x14ac:dyDescent="0.3">
      <c r="A1042" s="1">
        <v>2132</v>
      </c>
      <c r="B1042" s="1" t="s">
        <v>2510</v>
      </c>
      <c r="C1042" s="1" t="s">
        <v>2511</v>
      </c>
      <c r="D1042" s="1" t="s">
        <v>278</v>
      </c>
      <c r="E1042" s="1" t="s">
        <v>1327</v>
      </c>
      <c r="F1042" s="1">
        <v>1</v>
      </c>
      <c r="G1042" s="1" t="s">
        <v>143</v>
      </c>
    </row>
    <row r="1043" spans="1:9" hidden="1" x14ac:dyDescent="0.3">
      <c r="A1043" s="1">
        <v>2133</v>
      </c>
      <c r="B1043" s="1" t="s">
        <v>2512</v>
      </c>
      <c r="C1043" s="1" t="s">
        <v>2513</v>
      </c>
      <c r="D1043" s="1" t="s">
        <v>270</v>
      </c>
      <c r="E1043" s="1" t="s">
        <v>1327</v>
      </c>
      <c r="F1043" s="1">
        <v>0</v>
      </c>
      <c r="G1043" s="1" t="s">
        <v>82</v>
      </c>
      <c r="I1043" s="1" t="s">
        <v>188</v>
      </c>
    </row>
    <row r="1044" spans="1:9" hidden="1" x14ac:dyDescent="0.3">
      <c r="A1044" s="1">
        <v>2134</v>
      </c>
      <c r="B1044" s="1" t="s">
        <v>2514</v>
      </c>
      <c r="C1044" s="1" t="s">
        <v>2515</v>
      </c>
      <c r="D1044" s="1" t="s">
        <v>252</v>
      </c>
      <c r="E1044" s="1" t="s">
        <v>1327</v>
      </c>
      <c r="F1044" s="1">
        <v>1</v>
      </c>
      <c r="G1044" s="1" t="s">
        <v>143</v>
      </c>
    </row>
    <row r="1045" spans="1:9" hidden="1" x14ac:dyDescent="0.3">
      <c r="A1045" s="1">
        <v>2135</v>
      </c>
      <c r="B1045" s="1" t="s">
        <v>2516</v>
      </c>
      <c r="C1045" s="1" t="s">
        <v>2517</v>
      </c>
      <c r="D1045" s="1" t="s">
        <v>422</v>
      </c>
      <c r="E1045" s="1" t="s">
        <v>1327</v>
      </c>
      <c r="F1045" s="1">
        <v>1</v>
      </c>
      <c r="G1045" s="1" t="s">
        <v>143</v>
      </c>
    </row>
    <row r="1046" spans="1:9" hidden="1" x14ac:dyDescent="0.3">
      <c r="A1046" s="1">
        <v>2136</v>
      </c>
      <c r="B1046" s="1" t="s">
        <v>2518</v>
      </c>
      <c r="C1046" s="1" t="s">
        <v>2519</v>
      </c>
      <c r="D1046" s="1" t="s">
        <v>422</v>
      </c>
      <c r="E1046" s="1" t="s">
        <v>1327</v>
      </c>
      <c r="F1046" s="1">
        <v>1</v>
      </c>
      <c r="G1046" s="1" t="s">
        <v>143</v>
      </c>
      <c r="I1046" s="1" t="s">
        <v>188</v>
      </c>
    </row>
    <row r="1047" spans="1:9" hidden="1" x14ac:dyDescent="0.3">
      <c r="A1047" s="1">
        <v>2137</v>
      </c>
      <c r="B1047" s="1" t="s">
        <v>2520</v>
      </c>
      <c r="C1047" s="1" t="s">
        <v>2521</v>
      </c>
      <c r="D1047" s="1" t="s">
        <v>422</v>
      </c>
      <c r="E1047" s="1" t="s">
        <v>1327</v>
      </c>
      <c r="F1047" s="1">
        <v>1</v>
      </c>
      <c r="G1047" s="1" t="s">
        <v>143</v>
      </c>
    </row>
    <row r="1048" spans="1:9" hidden="1" x14ac:dyDescent="0.3">
      <c r="A1048" s="1">
        <v>2138</v>
      </c>
      <c r="B1048" s="1" t="s">
        <v>2522</v>
      </c>
      <c r="C1048" s="1" t="s">
        <v>2523</v>
      </c>
      <c r="D1048" s="1" t="s">
        <v>422</v>
      </c>
      <c r="E1048" s="1" t="s">
        <v>1327</v>
      </c>
      <c r="F1048" s="1">
        <v>0</v>
      </c>
      <c r="G1048" s="1" t="s">
        <v>82</v>
      </c>
      <c r="I1048" s="1" t="s">
        <v>188</v>
      </c>
    </row>
    <row r="1049" spans="1:9" hidden="1" x14ac:dyDescent="0.3">
      <c r="A1049" s="1">
        <v>2139</v>
      </c>
      <c r="B1049" s="1" t="s">
        <v>2524</v>
      </c>
      <c r="C1049" s="1" t="s">
        <v>2525</v>
      </c>
      <c r="D1049" s="1" t="s">
        <v>422</v>
      </c>
      <c r="E1049" s="1" t="s">
        <v>1327</v>
      </c>
      <c r="F1049" s="1">
        <v>1</v>
      </c>
      <c r="G1049" s="1" t="s">
        <v>143</v>
      </c>
    </row>
    <row r="1050" spans="1:9" hidden="1" x14ac:dyDescent="0.3">
      <c r="A1050" s="1">
        <v>2140</v>
      </c>
      <c r="B1050" s="1" t="s">
        <v>2526</v>
      </c>
      <c r="C1050" s="1" t="s">
        <v>2527</v>
      </c>
      <c r="D1050" s="1" t="s">
        <v>252</v>
      </c>
      <c r="E1050" s="1" t="s">
        <v>1327</v>
      </c>
      <c r="F1050" s="1">
        <v>0</v>
      </c>
      <c r="G1050" s="1" t="s">
        <v>82</v>
      </c>
      <c r="I1050" s="1" t="s">
        <v>188</v>
      </c>
    </row>
    <row r="1051" spans="1:9" hidden="1" x14ac:dyDescent="0.3">
      <c r="A1051" s="1">
        <v>2141</v>
      </c>
      <c r="B1051" s="1" t="s">
        <v>2528</v>
      </c>
      <c r="C1051" s="1" t="s">
        <v>2529</v>
      </c>
      <c r="D1051" s="1" t="s">
        <v>278</v>
      </c>
      <c r="E1051" s="1" t="s">
        <v>1327</v>
      </c>
      <c r="F1051" s="1">
        <v>1</v>
      </c>
      <c r="G1051" s="1" t="s">
        <v>143</v>
      </c>
    </row>
    <row r="1052" spans="1:9" hidden="1" x14ac:dyDescent="0.3">
      <c r="A1052" s="1">
        <v>2142</v>
      </c>
      <c r="B1052" s="1" t="s">
        <v>2530</v>
      </c>
      <c r="C1052" s="1" t="s">
        <v>2531</v>
      </c>
      <c r="D1052" s="1" t="s">
        <v>252</v>
      </c>
      <c r="E1052" s="1" t="s">
        <v>1327</v>
      </c>
      <c r="F1052" s="1">
        <v>0</v>
      </c>
      <c r="G1052" s="1" t="s">
        <v>82</v>
      </c>
      <c r="I1052" s="1" t="s">
        <v>188</v>
      </c>
    </row>
    <row r="1053" spans="1:9" hidden="1" x14ac:dyDescent="0.3">
      <c r="A1053" s="1">
        <v>2143</v>
      </c>
      <c r="B1053" s="1" t="s">
        <v>2532</v>
      </c>
      <c r="C1053" s="1" t="s">
        <v>2533</v>
      </c>
      <c r="D1053" s="1" t="s">
        <v>252</v>
      </c>
      <c r="E1053" s="1" t="s">
        <v>1327</v>
      </c>
      <c r="F1053" s="1">
        <v>1</v>
      </c>
      <c r="G1053" s="1" t="s">
        <v>143</v>
      </c>
    </row>
    <row r="1054" spans="1:9" hidden="1" x14ac:dyDescent="0.3">
      <c r="A1054" s="1">
        <v>2144</v>
      </c>
      <c r="B1054" s="1" t="s">
        <v>2534</v>
      </c>
      <c r="C1054" s="1" t="s">
        <v>2535</v>
      </c>
      <c r="D1054" s="1" t="s">
        <v>278</v>
      </c>
      <c r="E1054" s="1" t="s">
        <v>1327</v>
      </c>
      <c r="F1054" s="1">
        <v>1</v>
      </c>
      <c r="G1054" s="1" t="s">
        <v>143</v>
      </c>
    </row>
    <row r="1055" spans="1:9" hidden="1" x14ac:dyDescent="0.3">
      <c r="A1055" s="1">
        <v>2145</v>
      </c>
      <c r="B1055" s="1" t="s">
        <v>2536</v>
      </c>
      <c r="C1055" s="1" t="s">
        <v>2537</v>
      </c>
      <c r="D1055" s="1" t="s">
        <v>2538</v>
      </c>
      <c r="E1055" s="1" t="s">
        <v>170</v>
      </c>
      <c r="F1055" s="1">
        <v>1</v>
      </c>
      <c r="G1055" s="1" t="s">
        <v>143</v>
      </c>
    </row>
    <row r="1056" spans="1:9" hidden="1" x14ac:dyDescent="0.3">
      <c r="A1056" s="1">
        <v>2146</v>
      </c>
      <c r="B1056" s="1" t="s">
        <v>2539</v>
      </c>
      <c r="C1056" s="1" t="s">
        <v>2540</v>
      </c>
      <c r="D1056" s="1" t="s">
        <v>252</v>
      </c>
      <c r="E1056" s="1" t="s">
        <v>1327</v>
      </c>
      <c r="F1056" s="1">
        <v>0</v>
      </c>
      <c r="G1056" s="1" t="s">
        <v>82</v>
      </c>
      <c r="I1056" s="1" t="s">
        <v>188</v>
      </c>
    </row>
    <row r="1057" spans="1:9" hidden="1" x14ac:dyDescent="0.3">
      <c r="A1057" s="1">
        <v>2148</v>
      </c>
      <c r="B1057" s="1" t="s">
        <v>2541</v>
      </c>
      <c r="C1057" s="1" t="s">
        <v>2542</v>
      </c>
      <c r="D1057" s="1" t="s">
        <v>252</v>
      </c>
      <c r="E1057" s="1" t="s">
        <v>1327</v>
      </c>
      <c r="F1057" s="1">
        <v>1</v>
      </c>
      <c r="G1057" s="1" t="s">
        <v>143</v>
      </c>
    </row>
    <row r="1058" spans="1:9" hidden="1" x14ac:dyDescent="0.3">
      <c r="A1058" s="1">
        <v>2149</v>
      </c>
      <c r="B1058" s="1" t="s">
        <v>2543</v>
      </c>
      <c r="C1058" s="1" t="s">
        <v>2544</v>
      </c>
      <c r="D1058" s="1" t="s">
        <v>422</v>
      </c>
      <c r="E1058" s="1" t="s">
        <v>1327</v>
      </c>
      <c r="F1058" s="1">
        <v>1</v>
      </c>
      <c r="G1058" s="1" t="s">
        <v>143</v>
      </c>
    </row>
    <row r="1059" spans="1:9" hidden="1" x14ac:dyDescent="0.3">
      <c r="A1059" s="1">
        <v>2150</v>
      </c>
      <c r="B1059" s="1" t="s">
        <v>2545</v>
      </c>
      <c r="C1059" s="1" t="s">
        <v>2546</v>
      </c>
      <c r="D1059" s="1" t="s">
        <v>1650</v>
      </c>
      <c r="E1059" s="1" t="s">
        <v>1292</v>
      </c>
      <c r="F1059" s="1">
        <v>0</v>
      </c>
      <c r="G1059" s="1" t="s">
        <v>82</v>
      </c>
      <c r="I1059" s="1" t="s">
        <v>123</v>
      </c>
    </row>
    <row r="1060" spans="1:9" hidden="1" x14ac:dyDescent="0.3">
      <c r="A1060" s="1">
        <v>2151</v>
      </c>
      <c r="B1060" s="1" t="s">
        <v>2547</v>
      </c>
      <c r="C1060" s="1" t="s">
        <v>2548</v>
      </c>
      <c r="D1060" s="1" t="s">
        <v>422</v>
      </c>
      <c r="E1060" s="1" t="s">
        <v>340</v>
      </c>
      <c r="F1060" s="1">
        <v>1</v>
      </c>
      <c r="G1060" s="1" t="s">
        <v>143</v>
      </c>
    </row>
    <row r="1061" spans="1:9" hidden="1" x14ac:dyDescent="0.3">
      <c r="A1061" s="1">
        <v>2152</v>
      </c>
      <c r="B1061" s="1" t="s">
        <v>2549</v>
      </c>
      <c r="C1061" s="1" t="s">
        <v>2550</v>
      </c>
      <c r="D1061" s="1" t="s">
        <v>422</v>
      </c>
      <c r="E1061" s="1" t="s">
        <v>1327</v>
      </c>
      <c r="F1061" s="1">
        <v>0</v>
      </c>
      <c r="G1061" s="1" t="s">
        <v>82</v>
      </c>
      <c r="I1061" s="1" t="s">
        <v>188</v>
      </c>
    </row>
    <row r="1062" spans="1:9" hidden="1" x14ac:dyDescent="0.3">
      <c r="A1062" s="1">
        <v>2153</v>
      </c>
      <c r="B1062" s="1" t="s">
        <v>2551</v>
      </c>
      <c r="C1062" s="1" t="s">
        <v>2552</v>
      </c>
      <c r="D1062" s="1" t="s">
        <v>422</v>
      </c>
      <c r="E1062" s="1" t="s">
        <v>1327</v>
      </c>
      <c r="F1062" s="1">
        <v>1</v>
      </c>
      <c r="G1062" s="1" t="s">
        <v>143</v>
      </c>
    </row>
    <row r="1063" spans="1:9" hidden="1" x14ac:dyDescent="0.3">
      <c r="A1063" s="1">
        <v>2155</v>
      </c>
      <c r="B1063" s="1" t="s">
        <v>2553</v>
      </c>
      <c r="C1063" s="1" t="s">
        <v>2554</v>
      </c>
      <c r="D1063" s="1" t="s">
        <v>252</v>
      </c>
      <c r="E1063" s="1" t="s">
        <v>147</v>
      </c>
      <c r="F1063" s="1">
        <v>1</v>
      </c>
      <c r="G1063" s="1" t="s">
        <v>143</v>
      </c>
    </row>
    <row r="1064" spans="1:9" hidden="1" x14ac:dyDescent="0.3">
      <c r="A1064" s="1">
        <v>2156</v>
      </c>
      <c r="B1064" s="1" t="s">
        <v>2555</v>
      </c>
      <c r="C1064" s="1" t="s">
        <v>2556</v>
      </c>
      <c r="D1064" s="1" t="s">
        <v>2557</v>
      </c>
      <c r="E1064" s="1" t="s">
        <v>1327</v>
      </c>
      <c r="F1064" s="1">
        <v>1</v>
      </c>
      <c r="G1064" s="1" t="s">
        <v>143</v>
      </c>
    </row>
    <row r="1065" spans="1:9" hidden="1" x14ac:dyDescent="0.3">
      <c r="A1065" s="1">
        <v>2157</v>
      </c>
      <c r="B1065" s="1" t="s">
        <v>2558</v>
      </c>
      <c r="C1065" s="1" t="s">
        <v>2559</v>
      </c>
      <c r="D1065" s="1" t="s">
        <v>252</v>
      </c>
      <c r="E1065" s="1" t="s">
        <v>1327</v>
      </c>
      <c r="F1065" s="1">
        <v>1</v>
      </c>
      <c r="G1065" s="1" t="s">
        <v>143</v>
      </c>
    </row>
    <row r="1066" spans="1:9" hidden="1" x14ac:dyDescent="0.3">
      <c r="A1066" s="1">
        <v>2158</v>
      </c>
      <c r="B1066" s="1" t="s">
        <v>2560</v>
      </c>
      <c r="C1066" s="1" t="s">
        <v>2561</v>
      </c>
      <c r="D1066" s="1" t="s">
        <v>422</v>
      </c>
      <c r="E1066" s="1" t="s">
        <v>1327</v>
      </c>
      <c r="F1066" s="1">
        <v>1</v>
      </c>
      <c r="G1066" s="1" t="s">
        <v>143</v>
      </c>
    </row>
    <row r="1067" spans="1:9" hidden="1" x14ac:dyDescent="0.3">
      <c r="A1067" s="1">
        <v>2159</v>
      </c>
      <c r="B1067" s="1" t="s">
        <v>2562</v>
      </c>
      <c r="C1067" s="1" t="s">
        <v>2563</v>
      </c>
      <c r="D1067" s="1" t="s">
        <v>422</v>
      </c>
      <c r="E1067" s="1" t="s">
        <v>1327</v>
      </c>
      <c r="F1067" s="1">
        <v>1</v>
      </c>
      <c r="G1067" s="1" t="s">
        <v>143</v>
      </c>
    </row>
    <row r="1068" spans="1:9" hidden="1" x14ac:dyDescent="0.3">
      <c r="A1068" s="1">
        <v>2160</v>
      </c>
      <c r="B1068" s="1" t="s">
        <v>2564</v>
      </c>
      <c r="C1068" s="1" t="s">
        <v>2565</v>
      </c>
      <c r="D1068" s="1" t="s">
        <v>422</v>
      </c>
      <c r="E1068" s="1" t="s">
        <v>1327</v>
      </c>
      <c r="F1068" s="1">
        <v>1</v>
      </c>
      <c r="G1068" s="1" t="s">
        <v>143</v>
      </c>
    </row>
    <row r="1069" spans="1:9" hidden="1" x14ac:dyDescent="0.3">
      <c r="A1069" s="1">
        <v>2161</v>
      </c>
      <c r="B1069" s="1" t="s">
        <v>2566</v>
      </c>
      <c r="C1069" s="1" t="s">
        <v>2567</v>
      </c>
      <c r="D1069" s="1" t="s">
        <v>270</v>
      </c>
      <c r="E1069" s="1" t="s">
        <v>331</v>
      </c>
      <c r="F1069" s="1">
        <v>0</v>
      </c>
      <c r="G1069" s="1" t="s">
        <v>82</v>
      </c>
      <c r="I1069" s="1" t="s">
        <v>188</v>
      </c>
    </row>
    <row r="1070" spans="1:9" hidden="1" x14ac:dyDescent="0.3">
      <c r="A1070" s="1">
        <v>2162</v>
      </c>
      <c r="B1070" s="1" t="s">
        <v>2568</v>
      </c>
      <c r="C1070" s="1" t="s">
        <v>2569</v>
      </c>
      <c r="D1070" s="1" t="s">
        <v>422</v>
      </c>
      <c r="E1070" s="1" t="s">
        <v>1327</v>
      </c>
      <c r="F1070" s="1">
        <v>1</v>
      </c>
      <c r="G1070" s="1" t="s">
        <v>143</v>
      </c>
    </row>
    <row r="1071" spans="1:9" hidden="1" x14ac:dyDescent="0.3">
      <c r="A1071" s="1">
        <v>2163</v>
      </c>
      <c r="B1071" s="1" t="s">
        <v>2570</v>
      </c>
      <c r="C1071" s="1" t="s">
        <v>2571</v>
      </c>
      <c r="D1071" s="1" t="s">
        <v>2184</v>
      </c>
      <c r="E1071" s="1" t="s">
        <v>1114</v>
      </c>
      <c r="F1071" s="1">
        <v>1</v>
      </c>
      <c r="G1071" s="1" t="s">
        <v>143</v>
      </c>
    </row>
    <row r="1072" spans="1:9" hidden="1" x14ac:dyDescent="0.3">
      <c r="A1072" s="1">
        <v>2164</v>
      </c>
      <c r="B1072" s="1" t="s">
        <v>2572</v>
      </c>
      <c r="C1072" s="1" t="s">
        <v>2573</v>
      </c>
      <c r="D1072" s="1" t="s">
        <v>252</v>
      </c>
      <c r="E1072" s="1" t="s">
        <v>147</v>
      </c>
      <c r="F1072" s="1">
        <v>1</v>
      </c>
      <c r="G1072" s="1" t="s">
        <v>143</v>
      </c>
    </row>
    <row r="1073" spans="1:9" hidden="1" x14ac:dyDescent="0.3">
      <c r="A1073" s="1">
        <v>2165</v>
      </c>
      <c r="B1073" s="1" t="s">
        <v>2574</v>
      </c>
      <c r="C1073" s="1" t="s">
        <v>2575</v>
      </c>
      <c r="D1073" s="1" t="s">
        <v>422</v>
      </c>
      <c r="E1073" s="1" t="s">
        <v>1327</v>
      </c>
      <c r="F1073" s="1">
        <v>1</v>
      </c>
      <c r="G1073" s="1" t="s">
        <v>143</v>
      </c>
    </row>
    <row r="1074" spans="1:9" hidden="1" x14ac:dyDescent="0.3">
      <c r="A1074" s="1">
        <v>2166</v>
      </c>
      <c r="B1074" s="1" t="s">
        <v>2576</v>
      </c>
      <c r="C1074" s="1" t="s">
        <v>2577</v>
      </c>
      <c r="D1074" s="1" t="s">
        <v>2189</v>
      </c>
      <c r="E1074" s="1" t="s">
        <v>1114</v>
      </c>
      <c r="F1074" s="1">
        <v>1</v>
      </c>
      <c r="G1074" s="1" t="s">
        <v>143</v>
      </c>
    </row>
    <row r="1075" spans="1:9" hidden="1" x14ac:dyDescent="0.3">
      <c r="A1075" s="1">
        <v>2167</v>
      </c>
      <c r="B1075" s="1" t="s">
        <v>2578</v>
      </c>
      <c r="C1075" s="1" t="s">
        <v>2579</v>
      </c>
      <c r="D1075" s="1" t="s">
        <v>422</v>
      </c>
      <c r="E1075" s="1" t="s">
        <v>1327</v>
      </c>
      <c r="F1075" s="1">
        <v>1</v>
      </c>
      <c r="G1075" s="1" t="s">
        <v>143</v>
      </c>
    </row>
    <row r="1076" spans="1:9" hidden="1" x14ac:dyDescent="0.3">
      <c r="A1076" s="1">
        <v>2168</v>
      </c>
      <c r="B1076" s="1" t="s">
        <v>2580</v>
      </c>
      <c r="C1076" s="1" t="s">
        <v>2581</v>
      </c>
      <c r="D1076" s="1" t="s">
        <v>422</v>
      </c>
      <c r="E1076" s="1" t="s">
        <v>259</v>
      </c>
      <c r="F1076" s="1">
        <v>1</v>
      </c>
      <c r="G1076" s="1" t="s">
        <v>143</v>
      </c>
    </row>
    <row r="1077" spans="1:9" hidden="1" x14ac:dyDescent="0.3">
      <c r="A1077" s="1">
        <v>2169</v>
      </c>
      <c r="B1077" s="1" t="s">
        <v>2582</v>
      </c>
      <c r="C1077" s="1" t="s">
        <v>2583</v>
      </c>
      <c r="D1077" s="1" t="s">
        <v>422</v>
      </c>
      <c r="E1077" s="1" t="s">
        <v>255</v>
      </c>
      <c r="F1077" s="1">
        <v>1</v>
      </c>
      <c r="G1077" s="1" t="s">
        <v>143</v>
      </c>
    </row>
    <row r="1078" spans="1:9" hidden="1" x14ac:dyDescent="0.3">
      <c r="A1078" s="1">
        <v>2170</v>
      </c>
      <c r="B1078" s="1" t="s">
        <v>2584</v>
      </c>
      <c r="C1078" s="1" t="s">
        <v>2585</v>
      </c>
      <c r="D1078" s="1" t="s">
        <v>336</v>
      </c>
      <c r="E1078" s="1" t="s">
        <v>331</v>
      </c>
      <c r="F1078" s="1">
        <v>0</v>
      </c>
      <c r="G1078" s="1" t="s">
        <v>82</v>
      </c>
      <c r="I1078" s="1" t="s">
        <v>188</v>
      </c>
    </row>
    <row r="1079" spans="1:9" hidden="1" x14ac:dyDescent="0.3">
      <c r="A1079" s="1">
        <v>2171</v>
      </c>
      <c r="B1079" s="1" t="s">
        <v>2586</v>
      </c>
      <c r="C1079" s="1" t="s">
        <v>2587</v>
      </c>
      <c r="D1079" s="1" t="s">
        <v>2189</v>
      </c>
      <c r="E1079" s="1" t="s">
        <v>1114</v>
      </c>
      <c r="F1079" s="1">
        <v>0</v>
      </c>
      <c r="G1079" s="1" t="s">
        <v>82</v>
      </c>
      <c r="I1079" s="1" t="s">
        <v>188</v>
      </c>
    </row>
    <row r="1080" spans="1:9" hidden="1" x14ac:dyDescent="0.3">
      <c r="A1080" s="1">
        <v>2173</v>
      </c>
      <c r="B1080" s="1" t="s">
        <v>2588</v>
      </c>
      <c r="C1080" s="1" t="s">
        <v>2589</v>
      </c>
      <c r="D1080" s="1" t="s">
        <v>2184</v>
      </c>
      <c r="E1080" s="1" t="s">
        <v>1114</v>
      </c>
      <c r="F1080" s="1">
        <v>1</v>
      </c>
      <c r="G1080" s="1" t="s">
        <v>143</v>
      </c>
    </row>
    <row r="1081" spans="1:9" hidden="1" x14ac:dyDescent="0.3">
      <c r="A1081" s="1">
        <v>2174</v>
      </c>
      <c r="B1081" s="1" t="s">
        <v>2590</v>
      </c>
      <c r="C1081" s="1" t="s">
        <v>2591</v>
      </c>
      <c r="D1081" s="1" t="s">
        <v>252</v>
      </c>
      <c r="E1081" s="1" t="s">
        <v>1327</v>
      </c>
      <c r="F1081" s="1">
        <v>0</v>
      </c>
      <c r="G1081" s="1" t="s">
        <v>82</v>
      </c>
      <c r="I1081" s="1" t="s">
        <v>188</v>
      </c>
    </row>
    <row r="1082" spans="1:9" hidden="1" x14ac:dyDescent="0.3">
      <c r="A1082" s="1">
        <v>2175</v>
      </c>
      <c r="B1082" s="1" t="s">
        <v>2592</v>
      </c>
      <c r="C1082" s="1" t="s">
        <v>2593</v>
      </c>
      <c r="D1082" s="1" t="s">
        <v>422</v>
      </c>
      <c r="E1082" s="1" t="s">
        <v>1327</v>
      </c>
      <c r="F1082" s="1">
        <v>1</v>
      </c>
      <c r="G1082" s="1" t="s">
        <v>143</v>
      </c>
    </row>
    <row r="1083" spans="1:9" hidden="1" x14ac:dyDescent="0.3">
      <c r="A1083" s="1">
        <v>2176</v>
      </c>
      <c r="B1083" s="1" t="s">
        <v>2594</v>
      </c>
      <c r="C1083" s="1" t="s">
        <v>2595</v>
      </c>
      <c r="D1083" s="1" t="s">
        <v>2184</v>
      </c>
      <c r="E1083" s="1" t="s">
        <v>1114</v>
      </c>
      <c r="F1083" s="1">
        <v>1</v>
      </c>
      <c r="G1083" s="1" t="s">
        <v>143</v>
      </c>
    </row>
    <row r="1084" spans="1:9" hidden="1" x14ac:dyDescent="0.3">
      <c r="A1084" s="1">
        <v>2177</v>
      </c>
      <c r="B1084" s="1" t="s">
        <v>2596</v>
      </c>
      <c r="C1084" s="1" t="s">
        <v>2597</v>
      </c>
      <c r="D1084" s="1" t="s">
        <v>252</v>
      </c>
      <c r="E1084" s="1" t="s">
        <v>259</v>
      </c>
      <c r="F1084" s="1">
        <v>0</v>
      </c>
      <c r="G1084" s="1" t="s">
        <v>82</v>
      </c>
      <c r="I1084" s="1" t="s">
        <v>188</v>
      </c>
    </row>
    <row r="1085" spans="1:9" hidden="1" x14ac:dyDescent="0.3">
      <c r="A1085" s="1">
        <v>2178</v>
      </c>
      <c r="B1085" s="1" t="s">
        <v>2598</v>
      </c>
      <c r="C1085" s="1" t="s">
        <v>2599</v>
      </c>
      <c r="D1085" s="1" t="s">
        <v>252</v>
      </c>
      <c r="E1085" s="1" t="s">
        <v>1327</v>
      </c>
      <c r="F1085" s="1">
        <v>0</v>
      </c>
      <c r="G1085" s="1" t="s">
        <v>82</v>
      </c>
      <c r="I1085" s="1" t="s">
        <v>188</v>
      </c>
    </row>
    <row r="1086" spans="1:9" hidden="1" x14ac:dyDescent="0.3">
      <c r="A1086" s="1">
        <v>2179</v>
      </c>
      <c r="B1086" s="1" t="s">
        <v>2600</v>
      </c>
      <c r="C1086" s="1" t="s">
        <v>2601</v>
      </c>
      <c r="D1086" s="1" t="s">
        <v>252</v>
      </c>
      <c r="E1086" s="1" t="s">
        <v>1327</v>
      </c>
      <c r="F1086" s="1">
        <v>1</v>
      </c>
      <c r="G1086" s="1" t="s">
        <v>143</v>
      </c>
    </row>
    <row r="1087" spans="1:9" hidden="1" x14ac:dyDescent="0.3">
      <c r="A1087" s="1">
        <v>2180</v>
      </c>
      <c r="B1087" s="1" t="s">
        <v>2602</v>
      </c>
      <c r="C1087" s="1" t="s">
        <v>2603</v>
      </c>
      <c r="D1087" s="1" t="s">
        <v>422</v>
      </c>
      <c r="E1087" s="1" t="s">
        <v>1327</v>
      </c>
      <c r="F1087" s="1">
        <v>1</v>
      </c>
      <c r="G1087" s="1" t="s">
        <v>143</v>
      </c>
    </row>
    <row r="1088" spans="1:9" hidden="1" x14ac:dyDescent="0.3">
      <c r="A1088" s="1">
        <v>2181</v>
      </c>
      <c r="B1088" s="1" t="s">
        <v>2604</v>
      </c>
      <c r="C1088" s="1" t="s">
        <v>2605</v>
      </c>
      <c r="D1088" s="1" t="s">
        <v>2189</v>
      </c>
      <c r="E1088" s="1" t="s">
        <v>1114</v>
      </c>
      <c r="F1088" s="1">
        <v>1</v>
      </c>
      <c r="G1088" s="1" t="s">
        <v>143</v>
      </c>
    </row>
    <row r="1089" spans="1:9" hidden="1" x14ac:dyDescent="0.3">
      <c r="A1089" s="1">
        <v>2182</v>
      </c>
      <c r="B1089" s="1" t="s">
        <v>2606</v>
      </c>
      <c r="C1089" s="1" t="s">
        <v>2607</v>
      </c>
      <c r="D1089" s="1" t="s">
        <v>252</v>
      </c>
      <c r="E1089" s="1" t="s">
        <v>147</v>
      </c>
      <c r="F1089" s="1">
        <v>1</v>
      </c>
      <c r="G1089" s="1" t="s">
        <v>143</v>
      </c>
    </row>
    <row r="1090" spans="1:9" hidden="1" x14ac:dyDescent="0.3">
      <c r="A1090" s="1">
        <v>2183</v>
      </c>
      <c r="B1090" s="1" t="s">
        <v>2608</v>
      </c>
      <c r="C1090" s="1" t="s">
        <v>2609</v>
      </c>
      <c r="D1090" s="1" t="s">
        <v>422</v>
      </c>
      <c r="E1090" s="1" t="s">
        <v>1327</v>
      </c>
      <c r="F1090" s="1">
        <v>1</v>
      </c>
      <c r="G1090" s="1" t="s">
        <v>143</v>
      </c>
    </row>
    <row r="1091" spans="1:9" hidden="1" x14ac:dyDescent="0.3">
      <c r="A1091" s="1">
        <v>2184</v>
      </c>
      <c r="B1091" s="1" t="s">
        <v>2610</v>
      </c>
      <c r="C1091" s="1" t="s">
        <v>2611</v>
      </c>
      <c r="D1091" s="1" t="s">
        <v>252</v>
      </c>
      <c r="E1091" s="1" t="s">
        <v>1327</v>
      </c>
      <c r="F1091" s="1">
        <v>0</v>
      </c>
      <c r="G1091" s="1" t="s">
        <v>82</v>
      </c>
      <c r="I1091" s="1" t="s">
        <v>188</v>
      </c>
    </row>
    <row r="1092" spans="1:9" hidden="1" x14ac:dyDescent="0.3">
      <c r="A1092" s="1">
        <v>2185</v>
      </c>
      <c r="B1092" s="1" t="s">
        <v>2612</v>
      </c>
      <c r="C1092" s="1" t="s">
        <v>2613</v>
      </c>
      <c r="D1092" s="1" t="s">
        <v>278</v>
      </c>
      <c r="E1092" s="1" t="s">
        <v>331</v>
      </c>
      <c r="F1092" s="1">
        <v>1</v>
      </c>
      <c r="G1092" s="1" t="s">
        <v>143</v>
      </c>
    </row>
    <row r="1093" spans="1:9" hidden="1" x14ac:dyDescent="0.3">
      <c r="A1093" s="1">
        <v>2186</v>
      </c>
      <c r="B1093" s="1" t="s">
        <v>2614</v>
      </c>
      <c r="C1093" s="1" t="s">
        <v>2615</v>
      </c>
      <c r="D1093" s="1" t="s">
        <v>336</v>
      </c>
      <c r="E1093" s="1" t="s">
        <v>331</v>
      </c>
      <c r="F1093" s="1">
        <v>0</v>
      </c>
      <c r="G1093" s="1" t="s">
        <v>82</v>
      </c>
      <c r="I1093" s="1" t="s">
        <v>188</v>
      </c>
    </row>
    <row r="1094" spans="1:9" hidden="1" x14ac:dyDescent="0.3">
      <c r="A1094" s="1">
        <v>2187</v>
      </c>
      <c r="B1094" s="1" t="s">
        <v>2616</v>
      </c>
      <c r="C1094" s="1" t="s">
        <v>2616</v>
      </c>
      <c r="D1094" s="1" t="s">
        <v>323</v>
      </c>
      <c r="E1094" s="1" t="s">
        <v>134</v>
      </c>
      <c r="F1094" s="1">
        <v>1</v>
      </c>
      <c r="G1094" s="1" t="s">
        <v>143</v>
      </c>
    </row>
    <row r="1095" spans="1:9" hidden="1" x14ac:dyDescent="0.3">
      <c r="A1095" s="1">
        <v>2188</v>
      </c>
      <c r="B1095" s="1" t="s">
        <v>2617</v>
      </c>
      <c r="C1095" s="1" t="s">
        <v>2618</v>
      </c>
      <c r="D1095" s="1" t="s">
        <v>278</v>
      </c>
      <c r="E1095" s="1" t="s">
        <v>331</v>
      </c>
      <c r="F1095" s="1">
        <v>1</v>
      </c>
      <c r="G1095" s="1" t="s">
        <v>143</v>
      </c>
      <c r="I1095" s="1" t="s">
        <v>188</v>
      </c>
    </row>
    <row r="1096" spans="1:9" hidden="1" x14ac:dyDescent="0.3">
      <c r="A1096" s="1">
        <v>2190</v>
      </c>
      <c r="B1096" s="1" t="s">
        <v>2619</v>
      </c>
      <c r="C1096" s="1" t="s">
        <v>2620</v>
      </c>
      <c r="D1096" s="1" t="s">
        <v>2184</v>
      </c>
      <c r="E1096" s="1" t="s">
        <v>1114</v>
      </c>
      <c r="F1096" s="1">
        <v>1</v>
      </c>
      <c r="G1096" s="1" t="s">
        <v>143</v>
      </c>
    </row>
    <row r="1097" spans="1:9" hidden="1" x14ac:dyDescent="0.3">
      <c r="A1097" s="1">
        <v>2192</v>
      </c>
      <c r="B1097" s="1" t="s">
        <v>2621</v>
      </c>
      <c r="C1097" s="1" t="s">
        <v>2622</v>
      </c>
      <c r="D1097" s="1" t="s">
        <v>690</v>
      </c>
      <c r="E1097" s="1" t="s">
        <v>130</v>
      </c>
      <c r="F1097" s="1">
        <v>0</v>
      </c>
      <c r="G1097" s="1" t="s">
        <v>82</v>
      </c>
      <c r="I1097" s="1" t="s">
        <v>123</v>
      </c>
    </row>
    <row r="1098" spans="1:9" hidden="1" x14ac:dyDescent="0.3">
      <c r="A1098" s="1">
        <v>2193</v>
      </c>
      <c r="B1098" s="1" t="s">
        <v>2623</v>
      </c>
      <c r="C1098" s="1" t="s">
        <v>2624</v>
      </c>
      <c r="D1098" s="1" t="s">
        <v>1088</v>
      </c>
      <c r="E1098" s="1" t="s">
        <v>215</v>
      </c>
      <c r="F1098" s="1">
        <v>1</v>
      </c>
      <c r="G1098" s="1" t="s">
        <v>143</v>
      </c>
    </row>
    <row r="1099" spans="1:9" hidden="1" x14ac:dyDescent="0.3">
      <c r="A1099" s="1">
        <v>2194</v>
      </c>
      <c r="B1099" s="1" t="s">
        <v>2625</v>
      </c>
      <c r="C1099" s="1" t="s">
        <v>2626</v>
      </c>
      <c r="D1099" s="1" t="s">
        <v>684</v>
      </c>
      <c r="E1099" s="1" t="s">
        <v>505</v>
      </c>
      <c r="F1099" s="1">
        <v>1</v>
      </c>
      <c r="G1099" s="1" t="s">
        <v>143</v>
      </c>
    </row>
    <row r="1100" spans="1:9" hidden="1" x14ac:dyDescent="0.3">
      <c r="A1100" s="1">
        <v>2195</v>
      </c>
      <c r="B1100" s="1" t="s">
        <v>2627</v>
      </c>
      <c r="C1100" s="1" t="s">
        <v>2628</v>
      </c>
      <c r="D1100" s="1" t="s">
        <v>252</v>
      </c>
      <c r="E1100" s="1" t="s">
        <v>1327</v>
      </c>
      <c r="F1100" s="1">
        <v>1</v>
      </c>
      <c r="G1100" s="1" t="s">
        <v>143</v>
      </c>
    </row>
    <row r="1101" spans="1:9" hidden="1" x14ac:dyDescent="0.3">
      <c r="A1101" s="1">
        <v>2196</v>
      </c>
      <c r="B1101" s="1" t="s">
        <v>2629</v>
      </c>
      <c r="C1101" s="1" t="s">
        <v>2630</v>
      </c>
      <c r="D1101" s="1" t="s">
        <v>2189</v>
      </c>
      <c r="E1101" s="1" t="s">
        <v>1114</v>
      </c>
      <c r="F1101" s="1">
        <v>1</v>
      </c>
      <c r="G1101" s="1" t="s">
        <v>143</v>
      </c>
    </row>
    <row r="1102" spans="1:9" hidden="1" x14ac:dyDescent="0.3">
      <c r="A1102" s="1">
        <v>2197</v>
      </c>
      <c r="B1102" s="1" t="s">
        <v>2631</v>
      </c>
      <c r="C1102" s="1" t="s">
        <v>2632</v>
      </c>
      <c r="D1102" s="1" t="s">
        <v>422</v>
      </c>
      <c r="E1102" s="1" t="s">
        <v>1327</v>
      </c>
      <c r="F1102" s="1">
        <v>1</v>
      </c>
      <c r="G1102" s="1" t="s">
        <v>143</v>
      </c>
    </row>
    <row r="1103" spans="1:9" hidden="1" x14ac:dyDescent="0.3">
      <c r="A1103" s="1">
        <v>2198</v>
      </c>
      <c r="B1103" s="1" t="s">
        <v>2633</v>
      </c>
      <c r="C1103" s="1" t="s">
        <v>2634</v>
      </c>
      <c r="D1103" s="1" t="s">
        <v>422</v>
      </c>
      <c r="E1103" s="1" t="s">
        <v>147</v>
      </c>
      <c r="F1103" s="1">
        <v>1</v>
      </c>
      <c r="G1103" s="1" t="s">
        <v>143</v>
      </c>
    </row>
    <row r="1104" spans="1:9" hidden="1" x14ac:dyDescent="0.3">
      <c r="A1104" s="1">
        <v>2199</v>
      </c>
      <c r="B1104" s="1" t="s">
        <v>2635</v>
      </c>
      <c r="C1104" s="1" t="s">
        <v>2636</v>
      </c>
      <c r="D1104" s="1" t="s">
        <v>252</v>
      </c>
      <c r="E1104" s="1" t="s">
        <v>259</v>
      </c>
      <c r="F1104" s="1">
        <v>0</v>
      </c>
      <c r="G1104" s="1" t="s">
        <v>82</v>
      </c>
      <c r="I1104" s="1" t="s">
        <v>188</v>
      </c>
    </row>
    <row r="1105" spans="1:9" hidden="1" x14ac:dyDescent="0.3">
      <c r="A1105" s="1">
        <v>2200</v>
      </c>
      <c r="B1105" s="1" t="s">
        <v>2637</v>
      </c>
      <c r="C1105" s="1" t="s">
        <v>2638</v>
      </c>
      <c r="D1105" s="1" t="s">
        <v>252</v>
      </c>
      <c r="E1105" s="1" t="s">
        <v>259</v>
      </c>
      <c r="F1105" s="1">
        <v>1</v>
      </c>
      <c r="G1105" s="1" t="s">
        <v>143</v>
      </c>
      <c r="I1105" s="1" t="s">
        <v>188</v>
      </c>
    </row>
    <row r="1106" spans="1:9" hidden="1" x14ac:dyDescent="0.3">
      <c r="A1106" s="1">
        <v>2201</v>
      </c>
      <c r="B1106" s="1" t="s">
        <v>2639</v>
      </c>
      <c r="C1106" s="1" t="s">
        <v>2640</v>
      </c>
      <c r="D1106" s="1" t="s">
        <v>1700</v>
      </c>
      <c r="E1106" s="1" t="s">
        <v>68</v>
      </c>
      <c r="F1106" s="1">
        <v>1</v>
      </c>
      <c r="G1106" s="1" t="s">
        <v>143</v>
      </c>
    </row>
    <row r="1107" spans="1:9" hidden="1" x14ac:dyDescent="0.3">
      <c r="A1107" s="1">
        <v>2202</v>
      </c>
      <c r="B1107" s="1" t="s">
        <v>2641</v>
      </c>
      <c r="C1107" s="1" t="s">
        <v>2642</v>
      </c>
      <c r="D1107" s="1" t="s">
        <v>422</v>
      </c>
      <c r="E1107" s="1" t="s">
        <v>147</v>
      </c>
      <c r="F1107" s="1">
        <v>1</v>
      </c>
      <c r="G1107" s="1" t="s">
        <v>143</v>
      </c>
    </row>
    <row r="1108" spans="1:9" hidden="1" x14ac:dyDescent="0.3">
      <c r="A1108" s="1">
        <v>2203</v>
      </c>
      <c r="B1108" s="1" t="s">
        <v>2643</v>
      </c>
      <c r="C1108" s="1" t="s">
        <v>2644</v>
      </c>
      <c r="D1108" s="1" t="s">
        <v>345</v>
      </c>
      <c r="E1108" s="1" t="s">
        <v>331</v>
      </c>
      <c r="F1108" s="1">
        <v>1</v>
      </c>
      <c r="G1108" s="1" t="s">
        <v>143</v>
      </c>
    </row>
    <row r="1109" spans="1:9" hidden="1" x14ac:dyDescent="0.3">
      <c r="A1109" s="1">
        <v>2204</v>
      </c>
      <c r="B1109" s="1" t="s">
        <v>2645</v>
      </c>
      <c r="C1109" s="1" t="s">
        <v>2646</v>
      </c>
      <c r="D1109" s="1" t="s">
        <v>252</v>
      </c>
      <c r="E1109" s="1" t="s">
        <v>147</v>
      </c>
      <c r="F1109" s="1">
        <v>1</v>
      </c>
      <c r="G1109" s="1" t="s">
        <v>143</v>
      </c>
    </row>
    <row r="1110" spans="1:9" hidden="1" x14ac:dyDescent="0.3">
      <c r="A1110" s="1">
        <v>2205</v>
      </c>
      <c r="B1110" s="1" t="s">
        <v>2647</v>
      </c>
      <c r="C1110" s="1" t="s">
        <v>2648</v>
      </c>
      <c r="D1110" s="1" t="s">
        <v>252</v>
      </c>
      <c r="E1110" s="1" t="s">
        <v>147</v>
      </c>
      <c r="F1110" s="1">
        <v>1</v>
      </c>
      <c r="G1110" s="1" t="s">
        <v>143</v>
      </c>
    </row>
    <row r="1111" spans="1:9" hidden="1" x14ac:dyDescent="0.3">
      <c r="A1111" s="1">
        <v>2206</v>
      </c>
      <c r="B1111" s="1" t="s">
        <v>2649</v>
      </c>
      <c r="C1111" s="1" t="s">
        <v>2650</v>
      </c>
      <c r="D1111" s="1" t="s">
        <v>278</v>
      </c>
      <c r="E1111" s="1" t="s">
        <v>1327</v>
      </c>
      <c r="F1111" s="1">
        <v>1</v>
      </c>
      <c r="G1111" s="1" t="s">
        <v>143</v>
      </c>
    </row>
    <row r="1112" spans="1:9" hidden="1" x14ac:dyDescent="0.3">
      <c r="A1112" s="1">
        <v>2207</v>
      </c>
      <c r="B1112" s="1" t="s">
        <v>2651</v>
      </c>
      <c r="C1112" s="1" t="s">
        <v>2652</v>
      </c>
      <c r="D1112" s="1" t="s">
        <v>422</v>
      </c>
      <c r="E1112" s="1" t="s">
        <v>1327</v>
      </c>
      <c r="F1112" s="1">
        <v>1</v>
      </c>
      <c r="G1112" s="1" t="s">
        <v>143</v>
      </c>
    </row>
    <row r="1113" spans="1:9" hidden="1" x14ac:dyDescent="0.3">
      <c r="A1113" s="1">
        <v>2208</v>
      </c>
      <c r="B1113" s="1" t="s">
        <v>2653</v>
      </c>
      <c r="C1113" s="1" t="s">
        <v>2654</v>
      </c>
      <c r="D1113" s="1" t="s">
        <v>422</v>
      </c>
      <c r="E1113" s="1" t="s">
        <v>340</v>
      </c>
      <c r="F1113" s="1">
        <v>1</v>
      </c>
      <c r="G1113" s="1" t="s">
        <v>143</v>
      </c>
    </row>
    <row r="1114" spans="1:9" hidden="1" x14ac:dyDescent="0.3">
      <c r="A1114" s="1">
        <v>2209</v>
      </c>
      <c r="B1114" s="1" t="s">
        <v>2655</v>
      </c>
      <c r="C1114" s="1" t="s">
        <v>2656</v>
      </c>
      <c r="D1114" s="1" t="s">
        <v>422</v>
      </c>
      <c r="E1114" s="1" t="s">
        <v>340</v>
      </c>
      <c r="F1114" s="1">
        <v>1</v>
      </c>
      <c r="G1114" s="1" t="s">
        <v>143</v>
      </c>
    </row>
    <row r="1115" spans="1:9" hidden="1" x14ac:dyDescent="0.3">
      <c r="A1115" s="1">
        <v>2210</v>
      </c>
      <c r="B1115" s="1" t="s">
        <v>2657</v>
      </c>
      <c r="C1115" s="1" t="s">
        <v>2658</v>
      </c>
      <c r="D1115" s="1" t="s">
        <v>252</v>
      </c>
      <c r="E1115" s="1" t="s">
        <v>340</v>
      </c>
      <c r="F1115" s="1">
        <v>1</v>
      </c>
      <c r="G1115" s="1" t="s">
        <v>143</v>
      </c>
    </row>
    <row r="1116" spans="1:9" hidden="1" x14ac:dyDescent="0.3">
      <c r="A1116" s="1">
        <v>2211</v>
      </c>
      <c r="B1116" s="1" t="s">
        <v>2659</v>
      </c>
      <c r="C1116" s="1" t="s">
        <v>2660</v>
      </c>
      <c r="D1116" s="1" t="s">
        <v>2661</v>
      </c>
      <c r="E1116" s="1" t="s">
        <v>118</v>
      </c>
      <c r="F1116" s="1">
        <v>1</v>
      </c>
      <c r="G1116" s="1" t="s">
        <v>143</v>
      </c>
    </row>
    <row r="1117" spans="1:9" hidden="1" x14ac:dyDescent="0.3">
      <c r="A1117" s="1">
        <v>2212</v>
      </c>
      <c r="B1117" s="1" t="s">
        <v>2662</v>
      </c>
      <c r="C1117" s="1" t="s">
        <v>2663</v>
      </c>
      <c r="D1117" s="1" t="s">
        <v>1914</v>
      </c>
      <c r="E1117" s="1" t="s">
        <v>215</v>
      </c>
      <c r="F1117" s="1">
        <v>1</v>
      </c>
      <c r="G1117" s="1" t="s">
        <v>143</v>
      </c>
    </row>
    <row r="1118" spans="1:9" hidden="1" x14ac:dyDescent="0.3">
      <c r="A1118" s="1">
        <v>2213</v>
      </c>
      <c r="B1118" s="1" t="s">
        <v>2664</v>
      </c>
      <c r="C1118" s="1" t="s">
        <v>2665</v>
      </c>
      <c r="D1118" s="1" t="s">
        <v>252</v>
      </c>
      <c r="E1118" s="1" t="s">
        <v>147</v>
      </c>
      <c r="F1118" s="1">
        <v>1</v>
      </c>
      <c r="G1118" s="1" t="s">
        <v>143</v>
      </c>
    </row>
    <row r="1119" spans="1:9" hidden="1" x14ac:dyDescent="0.3">
      <c r="A1119" s="1">
        <v>2214</v>
      </c>
      <c r="B1119" s="1" t="s">
        <v>2666</v>
      </c>
      <c r="C1119" s="1" t="s">
        <v>2667</v>
      </c>
      <c r="D1119" s="1" t="s">
        <v>422</v>
      </c>
      <c r="E1119" s="1" t="s">
        <v>1327</v>
      </c>
      <c r="F1119" s="1">
        <v>1</v>
      </c>
      <c r="G1119" s="1" t="s">
        <v>143</v>
      </c>
    </row>
    <row r="1120" spans="1:9" hidden="1" x14ac:dyDescent="0.3">
      <c r="A1120" s="1">
        <v>2215</v>
      </c>
      <c r="B1120" s="1" t="s">
        <v>2668</v>
      </c>
      <c r="C1120" s="1" t="s">
        <v>2669</v>
      </c>
      <c r="D1120" s="1" t="s">
        <v>278</v>
      </c>
      <c r="E1120" s="1" t="s">
        <v>1327</v>
      </c>
      <c r="F1120" s="1">
        <v>0</v>
      </c>
      <c r="G1120" s="1" t="s">
        <v>82</v>
      </c>
      <c r="I1120" s="1" t="s">
        <v>188</v>
      </c>
    </row>
    <row r="1121" spans="1:9" hidden="1" x14ac:dyDescent="0.3">
      <c r="A1121" s="1">
        <v>2216</v>
      </c>
      <c r="B1121" s="1" t="s">
        <v>2670</v>
      </c>
      <c r="C1121" s="1" t="s">
        <v>2671</v>
      </c>
      <c r="D1121" s="1" t="s">
        <v>252</v>
      </c>
      <c r="E1121" s="1" t="s">
        <v>340</v>
      </c>
      <c r="F1121" s="1">
        <v>0</v>
      </c>
      <c r="G1121" s="1" t="s">
        <v>82</v>
      </c>
      <c r="I1121" s="1" t="s">
        <v>188</v>
      </c>
    </row>
    <row r="1122" spans="1:9" hidden="1" x14ac:dyDescent="0.3">
      <c r="A1122" s="1">
        <v>2217</v>
      </c>
      <c r="B1122" s="1" t="s">
        <v>2672</v>
      </c>
      <c r="C1122" s="1" t="s">
        <v>2673</v>
      </c>
      <c r="D1122" s="1" t="s">
        <v>422</v>
      </c>
      <c r="E1122" s="1" t="s">
        <v>1327</v>
      </c>
      <c r="F1122" s="1">
        <v>1</v>
      </c>
      <c r="G1122" s="1" t="s">
        <v>143</v>
      </c>
    </row>
    <row r="1123" spans="1:9" hidden="1" x14ac:dyDescent="0.3">
      <c r="A1123" s="1">
        <v>2218</v>
      </c>
      <c r="B1123" s="1" t="s">
        <v>2674</v>
      </c>
      <c r="C1123" s="1" t="s">
        <v>2675</v>
      </c>
      <c r="D1123" s="1" t="s">
        <v>422</v>
      </c>
      <c r="E1123" s="1" t="s">
        <v>1327</v>
      </c>
      <c r="F1123" s="1">
        <v>1</v>
      </c>
      <c r="G1123" s="1" t="s">
        <v>143</v>
      </c>
    </row>
    <row r="1124" spans="1:9" hidden="1" x14ac:dyDescent="0.3">
      <c r="A1124" s="1">
        <v>2219</v>
      </c>
      <c r="B1124" s="1" t="s">
        <v>2676</v>
      </c>
      <c r="C1124" s="1" t="s">
        <v>2677</v>
      </c>
      <c r="D1124" s="1" t="s">
        <v>422</v>
      </c>
      <c r="E1124" s="1" t="s">
        <v>1327</v>
      </c>
      <c r="F1124" s="1">
        <v>1</v>
      </c>
      <c r="G1124" s="1" t="s">
        <v>143</v>
      </c>
    </row>
    <row r="1125" spans="1:9" hidden="1" x14ac:dyDescent="0.3">
      <c r="A1125" s="1">
        <v>2220</v>
      </c>
      <c r="B1125" s="1" t="s">
        <v>2678</v>
      </c>
      <c r="C1125" s="1" t="s">
        <v>2679</v>
      </c>
      <c r="D1125" s="1" t="s">
        <v>252</v>
      </c>
      <c r="E1125" s="1" t="s">
        <v>259</v>
      </c>
      <c r="F1125" s="1">
        <v>1</v>
      </c>
      <c r="G1125" s="1" t="s">
        <v>143</v>
      </c>
      <c r="I1125" s="1" t="s">
        <v>188</v>
      </c>
    </row>
    <row r="1126" spans="1:9" hidden="1" x14ac:dyDescent="0.3">
      <c r="A1126" s="1">
        <v>2221</v>
      </c>
      <c r="B1126" s="1" t="s">
        <v>2680</v>
      </c>
      <c r="C1126" s="1" t="s">
        <v>2681</v>
      </c>
      <c r="D1126" s="1" t="s">
        <v>2682</v>
      </c>
      <c r="E1126" s="1" t="s">
        <v>111</v>
      </c>
      <c r="F1126" s="1">
        <v>0</v>
      </c>
      <c r="G1126" s="1" t="s">
        <v>82</v>
      </c>
      <c r="I1126" s="1" t="s">
        <v>123</v>
      </c>
    </row>
    <row r="1127" spans="1:9" hidden="1" x14ac:dyDescent="0.3">
      <c r="A1127" s="1">
        <v>2222</v>
      </c>
      <c r="B1127" s="1" t="s">
        <v>2683</v>
      </c>
      <c r="C1127" s="1" t="s">
        <v>2684</v>
      </c>
      <c r="D1127" s="1" t="s">
        <v>323</v>
      </c>
      <c r="E1127" s="1" t="s">
        <v>122</v>
      </c>
      <c r="F1127" s="1">
        <v>0</v>
      </c>
      <c r="G1127" s="1" t="s">
        <v>82</v>
      </c>
      <c r="I1127" s="1" t="s">
        <v>123</v>
      </c>
    </row>
    <row r="1128" spans="1:9" hidden="1" x14ac:dyDescent="0.3">
      <c r="A1128" s="1">
        <v>2223</v>
      </c>
      <c r="B1128" s="1" t="s">
        <v>2685</v>
      </c>
      <c r="C1128" s="1" t="s">
        <v>2686</v>
      </c>
      <c r="D1128" s="1" t="s">
        <v>847</v>
      </c>
      <c r="E1128" s="1" t="s">
        <v>111</v>
      </c>
      <c r="F1128" s="1">
        <v>1</v>
      </c>
      <c r="G1128" s="1" t="s">
        <v>143</v>
      </c>
      <c r="I1128" s="1" t="s">
        <v>123</v>
      </c>
    </row>
    <row r="1129" spans="1:9" hidden="1" x14ac:dyDescent="0.3">
      <c r="A1129" s="1">
        <v>2224</v>
      </c>
      <c r="B1129" s="1" t="s">
        <v>2687</v>
      </c>
      <c r="C1129" s="1" t="s">
        <v>2688</v>
      </c>
      <c r="D1129" s="1" t="s">
        <v>922</v>
      </c>
      <c r="E1129" s="1" t="s">
        <v>645</v>
      </c>
      <c r="F1129" s="1">
        <v>1</v>
      </c>
      <c r="G1129" s="1" t="s">
        <v>143</v>
      </c>
      <c r="I1129" s="1" t="s">
        <v>84</v>
      </c>
    </row>
    <row r="1130" spans="1:9" hidden="1" x14ac:dyDescent="0.3">
      <c r="A1130" s="1">
        <v>2225</v>
      </c>
      <c r="B1130" s="1" t="s">
        <v>2689</v>
      </c>
      <c r="C1130" s="1" t="s">
        <v>2690</v>
      </c>
      <c r="D1130" s="1" t="s">
        <v>2691</v>
      </c>
      <c r="E1130" s="1" t="s">
        <v>2692</v>
      </c>
      <c r="F1130" s="1">
        <v>0</v>
      </c>
      <c r="G1130" s="1" t="s">
        <v>82</v>
      </c>
      <c r="I1130" s="1" t="s">
        <v>123</v>
      </c>
    </row>
    <row r="1131" spans="1:9" hidden="1" x14ac:dyDescent="0.3">
      <c r="A1131" s="1">
        <v>2226</v>
      </c>
      <c r="B1131" s="1" t="s">
        <v>2693</v>
      </c>
      <c r="C1131" s="1" t="s">
        <v>2694</v>
      </c>
      <c r="D1131" s="1" t="s">
        <v>2691</v>
      </c>
      <c r="E1131" s="1" t="s">
        <v>2692</v>
      </c>
      <c r="F1131" s="1">
        <v>1</v>
      </c>
      <c r="G1131" s="1" t="s">
        <v>143</v>
      </c>
      <c r="H1131" s="1" t="s">
        <v>2695</v>
      </c>
      <c r="I1131" s="1" t="s">
        <v>123</v>
      </c>
    </row>
    <row r="1132" spans="1:9" hidden="1" x14ac:dyDescent="0.3">
      <c r="A1132" s="1">
        <v>2227</v>
      </c>
      <c r="B1132" s="1" t="s">
        <v>2696</v>
      </c>
      <c r="C1132" s="1" t="s">
        <v>2697</v>
      </c>
      <c r="D1132" s="1" t="s">
        <v>2691</v>
      </c>
      <c r="E1132" s="1" t="s">
        <v>2692</v>
      </c>
      <c r="F1132" s="1">
        <v>0</v>
      </c>
      <c r="G1132" s="1" t="s">
        <v>82</v>
      </c>
      <c r="I1132" s="1" t="s">
        <v>123</v>
      </c>
    </row>
    <row r="1133" spans="1:9" hidden="1" x14ac:dyDescent="0.3">
      <c r="A1133" s="1">
        <v>2228</v>
      </c>
      <c r="B1133" s="1" t="s">
        <v>2698</v>
      </c>
      <c r="C1133" s="1" t="s">
        <v>2699</v>
      </c>
      <c r="D1133" s="1" t="s">
        <v>2691</v>
      </c>
      <c r="E1133" s="1" t="s">
        <v>2692</v>
      </c>
      <c r="F1133" s="1">
        <v>0</v>
      </c>
      <c r="G1133" s="1" t="s">
        <v>82</v>
      </c>
      <c r="I1133" s="1" t="s">
        <v>123</v>
      </c>
    </row>
    <row r="1134" spans="1:9" hidden="1" x14ac:dyDescent="0.3">
      <c r="A1134" s="1">
        <v>2229</v>
      </c>
      <c r="B1134" s="1" t="s">
        <v>2700</v>
      </c>
      <c r="C1134" s="1" t="s">
        <v>2701</v>
      </c>
      <c r="D1134" s="1" t="s">
        <v>2691</v>
      </c>
      <c r="E1134" s="1" t="s">
        <v>2692</v>
      </c>
      <c r="F1134" s="1">
        <v>0</v>
      </c>
      <c r="G1134" s="1" t="s">
        <v>82</v>
      </c>
      <c r="I1134" s="1" t="s">
        <v>123</v>
      </c>
    </row>
    <row r="1135" spans="1:9" hidden="1" x14ac:dyDescent="0.3">
      <c r="A1135" s="1">
        <v>2230</v>
      </c>
      <c r="B1135" s="1" t="s">
        <v>2702</v>
      </c>
      <c r="C1135" s="1" t="s">
        <v>2703</v>
      </c>
      <c r="D1135" s="1" t="s">
        <v>2691</v>
      </c>
      <c r="E1135" s="1" t="s">
        <v>2692</v>
      </c>
      <c r="F1135" s="1">
        <v>1</v>
      </c>
      <c r="G1135" s="1" t="s">
        <v>143</v>
      </c>
    </row>
    <row r="1136" spans="1:9" hidden="1" x14ac:dyDescent="0.3">
      <c r="A1136" s="1">
        <v>2231</v>
      </c>
      <c r="B1136" s="1" t="s">
        <v>2704</v>
      </c>
      <c r="C1136" s="1" t="s">
        <v>2705</v>
      </c>
      <c r="D1136" s="1" t="s">
        <v>2691</v>
      </c>
      <c r="E1136" s="1" t="s">
        <v>2692</v>
      </c>
      <c r="F1136" s="1">
        <v>0</v>
      </c>
      <c r="G1136" s="1" t="s">
        <v>82</v>
      </c>
      <c r="I1136" s="1" t="s">
        <v>123</v>
      </c>
    </row>
    <row r="1137" spans="1:9" hidden="1" x14ac:dyDescent="0.3">
      <c r="A1137" s="1">
        <v>2232</v>
      </c>
      <c r="B1137" s="1" t="s">
        <v>2706</v>
      </c>
      <c r="C1137" s="1" t="s">
        <v>2707</v>
      </c>
      <c r="D1137" s="1" t="s">
        <v>2691</v>
      </c>
      <c r="E1137" s="1" t="s">
        <v>2692</v>
      </c>
      <c r="F1137" s="1">
        <v>0</v>
      </c>
      <c r="G1137" s="1" t="s">
        <v>82</v>
      </c>
      <c r="I1137" s="1" t="s">
        <v>123</v>
      </c>
    </row>
    <row r="1138" spans="1:9" hidden="1" x14ac:dyDescent="0.3">
      <c r="A1138" s="1">
        <v>2233</v>
      </c>
      <c r="B1138" s="1" t="s">
        <v>2708</v>
      </c>
      <c r="C1138" s="1" t="s">
        <v>2709</v>
      </c>
      <c r="D1138" s="1" t="s">
        <v>2691</v>
      </c>
      <c r="E1138" s="1" t="s">
        <v>2692</v>
      </c>
      <c r="F1138" s="1">
        <v>1</v>
      </c>
      <c r="G1138" s="1" t="s">
        <v>143</v>
      </c>
      <c r="I1138" s="1" t="s">
        <v>123</v>
      </c>
    </row>
    <row r="1139" spans="1:9" hidden="1" x14ac:dyDescent="0.3">
      <c r="A1139" s="1">
        <v>2234</v>
      </c>
      <c r="B1139" s="1" t="s">
        <v>2710</v>
      </c>
      <c r="C1139" s="1" t="s">
        <v>2711</v>
      </c>
      <c r="D1139" s="1" t="s">
        <v>2691</v>
      </c>
      <c r="E1139" s="1" t="s">
        <v>2692</v>
      </c>
      <c r="F1139" s="1">
        <v>0</v>
      </c>
      <c r="G1139" s="1" t="s">
        <v>82</v>
      </c>
      <c r="I1139" s="1" t="s">
        <v>123</v>
      </c>
    </row>
    <row r="1140" spans="1:9" hidden="1" x14ac:dyDescent="0.3">
      <c r="A1140" s="1">
        <v>2235</v>
      </c>
      <c r="B1140" s="1" t="s">
        <v>2712</v>
      </c>
      <c r="C1140" s="1" t="s">
        <v>2713</v>
      </c>
      <c r="D1140" s="1" t="s">
        <v>422</v>
      </c>
      <c r="E1140" s="1" t="s">
        <v>340</v>
      </c>
      <c r="F1140" s="1">
        <v>0</v>
      </c>
      <c r="G1140" s="1" t="s">
        <v>82</v>
      </c>
      <c r="I1140" s="1" t="s">
        <v>188</v>
      </c>
    </row>
    <row r="1141" spans="1:9" hidden="1" x14ac:dyDescent="0.3">
      <c r="A1141" s="1">
        <v>2236</v>
      </c>
      <c r="B1141" s="1" t="s">
        <v>2714</v>
      </c>
      <c r="C1141" s="1" t="s">
        <v>2715</v>
      </c>
      <c r="D1141" s="1" t="s">
        <v>422</v>
      </c>
      <c r="E1141" s="1" t="s">
        <v>340</v>
      </c>
      <c r="F1141" s="1">
        <v>1</v>
      </c>
      <c r="G1141" s="1" t="s">
        <v>143</v>
      </c>
    </row>
    <row r="1142" spans="1:9" hidden="1" x14ac:dyDescent="0.3">
      <c r="A1142" s="1">
        <v>2237</v>
      </c>
      <c r="B1142" s="1" t="s">
        <v>2716</v>
      </c>
      <c r="C1142" s="1" t="s">
        <v>2717</v>
      </c>
      <c r="D1142" s="1" t="s">
        <v>252</v>
      </c>
      <c r="E1142" s="1" t="s">
        <v>1327</v>
      </c>
      <c r="F1142" s="1">
        <v>1</v>
      </c>
      <c r="G1142" s="1" t="s">
        <v>143</v>
      </c>
    </row>
    <row r="1143" spans="1:9" hidden="1" x14ac:dyDescent="0.3">
      <c r="A1143" s="1">
        <v>2238</v>
      </c>
      <c r="B1143" s="1" t="s">
        <v>2718</v>
      </c>
      <c r="C1143" s="1" t="s">
        <v>2719</v>
      </c>
      <c r="D1143" s="1" t="s">
        <v>278</v>
      </c>
      <c r="E1143" s="1" t="s">
        <v>2498</v>
      </c>
      <c r="F1143" s="1">
        <v>1</v>
      </c>
      <c r="G1143" s="1" t="s">
        <v>143</v>
      </c>
    </row>
    <row r="1144" spans="1:9" hidden="1" x14ac:dyDescent="0.3">
      <c r="A1144" s="1">
        <v>2239</v>
      </c>
      <c r="B1144" s="1" t="s">
        <v>2720</v>
      </c>
      <c r="C1144" s="1" t="s">
        <v>2721</v>
      </c>
      <c r="D1144" s="1" t="s">
        <v>2184</v>
      </c>
      <c r="E1144" s="1" t="s">
        <v>1114</v>
      </c>
      <c r="F1144" s="1">
        <v>1</v>
      </c>
      <c r="G1144" s="1" t="s">
        <v>143</v>
      </c>
    </row>
    <row r="1145" spans="1:9" hidden="1" x14ac:dyDescent="0.3">
      <c r="A1145" s="1">
        <v>2240</v>
      </c>
      <c r="B1145" s="1" t="s">
        <v>2722</v>
      </c>
      <c r="C1145" s="1" t="s">
        <v>2723</v>
      </c>
      <c r="D1145" s="1" t="s">
        <v>336</v>
      </c>
      <c r="E1145" s="1" t="s">
        <v>331</v>
      </c>
      <c r="F1145" s="1">
        <v>1</v>
      </c>
      <c r="G1145" s="1" t="s">
        <v>143</v>
      </c>
    </row>
    <row r="1146" spans="1:9" hidden="1" x14ac:dyDescent="0.3">
      <c r="A1146" s="1">
        <v>2241</v>
      </c>
      <c r="B1146" s="1" t="s">
        <v>2724</v>
      </c>
      <c r="C1146" s="1" t="s">
        <v>2725</v>
      </c>
      <c r="D1146" s="1" t="s">
        <v>2691</v>
      </c>
      <c r="E1146" s="1" t="s">
        <v>2692</v>
      </c>
      <c r="F1146" s="1">
        <v>0</v>
      </c>
      <c r="G1146" s="1" t="s">
        <v>82</v>
      </c>
      <c r="I1146" s="1" t="s">
        <v>123</v>
      </c>
    </row>
    <row r="1147" spans="1:9" hidden="1" x14ac:dyDescent="0.3">
      <c r="A1147" s="1">
        <v>2242</v>
      </c>
      <c r="B1147" s="1" t="s">
        <v>2726</v>
      </c>
      <c r="C1147" s="1" t="s">
        <v>2727</v>
      </c>
      <c r="D1147" s="1" t="s">
        <v>2691</v>
      </c>
      <c r="E1147" s="1" t="s">
        <v>2692</v>
      </c>
      <c r="F1147" s="1">
        <v>0</v>
      </c>
      <c r="G1147" s="1" t="s">
        <v>82</v>
      </c>
      <c r="I1147" s="1" t="s">
        <v>123</v>
      </c>
    </row>
    <row r="1148" spans="1:9" hidden="1" x14ac:dyDescent="0.3">
      <c r="A1148" s="1">
        <v>2243</v>
      </c>
      <c r="B1148" s="1" t="s">
        <v>2728</v>
      </c>
      <c r="C1148" s="1" t="s">
        <v>2729</v>
      </c>
      <c r="D1148" s="1" t="s">
        <v>2691</v>
      </c>
      <c r="E1148" s="1" t="s">
        <v>2692</v>
      </c>
      <c r="F1148" s="1">
        <v>0</v>
      </c>
      <c r="G1148" s="1" t="s">
        <v>82</v>
      </c>
      <c r="I1148" s="1" t="s">
        <v>123</v>
      </c>
    </row>
    <row r="1149" spans="1:9" hidden="1" x14ac:dyDescent="0.3">
      <c r="A1149" s="1">
        <v>2244</v>
      </c>
      <c r="B1149" s="1" t="s">
        <v>2730</v>
      </c>
      <c r="C1149" s="1" t="s">
        <v>2731</v>
      </c>
      <c r="D1149" s="1" t="s">
        <v>2691</v>
      </c>
      <c r="E1149" s="1" t="s">
        <v>2692</v>
      </c>
      <c r="F1149" s="1">
        <v>0</v>
      </c>
      <c r="G1149" s="1" t="s">
        <v>82</v>
      </c>
      <c r="I1149" s="1" t="s">
        <v>123</v>
      </c>
    </row>
    <row r="1150" spans="1:9" hidden="1" x14ac:dyDescent="0.3">
      <c r="A1150" s="1">
        <v>2245</v>
      </c>
      <c r="B1150" s="1" t="s">
        <v>2732</v>
      </c>
      <c r="C1150" s="1" t="s">
        <v>2733</v>
      </c>
      <c r="D1150" s="1" t="s">
        <v>2691</v>
      </c>
      <c r="E1150" s="1" t="s">
        <v>2692</v>
      </c>
      <c r="F1150" s="1">
        <v>0</v>
      </c>
      <c r="G1150" s="1" t="s">
        <v>82</v>
      </c>
      <c r="I1150" s="1" t="s">
        <v>123</v>
      </c>
    </row>
    <row r="1151" spans="1:9" hidden="1" x14ac:dyDescent="0.3">
      <c r="A1151" s="1">
        <v>2246</v>
      </c>
      <c r="B1151" s="1" t="s">
        <v>2734</v>
      </c>
      <c r="C1151" s="1" t="s">
        <v>2735</v>
      </c>
      <c r="D1151" s="1" t="s">
        <v>2691</v>
      </c>
      <c r="E1151" s="1" t="s">
        <v>2692</v>
      </c>
      <c r="F1151" s="1">
        <v>0</v>
      </c>
      <c r="G1151" s="1" t="s">
        <v>82</v>
      </c>
      <c r="I1151" s="1" t="s">
        <v>123</v>
      </c>
    </row>
    <row r="1152" spans="1:9" hidden="1" x14ac:dyDescent="0.3">
      <c r="A1152" s="1">
        <v>2247</v>
      </c>
      <c r="B1152" s="1" t="s">
        <v>2736</v>
      </c>
      <c r="C1152" s="1" t="s">
        <v>2737</v>
      </c>
      <c r="D1152" s="1" t="s">
        <v>2691</v>
      </c>
      <c r="E1152" s="1" t="s">
        <v>2692</v>
      </c>
      <c r="F1152" s="1">
        <v>0</v>
      </c>
      <c r="G1152" s="1" t="s">
        <v>82</v>
      </c>
      <c r="I1152" s="1" t="s">
        <v>123</v>
      </c>
    </row>
    <row r="1153" spans="1:9" hidden="1" x14ac:dyDescent="0.3">
      <c r="A1153" s="1">
        <v>2248</v>
      </c>
      <c r="B1153" s="1" t="s">
        <v>2738</v>
      </c>
      <c r="C1153" s="1" t="s">
        <v>2739</v>
      </c>
      <c r="D1153" s="1" t="s">
        <v>278</v>
      </c>
      <c r="E1153" s="1" t="s">
        <v>2498</v>
      </c>
      <c r="F1153" s="1">
        <v>1</v>
      </c>
      <c r="G1153" s="1" t="s">
        <v>143</v>
      </c>
    </row>
    <row r="1154" spans="1:9" hidden="1" x14ac:dyDescent="0.3">
      <c r="A1154" s="1">
        <v>2249</v>
      </c>
      <c r="B1154" s="1" t="s">
        <v>2740</v>
      </c>
      <c r="C1154" s="1" t="s">
        <v>2741</v>
      </c>
      <c r="D1154" s="1" t="s">
        <v>252</v>
      </c>
      <c r="E1154" s="1" t="s">
        <v>1327</v>
      </c>
      <c r="F1154" s="1">
        <v>1</v>
      </c>
      <c r="G1154" s="1" t="s">
        <v>143</v>
      </c>
    </row>
    <row r="1155" spans="1:9" hidden="1" x14ac:dyDescent="0.3">
      <c r="A1155" s="1">
        <v>2250</v>
      </c>
      <c r="B1155" s="1" t="s">
        <v>2742</v>
      </c>
      <c r="C1155" s="1" t="s">
        <v>2743</v>
      </c>
      <c r="D1155" s="1" t="s">
        <v>323</v>
      </c>
      <c r="E1155" s="1" t="s">
        <v>122</v>
      </c>
      <c r="F1155" s="1">
        <v>0</v>
      </c>
      <c r="G1155" s="1" t="s">
        <v>82</v>
      </c>
      <c r="I1155" s="1" t="s">
        <v>123</v>
      </c>
    </row>
    <row r="1156" spans="1:9" hidden="1" x14ac:dyDescent="0.3">
      <c r="A1156" s="1">
        <v>2251</v>
      </c>
      <c r="B1156" s="1" t="s">
        <v>2744</v>
      </c>
      <c r="C1156" s="1" t="s">
        <v>2745</v>
      </c>
      <c r="D1156" s="1" t="s">
        <v>422</v>
      </c>
      <c r="E1156" s="1" t="s">
        <v>1327</v>
      </c>
      <c r="F1156" s="1">
        <v>1</v>
      </c>
      <c r="G1156" s="1" t="s">
        <v>143</v>
      </c>
    </row>
    <row r="1157" spans="1:9" hidden="1" x14ac:dyDescent="0.3">
      <c r="A1157" s="1">
        <v>2252</v>
      </c>
      <c r="B1157" s="1" t="s">
        <v>2746</v>
      </c>
      <c r="C1157" s="1" t="s">
        <v>2747</v>
      </c>
      <c r="D1157" s="1" t="s">
        <v>1642</v>
      </c>
      <c r="E1157" s="1" t="s">
        <v>142</v>
      </c>
      <c r="F1157" s="1">
        <v>0</v>
      </c>
      <c r="G1157" s="1" t="s">
        <v>82</v>
      </c>
      <c r="I1157" s="1" t="s">
        <v>123</v>
      </c>
    </row>
    <row r="1158" spans="1:9" hidden="1" x14ac:dyDescent="0.3">
      <c r="A1158" s="1">
        <v>2253</v>
      </c>
      <c r="B1158" s="1" t="s">
        <v>2748</v>
      </c>
      <c r="C1158" s="1" t="s">
        <v>2749</v>
      </c>
      <c r="D1158" s="1" t="s">
        <v>2189</v>
      </c>
      <c r="E1158" s="1" t="s">
        <v>1114</v>
      </c>
      <c r="F1158" s="1">
        <v>1</v>
      </c>
      <c r="G1158" s="1" t="s">
        <v>143</v>
      </c>
    </row>
    <row r="1159" spans="1:9" hidden="1" x14ac:dyDescent="0.3">
      <c r="A1159" s="1">
        <v>2254</v>
      </c>
      <c r="B1159" s="1" t="s">
        <v>2750</v>
      </c>
      <c r="C1159" s="1" t="s">
        <v>2751</v>
      </c>
      <c r="D1159" s="1" t="s">
        <v>278</v>
      </c>
      <c r="E1159" s="1" t="s">
        <v>1114</v>
      </c>
      <c r="F1159" s="1">
        <v>1</v>
      </c>
      <c r="G1159" s="1" t="s">
        <v>143</v>
      </c>
    </row>
    <row r="1160" spans="1:9" hidden="1" x14ac:dyDescent="0.3">
      <c r="A1160" s="1">
        <v>2255</v>
      </c>
      <c r="B1160" s="1" t="s">
        <v>2752</v>
      </c>
      <c r="C1160" s="1" t="s">
        <v>2753</v>
      </c>
      <c r="D1160" s="1" t="s">
        <v>693</v>
      </c>
      <c r="E1160" s="1" t="s">
        <v>134</v>
      </c>
      <c r="F1160" s="1">
        <v>1</v>
      </c>
      <c r="G1160" s="1" t="s">
        <v>143</v>
      </c>
      <c r="I1160" s="1" t="s">
        <v>123</v>
      </c>
    </row>
    <row r="1161" spans="1:9" hidden="1" x14ac:dyDescent="0.3">
      <c r="A1161" s="1">
        <v>2256</v>
      </c>
      <c r="B1161" s="1" t="s">
        <v>2754</v>
      </c>
      <c r="C1161" s="1" t="s">
        <v>2755</v>
      </c>
      <c r="D1161" s="1" t="s">
        <v>278</v>
      </c>
      <c r="E1161" s="1" t="s">
        <v>340</v>
      </c>
      <c r="F1161" s="1">
        <v>0</v>
      </c>
      <c r="G1161" s="1" t="s">
        <v>82</v>
      </c>
      <c r="I1161" s="1" t="s">
        <v>188</v>
      </c>
    </row>
    <row r="1162" spans="1:9" hidden="1" x14ac:dyDescent="0.3">
      <c r="A1162" s="1">
        <v>2257</v>
      </c>
      <c r="B1162" s="1" t="s">
        <v>2756</v>
      </c>
      <c r="C1162" s="1" t="s">
        <v>2757</v>
      </c>
      <c r="D1162" s="1" t="s">
        <v>345</v>
      </c>
      <c r="E1162" s="1" t="s">
        <v>331</v>
      </c>
      <c r="F1162" s="1">
        <v>1</v>
      </c>
      <c r="G1162" s="1" t="s">
        <v>143</v>
      </c>
    </row>
    <row r="1163" spans="1:9" hidden="1" x14ac:dyDescent="0.3">
      <c r="A1163" s="1">
        <v>2258</v>
      </c>
      <c r="B1163" s="1" t="s">
        <v>2758</v>
      </c>
      <c r="C1163" s="1" t="s">
        <v>2759</v>
      </c>
      <c r="D1163" s="1" t="s">
        <v>252</v>
      </c>
      <c r="E1163" s="1" t="s">
        <v>340</v>
      </c>
      <c r="F1163" s="1">
        <v>1</v>
      </c>
      <c r="G1163" s="1" t="s">
        <v>143</v>
      </c>
    </row>
    <row r="1164" spans="1:9" hidden="1" x14ac:dyDescent="0.3">
      <c r="A1164" s="1">
        <v>2259</v>
      </c>
      <c r="B1164" s="1" t="s">
        <v>2760</v>
      </c>
      <c r="C1164" s="1" t="s">
        <v>2761</v>
      </c>
      <c r="D1164" s="1" t="s">
        <v>252</v>
      </c>
      <c r="E1164" s="1" t="s">
        <v>340</v>
      </c>
      <c r="F1164" s="1">
        <v>0</v>
      </c>
      <c r="G1164" s="1" t="s">
        <v>82</v>
      </c>
      <c r="I1164" s="1" t="s">
        <v>188</v>
      </c>
    </row>
    <row r="1165" spans="1:9" hidden="1" x14ac:dyDescent="0.3">
      <c r="A1165" s="1">
        <v>2260</v>
      </c>
      <c r="B1165" s="1" t="s">
        <v>2762</v>
      </c>
      <c r="C1165" s="1" t="s">
        <v>2763</v>
      </c>
      <c r="D1165" s="1" t="s">
        <v>422</v>
      </c>
      <c r="E1165" s="1" t="s">
        <v>147</v>
      </c>
      <c r="F1165" s="1">
        <v>1</v>
      </c>
      <c r="G1165" s="1" t="s">
        <v>143</v>
      </c>
    </row>
    <row r="1166" spans="1:9" hidden="1" x14ac:dyDescent="0.3">
      <c r="A1166" s="1">
        <v>2261</v>
      </c>
      <c r="B1166" s="1" t="s">
        <v>2764</v>
      </c>
      <c r="C1166" s="1" t="s">
        <v>2765</v>
      </c>
      <c r="D1166" s="1" t="s">
        <v>252</v>
      </c>
      <c r="E1166" s="1" t="s">
        <v>2498</v>
      </c>
      <c r="F1166" s="1">
        <v>1</v>
      </c>
      <c r="G1166" s="1" t="s">
        <v>143</v>
      </c>
    </row>
    <row r="1167" spans="1:9" hidden="1" x14ac:dyDescent="0.3">
      <c r="A1167" s="1">
        <v>2262</v>
      </c>
      <c r="B1167" s="1" t="s">
        <v>2766</v>
      </c>
      <c r="C1167" s="1" t="s">
        <v>2767</v>
      </c>
      <c r="D1167" s="1" t="s">
        <v>258</v>
      </c>
      <c r="E1167" s="1" t="s">
        <v>147</v>
      </c>
      <c r="F1167" s="1">
        <v>0</v>
      </c>
      <c r="G1167" s="1" t="s">
        <v>82</v>
      </c>
      <c r="I1167" s="1" t="s">
        <v>188</v>
      </c>
    </row>
    <row r="1168" spans="1:9" hidden="1" x14ac:dyDescent="0.3">
      <c r="A1168" s="1">
        <v>2263</v>
      </c>
      <c r="B1168" s="1" t="s">
        <v>2768</v>
      </c>
      <c r="C1168" s="1" t="s">
        <v>2769</v>
      </c>
      <c r="D1168" s="1" t="s">
        <v>422</v>
      </c>
      <c r="E1168" s="1" t="s">
        <v>2498</v>
      </c>
      <c r="F1168" s="1">
        <v>1</v>
      </c>
      <c r="G1168" s="1" t="s">
        <v>143</v>
      </c>
    </row>
    <row r="1169" spans="1:9" hidden="1" x14ac:dyDescent="0.3">
      <c r="A1169" s="1">
        <v>2264</v>
      </c>
      <c r="B1169" s="1" t="s">
        <v>2770</v>
      </c>
      <c r="C1169" s="1" t="s">
        <v>2771</v>
      </c>
      <c r="D1169" s="1" t="s">
        <v>422</v>
      </c>
      <c r="E1169" s="1" t="s">
        <v>2498</v>
      </c>
      <c r="F1169" s="1">
        <v>1</v>
      </c>
      <c r="G1169" s="1" t="s">
        <v>143</v>
      </c>
    </row>
    <row r="1170" spans="1:9" hidden="1" x14ac:dyDescent="0.3">
      <c r="A1170" s="1">
        <v>2265</v>
      </c>
      <c r="B1170" s="1" t="s">
        <v>2772</v>
      </c>
      <c r="C1170" s="1" t="s">
        <v>2773</v>
      </c>
      <c r="D1170" s="1" t="s">
        <v>422</v>
      </c>
      <c r="E1170" s="1" t="s">
        <v>2498</v>
      </c>
      <c r="F1170" s="1">
        <v>1</v>
      </c>
      <c r="G1170" s="1" t="s">
        <v>143</v>
      </c>
    </row>
    <row r="1171" spans="1:9" hidden="1" x14ac:dyDescent="0.3">
      <c r="A1171" s="1">
        <v>2266</v>
      </c>
      <c r="B1171" s="1" t="s">
        <v>2774</v>
      </c>
      <c r="C1171" s="1" t="s">
        <v>2775</v>
      </c>
      <c r="D1171" s="1" t="s">
        <v>252</v>
      </c>
      <c r="E1171" s="1" t="s">
        <v>340</v>
      </c>
      <c r="F1171" s="1">
        <v>1</v>
      </c>
      <c r="G1171" s="1" t="s">
        <v>143</v>
      </c>
      <c r="I1171" s="1" t="s">
        <v>188</v>
      </c>
    </row>
    <row r="1172" spans="1:9" hidden="1" x14ac:dyDescent="0.3">
      <c r="A1172" s="1">
        <v>2267</v>
      </c>
      <c r="B1172" s="1" t="s">
        <v>2776</v>
      </c>
      <c r="C1172" s="1" t="s">
        <v>2777</v>
      </c>
      <c r="D1172" s="1" t="s">
        <v>422</v>
      </c>
      <c r="E1172" s="1" t="s">
        <v>340</v>
      </c>
      <c r="F1172" s="1">
        <v>1</v>
      </c>
      <c r="G1172" s="1" t="s">
        <v>143</v>
      </c>
      <c r="I1172" s="1" t="s">
        <v>188</v>
      </c>
    </row>
    <row r="1173" spans="1:9" hidden="1" x14ac:dyDescent="0.3">
      <c r="A1173" s="1">
        <v>2268</v>
      </c>
      <c r="B1173" s="1" t="s">
        <v>2778</v>
      </c>
      <c r="C1173" s="1" t="s">
        <v>2779</v>
      </c>
      <c r="D1173" s="1" t="s">
        <v>779</v>
      </c>
      <c r="E1173" s="1" t="s">
        <v>1327</v>
      </c>
      <c r="F1173" s="1">
        <v>1</v>
      </c>
      <c r="G1173" s="1" t="s">
        <v>143</v>
      </c>
    </row>
    <row r="1174" spans="1:9" hidden="1" x14ac:dyDescent="0.3">
      <c r="A1174" s="1">
        <v>2269</v>
      </c>
      <c r="B1174" s="1" t="s">
        <v>2780</v>
      </c>
      <c r="C1174" s="1" t="s">
        <v>2781</v>
      </c>
      <c r="D1174" s="1" t="s">
        <v>422</v>
      </c>
      <c r="E1174" s="1" t="s">
        <v>2498</v>
      </c>
      <c r="F1174" s="1">
        <v>1</v>
      </c>
      <c r="G1174" s="1" t="s">
        <v>143</v>
      </c>
    </row>
    <row r="1175" spans="1:9" hidden="1" x14ac:dyDescent="0.3">
      <c r="A1175" s="1">
        <v>2270</v>
      </c>
      <c r="B1175" s="1" t="s">
        <v>2782</v>
      </c>
      <c r="C1175" s="1" t="s">
        <v>2783</v>
      </c>
      <c r="D1175" s="1" t="s">
        <v>422</v>
      </c>
      <c r="E1175" s="1" t="s">
        <v>2498</v>
      </c>
      <c r="F1175" s="1">
        <v>1</v>
      </c>
      <c r="G1175" s="1" t="s">
        <v>143</v>
      </c>
    </row>
    <row r="1176" spans="1:9" hidden="1" x14ac:dyDescent="0.3">
      <c r="A1176" s="1">
        <v>2271</v>
      </c>
      <c r="B1176" s="1" t="s">
        <v>2784</v>
      </c>
      <c r="C1176" s="1" t="s">
        <v>2785</v>
      </c>
      <c r="D1176" s="1" t="s">
        <v>422</v>
      </c>
      <c r="E1176" s="1" t="s">
        <v>1327</v>
      </c>
      <c r="F1176" s="1">
        <v>1</v>
      </c>
      <c r="G1176" s="1" t="s">
        <v>143</v>
      </c>
    </row>
    <row r="1177" spans="1:9" hidden="1" x14ac:dyDescent="0.3">
      <c r="A1177" s="1">
        <v>2272</v>
      </c>
      <c r="B1177" s="1" t="s">
        <v>2786</v>
      </c>
      <c r="C1177" s="1" t="s">
        <v>2787</v>
      </c>
      <c r="D1177" s="1" t="s">
        <v>252</v>
      </c>
      <c r="E1177" s="1" t="s">
        <v>1327</v>
      </c>
      <c r="F1177" s="1">
        <v>0</v>
      </c>
      <c r="G1177" s="1" t="s">
        <v>82</v>
      </c>
      <c r="I1177" s="1" t="s">
        <v>188</v>
      </c>
    </row>
    <row r="1178" spans="1:9" hidden="1" x14ac:dyDescent="0.3">
      <c r="A1178" s="1">
        <v>2273</v>
      </c>
      <c r="B1178" s="1" t="s">
        <v>2788</v>
      </c>
      <c r="C1178" s="1" t="s">
        <v>2789</v>
      </c>
      <c r="D1178" s="1" t="s">
        <v>252</v>
      </c>
      <c r="E1178" s="1" t="s">
        <v>2498</v>
      </c>
      <c r="F1178" s="1">
        <v>1</v>
      </c>
      <c r="G1178" s="1" t="s">
        <v>143</v>
      </c>
    </row>
    <row r="1179" spans="1:9" hidden="1" x14ac:dyDescent="0.3">
      <c r="A1179" s="1">
        <v>2274</v>
      </c>
      <c r="B1179" s="1" t="s">
        <v>2790</v>
      </c>
      <c r="C1179" s="1" t="s">
        <v>2791</v>
      </c>
      <c r="D1179" s="1" t="s">
        <v>422</v>
      </c>
      <c r="E1179" s="1" t="s">
        <v>147</v>
      </c>
      <c r="F1179" s="1">
        <v>1</v>
      </c>
      <c r="G1179" s="1" t="s">
        <v>143</v>
      </c>
    </row>
    <row r="1180" spans="1:9" hidden="1" x14ac:dyDescent="0.3">
      <c r="A1180" s="1">
        <v>2275</v>
      </c>
      <c r="B1180" s="1" t="s">
        <v>2792</v>
      </c>
      <c r="C1180" s="1" t="s">
        <v>2793</v>
      </c>
      <c r="D1180" s="1" t="s">
        <v>422</v>
      </c>
      <c r="E1180" s="1" t="s">
        <v>2498</v>
      </c>
      <c r="F1180" s="1">
        <v>1</v>
      </c>
      <c r="G1180" s="1" t="s">
        <v>143</v>
      </c>
    </row>
    <row r="1181" spans="1:9" hidden="1" x14ac:dyDescent="0.3">
      <c r="A1181" s="1">
        <v>2276</v>
      </c>
      <c r="B1181" s="1" t="s">
        <v>2794</v>
      </c>
      <c r="C1181" s="1" t="s">
        <v>2795</v>
      </c>
      <c r="D1181" s="1" t="s">
        <v>2189</v>
      </c>
      <c r="E1181" s="1" t="s">
        <v>1114</v>
      </c>
      <c r="F1181" s="1">
        <v>0</v>
      </c>
      <c r="G1181" s="1" t="s">
        <v>82</v>
      </c>
      <c r="I1181" s="1" t="s">
        <v>188</v>
      </c>
    </row>
    <row r="1182" spans="1:9" hidden="1" x14ac:dyDescent="0.3">
      <c r="A1182" s="1">
        <v>2277</v>
      </c>
      <c r="B1182" s="1" t="s">
        <v>2796</v>
      </c>
      <c r="C1182" s="1" t="s">
        <v>2797</v>
      </c>
      <c r="D1182" s="1" t="s">
        <v>252</v>
      </c>
      <c r="E1182" s="1" t="s">
        <v>1327</v>
      </c>
      <c r="F1182" s="1">
        <v>1</v>
      </c>
      <c r="G1182" s="1" t="s">
        <v>143</v>
      </c>
      <c r="I1182" s="1" t="s">
        <v>188</v>
      </c>
    </row>
    <row r="1183" spans="1:9" hidden="1" x14ac:dyDescent="0.3">
      <c r="A1183" s="1">
        <v>2278</v>
      </c>
      <c r="B1183" s="1" t="s">
        <v>2798</v>
      </c>
      <c r="C1183" s="1" t="s">
        <v>2799</v>
      </c>
      <c r="D1183" s="1" t="s">
        <v>422</v>
      </c>
      <c r="E1183" s="1" t="s">
        <v>2498</v>
      </c>
      <c r="F1183" s="1">
        <v>1</v>
      </c>
      <c r="G1183" s="1" t="s">
        <v>143</v>
      </c>
    </row>
    <row r="1184" spans="1:9" hidden="1" x14ac:dyDescent="0.3">
      <c r="A1184" s="1">
        <v>2279</v>
      </c>
      <c r="B1184" s="1" t="s">
        <v>2800</v>
      </c>
      <c r="C1184" s="1" t="s">
        <v>2801</v>
      </c>
      <c r="D1184" s="1" t="s">
        <v>1030</v>
      </c>
      <c r="E1184" s="1" t="s">
        <v>134</v>
      </c>
      <c r="F1184" s="1">
        <v>0</v>
      </c>
      <c r="G1184" s="1" t="s">
        <v>82</v>
      </c>
      <c r="I1184" s="1" t="s">
        <v>123</v>
      </c>
    </row>
    <row r="1185" spans="1:9" hidden="1" x14ac:dyDescent="0.3">
      <c r="A1185" s="1">
        <v>2280</v>
      </c>
      <c r="B1185" s="1" t="s">
        <v>2802</v>
      </c>
      <c r="C1185" s="1" t="s">
        <v>2803</v>
      </c>
      <c r="D1185" s="1" t="s">
        <v>422</v>
      </c>
      <c r="E1185" s="1" t="s">
        <v>2498</v>
      </c>
      <c r="F1185" s="1">
        <v>1</v>
      </c>
      <c r="G1185" s="1" t="s">
        <v>143</v>
      </c>
    </row>
    <row r="1186" spans="1:9" hidden="1" x14ac:dyDescent="0.3">
      <c r="A1186" s="1">
        <v>2281</v>
      </c>
      <c r="B1186" s="1" t="s">
        <v>2804</v>
      </c>
      <c r="C1186" s="1" t="s">
        <v>2805</v>
      </c>
      <c r="D1186" s="1" t="s">
        <v>422</v>
      </c>
      <c r="E1186" s="1" t="s">
        <v>2498</v>
      </c>
      <c r="F1186" s="1">
        <v>1</v>
      </c>
      <c r="G1186" s="1" t="s">
        <v>143</v>
      </c>
    </row>
    <row r="1187" spans="1:9" hidden="1" x14ac:dyDescent="0.3">
      <c r="A1187" s="1">
        <v>2282</v>
      </c>
      <c r="B1187" s="1" t="s">
        <v>2806</v>
      </c>
      <c r="C1187" s="1" t="s">
        <v>2807</v>
      </c>
      <c r="D1187" s="1" t="s">
        <v>422</v>
      </c>
      <c r="E1187" s="1" t="s">
        <v>2498</v>
      </c>
      <c r="F1187" s="1">
        <v>1</v>
      </c>
      <c r="G1187" s="1" t="s">
        <v>143</v>
      </c>
    </row>
    <row r="1188" spans="1:9" hidden="1" x14ac:dyDescent="0.3">
      <c r="A1188" s="1">
        <v>2283</v>
      </c>
      <c r="B1188" s="1" t="s">
        <v>2808</v>
      </c>
      <c r="C1188" s="1" t="s">
        <v>2809</v>
      </c>
      <c r="D1188" s="1" t="s">
        <v>422</v>
      </c>
      <c r="E1188" s="1" t="s">
        <v>2498</v>
      </c>
      <c r="F1188" s="1">
        <v>1</v>
      </c>
      <c r="G1188" s="1" t="s">
        <v>143</v>
      </c>
    </row>
    <row r="1189" spans="1:9" hidden="1" x14ac:dyDescent="0.3">
      <c r="A1189" s="1">
        <v>2284</v>
      </c>
      <c r="B1189" s="1" t="s">
        <v>2810</v>
      </c>
      <c r="C1189" s="1" t="s">
        <v>2811</v>
      </c>
      <c r="D1189" s="1" t="s">
        <v>422</v>
      </c>
      <c r="E1189" s="1" t="s">
        <v>2498</v>
      </c>
      <c r="F1189" s="1">
        <v>1</v>
      </c>
      <c r="G1189" s="1" t="s">
        <v>143</v>
      </c>
    </row>
    <row r="1190" spans="1:9" hidden="1" x14ac:dyDescent="0.3">
      <c r="A1190" s="1">
        <v>2285</v>
      </c>
      <c r="B1190" s="1" t="s">
        <v>2812</v>
      </c>
      <c r="C1190" s="1" t="s">
        <v>2813</v>
      </c>
      <c r="D1190" s="1" t="s">
        <v>422</v>
      </c>
      <c r="E1190" s="1" t="s">
        <v>1327</v>
      </c>
      <c r="F1190" s="1">
        <v>0</v>
      </c>
      <c r="G1190" s="1" t="s">
        <v>82</v>
      </c>
      <c r="I1190" s="1" t="s">
        <v>188</v>
      </c>
    </row>
    <row r="1191" spans="1:9" hidden="1" x14ac:dyDescent="0.3">
      <c r="A1191" s="1">
        <v>2286</v>
      </c>
      <c r="B1191" s="1" t="s">
        <v>2814</v>
      </c>
      <c r="C1191" s="1" t="s">
        <v>2815</v>
      </c>
      <c r="D1191" s="1" t="s">
        <v>2184</v>
      </c>
      <c r="E1191" s="1" t="s">
        <v>1114</v>
      </c>
      <c r="F1191" s="1">
        <v>1</v>
      </c>
      <c r="G1191" s="1" t="s">
        <v>143</v>
      </c>
    </row>
    <row r="1192" spans="1:9" hidden="1" x14ac:dyDescent="0.3">
      <c r="A1192" s="1">
        <v>2287</v>
      </c>
      <c r="B1192" s="1" t="s">
        <v>2816</v>
      </c>
      <c r="C1192" s="1" t="s">
        <v>2817</v>
      </c>
      <c r="D1192" s="1" t="s">
        <v>422</v>
      </c>
      <c r="E1192" s="1" t="s">
        <v>259</v>
      </c>
      <c r="F1192" s="1">
        <v>1</v>
      </c>
      <c r="G1192" s="1" t="s">
        <v>143</v>
      </c>
    </row>
    <row r="1193" spans="1:9" hidden="1" x14ac:dyDescent="0.3">
      <c r="A1193" s="1">
        <v>2288</v>
      </c>
      <c r="B1193" s="1" t="s">
        <v>2818</v>
      </c>
      <c r="C1193" s="1" t="s">
        <v>2819</v>
      </c>
      <c r="D1193" s="1" t="s">
        <v>252</v>
      </c>
      <c r="E1193" s="1" t="s">
        <v>340</v>
      </c>
      <c r="F1193" s="1">
        <v>0</v>
      </c>
      <c r="G1193" s="1" t="s">
        <v>82</v>
      </c>
      <c r="I1193" s="1" t="s">
        <v>188</v>
      </c>
    </row>
    <row r="1194" spans="1:9" hidden="1" x14ac:dyDescent="0.3">
      <c r="A1194" s="1">
        <v>2289</v>
      </c>
      <c r="B1194" s="1" t="s">
        <v>2820</v>
      </c>
      <c r="C1194" s="1" t="s">
        <v>2821</v>
      </c>
      <c r="D1194" s="1" t="s">
        <v>422</v>
      </c>
      <c r="E1194" s="1" t="s">
        <v>2498</v>
      </c>
      <c r="F1194" s="1">
        <v>1</v>
      </c>
      <c r="G1194" s="1" t="s">
        <v>143</v>
      </c>
    </row>
    <row r="1195" spans="1:9" hidden="1" x14ac:dyDescent="0.3">
      <c r="A1195" s="1">
        <v>2290</v>
      </c>
      <c r="B1195" s="1" t="s">
        <v>2822</v>
      </c>
      <c r="C1195" s="1" t="s">
        <v>2823</v>
      </c>
      <c r="D1195" s="1" t="s">
        <v>422</v>
      </c>
      <c r="E1195" s="1" t="s">
        <v>2498</v>
      </c>
      <c r="F1195" s="1">
        <v>1</v>
      </c>
      <c r="G1195" s="1" t="s">
        <v>143</v>
      </c>
    </row>
    <row r="1196" spans="1:9" hidden="1" x14ac:dyDescent="0.3">
      <c r="A1196" s="1">
        <v>2291</v>
      </c>
      <c r="B1196" s="1" t="s">
        <v>2824</v>
      </c>
      <c r="C1196" s="1" t="s">
        <v>2825</v>
      </c>
      <c r="D1196" s="1" t="s">
        <v>422</v>
      </c>
      <c r="E1196" s="1" t="s">
        <v>2498</v>
      </c>
      <c r="F1196" s="1">
        <v>1</v>
      </c>
      <c r="G1196" s="1" t="s">
        <v>143</v>
      </c>
    </row>
    <row r="1197" spans="1:9" hidden="1" x14ac:dyDescent="0.3">
      <c r="A1197" s="1">
        <v>2292</v>
      </c>
      <c r="B1197" s="1" t="s">
        <v>2826</v>
      </c>
      <c r="C1197" s="1" t="s">
        <v>2827</v>
      </c>
      <c r="D1197" s="1" t="s">
        <v>422</v>
      </c>
      <c r="E1197" s="1" t="s">
        <v>1327</v>
      </c>
      <c r="F1197" s="1">
        <v>1</v>
      </c>
      <c r="G1197" s="1" t="s">
        <v>143</v>
      </c>
    </row>
    <row r="1198" spans="1:9" hidden="1" x14ac:dyDescent="0.3">
      <c r="A1198" s="1">
        <v>2293</v>
      </c>
      <c r="B1198" s="1" t="s">
        <v>2828</v>
      </c>
      <c r="C1198" s="1" t="s">
        <v>2829</v>
      </c>
      <c r="D1198" s="1" t="s">
        <v>422</v>
      </c>
      <c r="E1198" s="1" t="s">
        <v>2498</v>
      </c>
      <c r="F1198" s="1">
        <v>1</v>
      </c>
      <c r="G1198" s="1" t="s">
        <v>143</v>
      </c>
    </row>
    <row r="1199" spans="1:9" hidden="1" x14ac:dyDescent="0.3">
      <c r="A1199" s="1">
        <v>2294</v>
      </c>
      <c r="B1199" s="1" t="s">
        <v>2830</v>
      </c>
      <c r="C1199" s="1" t="s">
        <v>2831</v>
      </c>
      <c r="D1199" s="1" t="s">
        <v>422</v>
      </c>
      <c r="E1199" s="1" t="s">
        <v>2498</v>
      </c>
      <c r="F1199" s="1">
        <v>1</v>
      </c>
      <c r="G1199" s="1" t="s">
        <v>143</v>
      </c>
    </row>
    <row r="1200" spans="1:9" hidden="1" x14ac:dyDescent="0.3">
      <c r="A1200" s="1">
        <v>2295</v>
      </c>
      <c r="B1200" s="1" t="s">
        <v>2832</v>
      </c>
      <c r="C1200" s="1" t="s">
        <v>2833</v>
      </c>
      <c r="D1200" s="1" t="s">
        <v>345</v>
      </c>
      <c r="E1200" s="1" t="s">
        <v>331</v>
      </c>
      <c r="F1200" s="1">
        <v>1</v>
      </c>
      <c r="G1200" s="1" t="s">
        <v>143</v>
      </c>
    </row>
    <row r="1201" spans="1:9" hidden="1" x14ac:dyDescent="0.3">
      <c r="A1201" s="1">
        <v>2296</v>
      </c>
      <c r="B1201" s="1" t="s">
        <v>2834</v>
      </c>
      <c r="C1201" s="1" t="s">
        <v>2835</v>
      </c>
      <c r="D1201" s="1" t="s">
        <v>252</v>
      </c>
      <c r="E1201" s="1" t="s">
        <v>259</v>
      </c>
      <c r="F1201" s="1">
        <v>0</v>
      </c>
      <c r="G1201" s="1" t="s">
        <v>82</v>
      </c>
      <c r="I1201" s="1" t="s">
        <v>188</v>
      </c>
    </row>
    <row r="1202" spans="1:9" hidden="1" x14ac:dyDescent="0.3">
      <c r="A1202" s="1">
        <v>2298</v>
      </c>
      <c r="B1202" s="1" t="s">
        <v>2836</v>
      </c>
      <c r="C1202" s="1" t="s">
        <v>2837</v>
      </c>
      <c r="D1202" s="1" t="s">
        <v>1914</v>
      </c>
      <c r="E1202" s="1" t="s">
        <v>215</v>
      </c>
      <c r="F1202" s="1">
        <v>1</v>
      </c>
      <c r="G1202" s="1" t="s">
        <v>143</v>
      </c>
    </row>
    <row r="1203" spans="1:9" hidden="1" x14ac:dyDescent="0.3">
      <c r="A1203" s="1">
        <v>2299</v>
      </c>
      <c r="B1203" s="1" t="s">
        <v>2838</v>
      </c>
      <c r="C1203" s="1" t="s">
        <v>2839</v>
      </c>
      <c r="D1203" s="1" t="s">
        <v>847</v>
      </c>
      <c r="E1203" s="1" t="s">
        <v>111</v>
      </c>
      <c r="F1203" s="1">
        <v>1</v>
      </c>
      <c r="G1203" s="1" t="s">
        <v>143</v>
      </c>
      <c r="I1203" s="1" t="s">
        <v>123</v>
      </c>
    </row>
    <row r="1204" spans="1:9" hidden="1" x14ac:dyDescent="0.3">
      <c r="A1204" s="1">
        <v>2300</v>
      </c>
      <c r="B1204" s="1" t="s">
        <v>2840</v>
      </c>
      <c r="C1204" s="1" t="s">
        <v>2841</v>
      </c>
      <c r="D1204" s="1" t="s">
        <v>275</v>
      </c>
      <c r="E1204" s="1" t="s">
        <v>118</v>
      </c>
      <c r="F1204" s="1">
        <v>0</v>
      </c>
      <c r="G1204" s="1" t="s">
        <v>82</v>
      </c>
      <c r="I1204" s="1" t="s">
        <v>123</v>
      </c>
    </row>
    <row r="1205" spans="1:9" hidden="1" x14ac:dyDescent="0.3">
      <c r="A1205" s="1">
        <v>2301</v>
      </c>
      <c r="B1205" s="1" t="s">
        <v>2842</v>
      </c>
      <c r="C1205" s="1" t="s">
        <v>2843</v>
      </c>
      <c r="D1205" s="1" t="s">
        <v>2844</v>
      </c>
      <c r="E1205" s="1" t="s">
        <v>505</v>
      </c>
      <c r="F1205" s="1">
        <v>0</v>
      </c>
      <c r="G1205" s="1" t="s">
        <v>82</v>
      </c>
      <c r="I1205" s="1" t="s">
        <v>123</v>
      </c>
    </row>
    <row r="1206" spans="1:9" hidden="1" x14ac:dyDescent="0.3">
      <c r="A1206" s="1">
        <v>2302</v>
      </c>
      <c r="B1206" s="1" t="s">
        <v>2845</v>
      </c>
      <c r="C1206" s="1" t="s">
        <v>2846</v>
      </c>
      <c r="D1206" s="1" t="s">
        <v>422</v>
      </c>
      <c r="E1206" s="1" t="s">
        <v>147</v>
      </c>
      <c r="F1206" s="1">
        <v>1</v>
      </c>
      <c r="G1206" s="1" t="s">
        <v>143</v>
      </c>
    </row>
    <row r="1207" spans="1:9" hidden="1" x14ac:dyDescent="0.3">
      <c r="A1207" s="1">
        <v>2303</v>
      </c>
      <c r="B1207" s="1" t="s">
        <v>2847</v>
      </c>
      <c r="C1207" s="1" t="s">
        <v>2848</v>
      </c>
      <c r="D1207" s="1" t="s">
        <v>278</v>
      </c>
      <c r="E1207" s="1" t="s">
        <v>331</v>
      </c>
      <c r="F1207" s="1">
        <v>1</v>
      </c>
      <c r="G1207" s="1" t="s">
        <v>143</v>
      </c>
    </row>
    <row r="1208" spans="1:9" hidden="1" x14ac:dyDescent="0.3">
      <c r="A1208" s="1">
        <v>2304</v>
      </c>
      <c r="B1208" s="1" t="s">
        <v>2849</v>
      </c>
      <c r="C1208" s="1" t="s">
        <v>2850</v>
      </c>
      <c r="D1208" s="1" t="s">
        <v>512</v>
      </c>
      <c r="E1208" s="1" t="s">
        <v>170</v>
      </c>
      <c r="F1208" s="1">
        <v>1</v>
      </c>
      <c r="G1208" s="1" t="s">
        <v>143</v>
      </c>
    </row>
    <row r="1209" spans="1:9" hidden="1" x14ac:dyDescent="0.3">
      <c r="A1209" s="1">
        <v>2305</v>
      </c>
      <c r="B1209" s="1" t="s">
        <v>2851</v>
      </c>
      <c r="C1209" s="1" t="s">
        <v>2852</v>
      </c>
      <c r="D1209" s="1" t="s">
        <v>2327</v>
      </c>
      <c r="E1209" s="1" t="s">
        <v>170</v>
      </c>
      <c r="F1209" s="1">
        <v>1</v>
      </c>
      <c r="G1209" s="1" t="s">
        <v>143</v>
      </c>
    </row>
    <row r="1210" spans="1:9" hidden="1" x14ac:dyDescent="0.3">
      <c r="A1210" s="1">
        <v>2306</v>
      </c>
      <c r="B1210" s="1" t="s">
        <v>2853</v>
      </c>
      <c r="C1210" s="1" t="s">
        <v>2854</v>
      </c>
      <c r="D1210" s="1" t="s">
        <v>2304</v>
      </c>
      <c r="E1210" s="1" t="s">
        <v>505</v>
      </c>
      <c r="F1210" s="1">
        <v>1</v>
      </c>
      <c r="G1210" s="1" t="s">
        <v>143</v>
      </c>
    </row>
    <row r="1211" spans="1:9" hidden="1" x14ac:dyDescent="0.3">
      <c r="A1211" s="1">
        <v>2307</v>
      </c>
      <c r="B1211" s="1" t="s">
        <v>2855</v>
      </c>
      <c r="C1211" s="1" t="s">
        <v>2856</v>
      </c>
      <c r="D1211" s="1" t="s">
        <v>1914</v>
      </c>
      <c r="E1211" s="1" t="s">
        <v>215</v>
      </c>
      <c r="F1211" s="1">
        <v>1</v>
      </c>
      <c r="G1211" s="1" t="s">
        <v>143</v>
      </c>
    </row>
    <row r="1212" spans="1:9" hidden="1" x14ac:dyDescent="0.3">
      <c r="A1212" s="1">
        <v>2308</v>
      </c>
      <c r="B1212" s="1" t="s">
        <v>2857</v>
      </c>
      <c r="C1212" s="1" t="s">
        <v>2857</v>
      </c>
      <c r="D1212" s="1" t="s">
        <v>357</v>
      </c>
      <c r="E1212" s="1" t="s">
        <v>215</v>
      </c>
      <c r="F1212" s="1">
        <v>1</v>
      </c>
      <c r="G1212" s="1" t="s">
        <v>143</v>
      </c>
    </row>
    <row r="1213" spans="1:9" hidden="1" x14ac:dyDescent="0.3">
      <c r="A1213" s="1">
        <v>2309</v>
      </c>
      <c r="B1213" s="1" t="s">
        <v>2858</v>
      </c>
      <c r="C1213" s="1" t="s">
        <v>2859</v>
      </c>
      <c r="D1213" s="1" t="s">
        <v>221</v>
      </c>
      <c r="E1213" s="1" t="s">
        <v>197</v>
      </c>
      <c r="F1213" s="1">
        <v>0</v>
      </c>
      <c r="G1213" s="1" t="s">
        <v>82</v>
      </c>
      <c r="I1213" s="1" t="s">
        <v>123</v>
      </c>
    </row>
    <row r="1214" spans="1:9" hidden="1" x14ac:dyDescent="0.3">
      <c r="A1214" s="1">
        <v>2310</v>
      </c>
      <c r="B1214" s="1" t="s">
        <v>2860</v>
      </c>
      <c r="C1214" s="1" t="s">
        <v>2861</v>
      </c>
      <c r="D1214" s="1" t="s">
        <v>252</v>
      </c>
      <c r="E1214" s="1" t="s">
        <v>259</v>
      </c>
      <c r="F1214" s="1">
        <v>1</v>
      </c>
      <c r="G1214" s="1" t="s">
        <v>143</v>
      </c>
      <c r="I1214" s="1" t="s">
        <v>188</v>
      </c>
    </row>
    <row r="1215" spans="1:9" hidden="1" x14ac:dyDescent="0.3">
      <c r="A1215" s="1">
        <v>2311</v>
      </c>
      <c r="B1215" s="1" t="s">
        <v>2862</v>
      </c>
      <c r="C1215" s="1" t="s">
        <v>2863</v>
      </c>
      <c r="D1215" s="1" t="s">
        <v>2184</v>
      </c>
      <c r="E1215" s="1" t="s">
        <v>1114</v>
      </c>
      <c r="F1215" s="1">
        <v>1</v>
      </c>
      <c r="G1215" s="1" t="s">
        <v>143</v>
      </c>
    </row>
    <row r="1216" spans="1:9" hidden="1" x14ac:dyDescent="0.3">
      <c r="A1216" s="1">
        <v>2313</v>
      </c>
      <c r="B1216" s="1" t="s">
        <v>2864</v>
      </c>
      <c r="C1216" s="1" t="s">
        <v>2865</v>
      </c>
      <c r="D1216" s="1" t="s">
        <v>684</v>
      </c>
      <c r="E1216" s="1" t="s">
        <v>505</v>
      </c>
      <c r="F1216" s="1">
        <v>0</v>
      </c>
      <c r="G1216" s="1" t="s">
        <v>82</v>
      </c>
      <c r="I1216" s="1" t="s">
        <v>123</v>
      </c>
    </row>
    <row r="1217" spans="1:9" hidden="1" x14ac:dyDescent="0.3">
      <c r="A1217" s="1">
        <v>2314</v>
      </c>
      <c r="B1217" s="1" t="s">
        <v>2866</v>
      </c>
      <c r="C1217" s="1" t="s">
        <v>2867</v>
      </c>
      <c r="D1217" s="1" t="s">
        <v>252</v>
      </c>
      <c r="E1217" s="1" t="s">
        <v>255</v>
      </c>
      <c r="F1217" s="1">
        <v>1</v>
      </c>
      <c r="G1217" s="1" t="s">
        <v>143</v>
      </c>
    </row>
    <row r="1218" spans="1:9" hidden="1" x14ac:dyDescent="0.3">
      <c r="A1218" s="1">
        <v>2315</v>
      </c>
      <c r="B1218" s="1" t="s">
        <v>2868</v>
      </c>
      <c r="C1218" s="1" t="s">
        <v>2869</v>
      </c>
      <c r="D1218" s="1" t="s">
        <v>422</v>
      </c>
      <c r="E1218" s="1" t="s">
        <v>255</v>
      </c>
      <c r="F1218" s="1">
        <v>1</v>
      </c>
      <c r="G1218" s="1" t="s">
        <v>143</v>
      </c>
      <c r="I1218" s="1" t="s">
        <v>188</v>
      </c>
    </row>
    <row r="1219" spans="1:9" hidden="1" x14ac:dyDescent="0.3">
      <c r="A1219" s="1">
        <v>2316</v>
      </c>
      <c r="B1219" s="1" t="s">
        <v>2870</v>
      </c>
      <c r="C1219" s="1" t="s">
        <v>2871</v>
      </c>
      <c r="D1219" s="1" t="s">
        <v>422</v>
      </c>
      <c r="E1219" s="1" t="s">
        <v>1327</v>
      </c>
      <c r="F1219" s="1">
        <v>1</v>
      </c>
      <c r="G1219" s="1" t="s">
        <v>143</v>
      </c>
    </row>
    <row r="1220" spans="1:9" hidden="1" x14ac:dyDescent="0.3">
      <c r="A1220" s="1">
        <v>2317</v>
      </c>
      <c r="B1220" s="1" t="s">
        <v>2872</v>
      </c>
      <c r="C1220" s="1" t="s">
        <v>2873</v>
      </c>
      <c r="D1220" s="1" t="s">
        <v>252</v>
      </c>
      <c r="E1220" s="1" t="s">
        <v>259</v>
      </c>
      <c r="F1220" s="1">
        <v>0</v>
      </c>
      <c r="G1220" s="1" t="s">
        <v>82</v>
      </c>
      <c r="I1220" s="1" t="s">
        <v>188</v>
      </c>
    </row>
    <row r="1221" spans="1:9" hidden="1" x14ac:dyDescent="0.3">
      <c r="A1221" s="1">
        <v>2318</v>
      </c>
      <c r="B1221" s="1" t="s">
        <v>2874</v>
      </c>
      <c r="C1221" s="1" t="s">
        <v>2875</v>
      </c>
      <c r="D1221" s="1" t="s">
        <v>422</v>
      </c>
      <c r="E1221" s="1" t="s">
        <v>1327</v>
      </c>
      <c r="F1221" s="1">
        <v>1</v>
      </c>
      <c r="G1221" s="1" t="s">
        <v>143</v>
      </c>
    </row>
    <row r="1222" spans="1:9" hidden="1" x14ac:dyDescent="0.3">
      <c r="A1222" s="1">
        <v>2319</v>
      </c>
      <c r="B1222" s="1" t="s">
        <v>2876</v>
      </c>
      <c r="C1222" s="1" t="s">
        <v>2877</v>
      </c>
      <c r="D1222" s="1" t="s">
        <v>422</v>
      </c>
      <c r="E1222" s="1" t="s">
        <v>1327</v>
      </c>
      <c r="F1222" s="1">
        <v>1</v>
      </c>
      <c r="G1222" s="1" t="s">
        <v>143</v>
      </c>
    </row>
    <row r="1223" spans="1:9" hidden="1" x14ac:dyDescent="0.3">
      <c r="A1223" s="1">
        <v>2320</v>
      </c>
      <c r="B1223" s="1" t="s">
        <v>2878</v>
      </c>
      <c r="C1223" s="1" t="s">
        <v>2879</v>
      </c>
      <c r="D1223" s="1" t="s">
        <v>422</v>
      </c>
      <c r="E1223" s="1" t="s">
        <v>1327</v>
      </c>
      <c r="F1223" s="1">
        <v>1</v>
      </c>
      <c r="G1223" s="1" t="s">
        <v>143</v>
      </c>
    </row>
    <row r="1224" spans="1:9" hidden="1" x14ac:dyDescent="0.3">
      <c r="A1224" s="1">
        <v>2321</v>
      </c>
      <c r="B1224" s="1" t="s">
        <v>2880</v>
      </c>
      <c r="C1224" s="1" t="s">
        <v>2881</v>
      </c>
      <c r="D1224" s="1" t="s">
        <v>422</v>
      </c>
      <c r="E1224" s="1" t="s">
        <v>1327</v>
      </c>
      <c r="F1224" s="1">
        <v>1</v>
      </c>
      <c r="G1224" s="1" t="s">
        <v>143</v>
      </c>
    </row>
    <row r="1225" spans="1:9" hidden="1" x14ac:dyDescent="0.3">
      <c r="A1225" s="1">
        <v>2322</v>
      </c>
      <c r="B1225" s="1" t="s">
        <v>2882</v>
      </c>
      <c r="C1225" s="1" t="s">
        <v>2883</v>
      </c>
      <c r="D1225" s="1" t="s">
        <v>252</v>
      </c>
      <c r="E1225" s="1" t="s">
        <v>2498</v>
      </c>
      <c r="F1225" s="1">
        <v>1</v>
      </c>
      <c r="G1225" s="1" t="s">
        <v>143</v>
      </c>
    </row>
    <row r="1226" spans="1:9" hidden="1" x14ac:dyDescent="0.3">
      <c r="A1226" s="1">
        <v>2323</v>
      </c>
      <c r="B1226" s="1" t="s">
        <v>2884</v>
      </c>
      <c r="C1226" s="1" t="s">
        <v>2885</v>
      </c>
      <c r="D1226" s="1" t="s">
        <v>422</v>
      </c>
      <c r="E1226" s="1" t="s">
        <v>340</v>
      </c>
      <c r="F1226" s="1">
        <v>1</v>
      </c>
      <c r="G1226" s="1" t="s">
        <v>143</v>
      </c>
    </row>
    <row r="1227" spans="1:9" hidden="1" x14ac:dyDescent="0.3">
      <c r="A1227" s="1">
        <v>2324</v>
      </c>
      <c r="B1227" s="1" t="s">
        <v>2886</v>
      </c>
      <c r="C1227" s="1" t="s">
        <v>2887</v>
      </c>
      <c r="D1227" s="1" t="s">
        <v>345</v>
      </c>
      <c r="E1227" s="1" t="s">
        <v>331</v>
      </c>
      <c r="F1227" s="1">
        <v>0</v>
      </c>
      <c r="G1227" s="1" t="s">
        <v>82</v>
      </c>
      <c r="I1227" s="1" t="s">
        <v>188</v>
      </c>
    </row>
    <row r="1228" spans="1:9" hidden="1" x14ac:dyDescent="0.3">
      <c r="A1228" s="1">
        <v>2325</v>
      </c>
      <c r="B1228" s="1" t="s">
        <v>2888</v>
      </c>
      <c r="C1228" s="1" t="s">
        <v>2889</v>
      </c>
      <c r="D1228" s="1" t="s">
        <v>2890</v>
      </c>
      <c r="E1228" s="1" t="s">
        <v>1304</v>
      </c>
      <c r="F1228" s="1">
        <v>1</v>
      </c>
      <c r="G1228" s="1" t="s">
        <v>143</v>
      </c>
    </row>
    <row r="1229" spans="1:9" hidden="1" x14ac:dyDescent="0.3">
      <c r="A1229" s="1">
        <v>2326</v>
      </c>
      <c r="B1229" s="1" t="s">
        <v>2891</v>
      </c>
      <c r="C1229" s="1" t="s">
        <v>2892</v>
      </c>
      <c r="D1229" s="1" t="s">
        <v>345</v>
      </c>
      <c r="E1229" s="1" t="s">
        <v>331</v>
      </c>
      <c r="F1229" s="1">
        <v>1</v>
      </c>
      <c r="G1229" s="1" t="s">
        <v>143</v>
      </c>
      <c r="I1229" s="1" t="s">
        <v>188</v>
      </c>
    </row>
    <row r="1230" spans="1:9" hidden="1" x14ac:dyDescent="0.3">
      <c r="A1230" s="1">
        <v>2327</v>
      </c>
      <c r="B1230" s="1" t="s">
        <v>2893</v>
      </c>
      <c r="C1230" s="1" t="s">
        <v>2894</v>
      </c>
      <c r="D1230" s="1" t="s">
        <v>2844</v>
      </c>
      <c r="E1230" s="1" t="s">
        <v>505</v>
      </c>
      <c r="F1230" s="1">
        <v>1</v>
      </c>
      <c r="G1230" s="1" t="s">
        <v>143</v>
      </c>
    </row>
    <row r="1231" spans="1:9" hidden="1" x14ac:dyDescent="0.3">
      <c r="A1231" s="1">
        <v>2328</v>
      </c>
      <c r="B1231" s="1" t="s">
        <v>2895</v>
      </c>
      <c r="C1231" s="1" t="s">
        <v>2896</v>
      </c>
      <c r="D1231" s="1" t="s">
        <v>2189</v>
      </c>
      <c r="E1231" s="1" t="s">
        <v>1114</v>
      </c>
      <c r="F1231" s="1">
        <v>1</v>
      </c>
      <c r="G1231" s="1" t="s">
        <v>143</v>
      </c>
    </row>
    <row r="1232" spans="1:9" hidden="1" x14ac:dyDescent="0.3">
      <c r="A1232" s="1">
        <v>2329</v>
      </c>
      <c r="B1232" s="1" t="s">
        <v>2897</v>
      </c>
      <c r="C1232" s="1" t="s">
        <v>2898</v>
      </c>
      <c r="D1232" s="1" t="s">
        <v>348</v>
      </c>
      <c r="E1232" s="1" t="s">
        <v>289</v>
      </c>
      <c r="F1232" s="1">
        <v>1</v>
      </c>
      <c r="G1232" s="1" t="s">
        <v>143</v>
      </c>
    </row>
    <row r="1233" spans="1:9" hidden="1" x14ac:dyDescent="0.3">
      <c r="A1233" s="1">
        <v>2330</v>
      </c>
      <c r="B1233" s="1" t="s">
        <v>2899</v>
      </c>
      <c r="C1233" s="1" t="s">
        <v>2900</v>
      </c>
      <c r="D1233" s="1" t="s">
        <v>422</v>
      </c>
      <c r="E1233" s="1" t="s">
        <v>2498</v>
      </c>
      <c r="F1233" s="1">
        <v>1</v>
      </c>
      <c r="G1233" s="1" t="s">
        <v>143</v>
      </c>
    </row>
    <row r="1234" spans="1:9" hidden="1" x14ac:dyDescent="0.3">
      <c r="A1234" s="1">
        <v>2331</v>
      </c>
      <c r="B1234" s="1" t="s">
        <v>2901</v>
      </c>
      <c r="C1234" s="1" t="s">
        <v>2902</v>
      </c>
      <c r="D1234" s="1" t="s">
        <v>323</v>
      </c>
      <c r="E1234" s="1" t="s">
        <v>122</v>
      </c>
      <c r="F1234" s="1">
        <v>0</v>
      </c>
      <c r="G1234" s="1" t="s">
        <v>82</v>
      </c>
      <c r="I1234" s="1" t="s">
        <v>123</v>
      </c>
    </row>
    <row r="1235" spans="1:9" hidden="1" x14ac:dyDescent="0.3">
      <c r="A1235" s="1">
        <v>2332</v>
      </c>
      <c r="B1235" s="1" t="s">
        <v>2903</v>
      </c>
      <c r="C1235" s="1" t="s">
        <v>2904</v>
      </c>
      <c r="D1235" s="1" t="s">
        <v>2905</v>
      </c>
      <c r="E1235" s="1" t="s">
        <v>91</v>
      </c>
      <c r="F1235" s="1">
        <v>0</v>
      </c>
      <c r="G1235" s="1" t="s">
        <v>82</v>
      </c>
      <c r="I1235" s="1" t="s">
        <v>123</v>
      </c>
    </row>
    <row r="1236" spans="1:9" hidden="1" x14ac:dyDescent="0.3">
      <c r="A1236" s="1">
        <v>2333</v>
      </c>
      <c r="B1236" s="1" t="s">
        <v>2906</v>
      </c>
      <c r="C1236" s="1" t="s">
        <v>2907</v>
      </c>
      <c r="D1236" s="1" t="s">
        <v>252</v>
      </c>
      <c r="E1236" s="1" t="s">
        <v>259</v>
      </c>
      <c r="F1236" s="1">
        <v>1</v>
      </c>
      <c r="G1236" s="1" t="s">
        <v>143</v>
      </c>
    </row>
    <row r="1237" spans="1:9" hidden="1" x14ac:dyDescent="0.3">
      <c r="A1237" s="1">
        <v>2334</v>
      </c>
      <c r="B1237" s="1" t="s">
        <v>2908</v>
      </c>
      <c r="C1237" s="1" t="s">
        <v>2909</v>
      </c>
      <c r="D1237" s="1" t="s">
        <v>252</v>
      </c>
      <c r="E1237" s="1" t="s">
        <v>259</v>
      </c>
      <c r="F1237" s="1">
        <v>1</v>
      </c>
      <c r="G1237" s="1" t="s">
        <v>143</v>
      </c>
      <c r="I1237" s="1" t="s">
        <v>188</v>
      </c>
    </row>
    <row r="1238" spans="1:9" hidden="1" x14ac:dyDescent="0.3">
      <c r="A1238" s="1">
        <v>2335</v>
      </c>
      <c r="B1238" s="1" t="s">
        <v>2910</v>
      </c>
      <c r="C1238" s="1" t="s">
        <v>2911</v>
      </c>
      <c r="D1238" s="1" t="s">
        <v>422</v>
      </c>
      <c r="E1238" s="1" t="s">
        <v>259</v>
      </c>
      <c r="F1238" s="1">
        <v>1</v>
      </c>
      <c r="G1238" s="1" t="s">
        <v>143</v>
      </c>
      <c r="I1238" s="1" t="s">
        <v>188</v>
      </c>
    </row>
    <row r="1239" spans="1:9" hidden="1" x14ac:dyDescent="0.3">
      <c r="A1239" s="1">
        <v>2336</v>
      </c>
      <c r="B1239" s="1" t="s">
        <v>2912</v>
      </c>
      <c r="C1239" s="1" t="s">
        <v>2913</v>
      </c>
      <c r="D1239" s="1" t="s">
        <v>422</v>
      </c>
      <c r="E1239" s="1" t="s">
        <v>340</v>
      </c>
      <c r="F1239" s="1">
        <v>1</v>
      </c>
      <c r="G1239" s="1" t="s">
        <v>143</v>
      </c>
    </row>
    <row r="1240" spans="1:9" hidden="1" x14ac:dyDescent="0.3">
      <c r="A1240" s="1">
        <v>2337</v>
      </c>
      <c r="B1240" s="1" t="s">
        <v>2914</v>
      </c>
      <c r="C1240" s="1" t="s">
        <v>2915</v>
      </c>
      <c r="D1240" s="1" t="s">
        <v>252</v>
      </c>
      <c r="E1240" s="1" t="s">
        <v>147</v>
      </c>
      <c r="F1240" s="1">
        <v>1</v>
      </c>
      <c r="G1240" s="1" t="s">
        <v>143</v>
      </c>
    </row>
    <row r="1241" spans="1:9" hidden="1" x14ac:dyDescent="0.3">
      <c r="A1241" s="1">
        <v>2338</v>
      </c>
      <c r="B1241" s="1" t="s">
        <v>2916</v>
      </c>
      <c r="C1241" s="1" t="s">
        <v>2917</v>
      </c>
      <c r="D1241" s="1" t="s">
        <v>278</v>
      </c>
      <c r="E1241" s="1" t="s">
        <v>1114</v>
      </c>
      <c r="F1241" s="1">
        <v>0</v>
      </c>
      <c r="G1241" s="1" t="s">
        <v>82</v>
      </c>
      <c r="I1241" s="1" t="s">
        <v>188</v>
      </c>
    </row>
    <row r="1242" spans="1:9" hidden="1" x14ac:dyDescent="0.3">
      <c r="A1242" s="1">
        <v>2339</v>
      </c>
      <c r="B1242" s="1" t="s">
        <v>2918</v>
      </c>
      <c r="C1242" s="1" t="s">
        <v>2919</v>
      </c>
      <c r="D1242" s="1" t="s">
        <v>422</v>
      </c>
      <c r="E1242" s="1" t="s">
        <v>147</v>
      </c>
      <c r="F1242" s="1">
        <v>1</v>
      </c>
      <c r="G1242" s="1" t="s">
        <v>143</v>
      </c>
    </row>
    <row r="1243" spans="1:9" hidden="1" x14ac:dyDescent="0.3">
      <c r="A1243" s="1">
        <v>2340</v>
      </c>
      <c r="B1243" s="1" t="s">
        <v>2920</v>
      </c>
      <c r="C1243" s="1" t="s">
        <v>2921</v>
      </c>
      <c r="D1243" s="1" t="s">
        <v>1631</v>
      </c>
      <c r="E1243" s="1" t="s">
        <v>1292</v>
      </c>
      <c r="F1243" s="1">
        <v>0</v>
      </c>
      <c r="G1243" s="1" t="s">
        <v>82</v>
      </c>
      <c r="I1243" s="1" t="s">
        <v>123</v>
      </c>
    </row>
    <row r="1244" spans="1:9" hidden="1" x14ac:dyDescent="0.3">
      <c r="A1244" s="1">
        <v>2341</v>
      </c>
      <c r="B1244" s="1" t="s">
        <v>2922</v>
      </c>
      <c r="C1244" s="1" t="s">
        <v>2923</v>
      </c>
      <c r="D1244" s="1" t="s">
        <v>252</v>
      </c>
      <c r="E1244" s="1" t="s">
        <v>255</v>
      </c>
      <c r="F1244" s="1">
        <v>1</v>
      </c>
      <c r="G1244" s="1" t="s">
        <v>143</v>
      </c>
    </row>
    <row r="1245" spans="1:9" hidden="1" x14ac:dyDescent="0.3">
      <c r="A1245" s="1">
        <v>2342</v>
      </c>
      <c r="B1245" s="1" t="s">
        <v>2924</v>
      </c>
      <c r="C1245" s="1" t="s">
        <v>2925</v>
      </c>
      <c r="D1245" s="1" t="s">
        <v>2557</v>
      </c>
      <c r="E1245" s="1" t="s">
        <v>1327</v>
      </c>
      <c r="F1245" s="1">
        <v>1</v>
      </c>
      <c r="G1245" s="1" t="s">
        <v>143</v>
      </c>
    </row>
    <row r="1246" spans="1:9" hidden="1" x14ac:dyDescent="0.3">
      <c r="A1246" s="1">
        <v>2343</v>
      </c>
      <c r="B1246" s="1" t="s">
        <v>2926</v>
      </c>
      <c r="C1246" s="1" t="s">
        <v>2927</v>
      </c>
      <c r="D1246" s="1" t="s">
        <v>252</v>
      </c>
      <c r="E1246" s="1" t="s">
        <v>255</v>
      </c>
      <c r="F1246" s="1">
        <v>0</v>
      </c>
      <c r="G1246" s="1" t="s">
        <v>82</v>
      </c>
      <c r="I1246" s="1" t="s">
        <v>188</v>
      </c>
    </row>
    <row r="1247" spans="1:9" hidden="1" x14ac:dyDescent="0.3">
      <c r="A1247" s="1">
        <v>2344</v>
      </c>
      <c r="B1247" s="1" t="s">
        <v>2928</v>
      </c>
      <c r="C1247" s="1" t="s">
        <v>2929</v>
      </c>
      <c r="D1247" s="1" t="s">
        <v>252</v>
      </c>
      <c r="E1247" s="1" t="s">
        <v>259</v>
      </c>
      <c r="F1247" s="1">
        <v>0</v>
      </c>
      <c r="G1247" s="1" t="s">
        <v>82</v>
      </c>
      <c r="I1247" s="1" t="s">
        <v>188</v>
      </c>
    </row>
    <row r="1248" spans="1:9" hidden="1" x14ac:dyDescent="0.3">
      <c r="A1248" s="1">
        <v>2345</v>
      </c>
      <c r="B1248" s="1" t="s">
        <v>2930</v>
      </c>
      <c r="C1248" s="1" t="s">
        <v>2931</v>
      </c>
      <c r="D1248" s="1" t="s">
        <v>2189</v>
      </c>
      <c r="E1248" s="1" t="s">
        <v>1114</v>
      </c>
      <c r="F1248" s="1">
        <v>1</v>
      </c>
      <c r="G1248" s="1" t="s">
        <v>143</v>
      </c>
    </row>
    <row r="1249" spans="1:9" hidden="1" x14ac:dyDescent="0.3">
      <c r="A1249" s="1">
        <v>2346</v>
      </c>
      <c r="B1249" s="1" t="s">
        <v>2932</v>
      </c>
      <c r="C1249" s="1" t="s">
        <v>2933</v>
      </c>
      <c r="D1249" s="1" t="s">
        <v>422</v>
      </c>
      <c r="E1249" s="1" t="s">
        <v>1327</v>
      </c>
      <c r="F1249" s="1">
        <v>1</v>
      </c>
      <c r="G1249" s="1" t="s">
        <v>143</v>
      </c>
    </row>
    <row r="1250" spans="1:9" hidden="1" x14ac:dyDescent="0.3">
      <c r="A1250" s="1">
        <v>2347</v>
      </c>
      <c r="B1250" s="1" t="s">
        <v>2934</v>
      </c>
      <c r="C1250" s="1" t="s">
        <v>2935</v>
      </c>
      <c r="D1250" s="1" t="s">
        <v>422</v>
      </c>
      <c r="E1250" s="1" t="s">
        <v>259</v>
      </c>
      <c r="F1250" s="1">
        <v>1</v>
      </c>
      <c r="G1250" s="1" t="s">
        <v>143</v>
      </c>
      <c r="I1250" s="1" t="s">
        <v>188</v>
      </c>
    </row>
    <row r="1251" spans="1:9" hidden="1" x14ac:dyDescent="0.3">
      <c r="A1251" s="1">
        <v>2348</v>
      </c>
      <c r="B1251" s="1" t="s">
        <v>2936</v>
      </c>
      <c r="C1251" s="1" t="s">
        <v>2937</v>
      </c>
      <c r="D1251" s="1" t="s">
        <v>422</v>
      </c>
      <c r="E1251" s="1" t="s">
        <v>147</v>
      </c>
      <c r="F1251" s="1">
        <v>1</v>
      </c>
      <c r="G1251" s="1" t="s">
        <v>143</v>
      </c>
      <c r="I1251" s="1" t="s">
        <v>188</v>
      </c>
    </row>
    <row r="1252" spans="1:9" hidden="1" x14ac:dyDescent="0.3">
      <c r="A1252" s="1">
        <v>2349</v>
      </c>
      <c r="B1252" s="1" t="s">
        <v>2938</v>
      </c>
      <c r="C1252" s="1" t="s">
        <v>2939</v>
      </c>
      <c r="D1252" s="1" t="s">
        <v>422</v>
      </c>
      <c r="E1252" s="1" t="s">
        <v>147</v>
      </c>
      <c r="F1252" s="1">
        <v>1</v>
      </c>
      <c r="G1252" s="1" t="s">
        <v>143</v>
      </c>
      <c r="I1252" s="1" t="s">
        <v>188</v>
      </c>
    </row>
    <row r="1253" spans="1:9" hidden="1" x14ac:dyDescent="0.3">
      <c r="A1253" s="1">
        <v>2350</v>
      </c>
      <c r="B1253" s="1" t="s">
        <v>2940</v>
      </c>
      <c r="C1253" s="1" t="s">
        <v>2941</v>
      </c>
      <c r="D1253" s="1" t="s">
        <v>422</v>
      </c>
      <c r="E1253" s="1" t="s">
        <v>147</v>
      </c>
      <c r="F1253" s="1">
        <v>1</v>
      </c>
      <c r="G1253" s="1" t="s">
        <v>143</v>
      </c>
      <c r="I1253" s="1" t="s">
        <v>188</v>
      </c>
    </row>
    <row r="1254" spans="1:9" hidden="1" x14ac:dyDescent="0.3">
      <c r="A1254" s="1">
        <v>2351</v>
      </c>
      <c r="B1254" s="1" t="s">
        <v>2942</v>
      </c>
      <c r="C1254" s="1" t="s">
        <v>2943</v>
      </c>
      <c r="D1254" s="1" t="s">
        <v>2944</v>
      </c>
      <c r="E1254" s="1" t="s">
        <v>91</v>
      </c>
      <c r="F1254" s="1">
        <v>1</v>
      </c>
      <c r="G1254" s="1" t="s">
        <v>143</v>
      </c>
    </row>
    <row r="1255" spans="1:9" hidden="1" x14ac:dyDescent="0.3">
      <c r="A1255" s="1">
        <v>2352</v>
      </c>
      <c r="B1255" s="1" t="s">
        <v>2945</v>
      </c>
      <c r="C1255" s="1" t="s">
        <v>2946</v>
      </c>
      <c r="D1255" s="1" t="s">
        <v>252</v>
      </c>
      <c r="E1255" s="1" t="s">
        <v>340</v>
      </c>
      <c r="F1255" s="1">
        <v>1</v>
      </c>
      <c r="G1255" s="1" t="s">
        <v>143</v>
      </c>
    </row>
    <row r="1256" spans="1:9" hidden="1" x14ac:dyDescent="0.3">
      <c r="A1256" s="1">
        <v>2353</v>
      </c>
      <c r="B1256" s="1" t="s">
        <v>2947</v>
      </c>
      <c r="C1256" s="1" t="s">
        <v>2948</v>
      </c>
      <c r="D1256" s="1" t="s">
        <v>278</v>
      </c>
      <c r="E1256" s="1" t="s">
        <v>1327</v>
      </c>
      <c r="F1256" s="1">
        <v>1</v>
      </c>
      <c r="G1256" s="1" t="s">
        <v>143</v>
      </c>
    </row>
    <row r="1257" spans="1:9" hidden="1" x14ac:dyDescent="0.3">
      <c r="A1257" s="1">
        <v>2354</v>
      </c>
      <c r="B1257" s="1" t="s">
        <v>2949</v>
      </c>
      <c r="C1257" s="1" t="s">
        <v>2950</v>
      </c>
      <c r="D1257" s="1" t="s">
        <v>1690</v>
      </c>
      <c r="E1257" s="1" t="s">
        <v>134</v>
      </c>
      <c r="F1257" s="1">
        <v>1</v>
      </c>
      <c r="G1257" s="1" t="s">
        <v>143</v>
      </c>
      <c r="I1257" s="1" t="s">
        <v>123</v>
      </c>
    </row>
    <row r="1258" spans="1:9" hidden="1" x14ac:dyDescent="0.3">
      <c r="A1258" s="1">
        <v>2355</v>
      </c>
      <c r="B1258" s="1" t="s">
        <v>2951</v>
      </c>
      <c r="C1258" s="1" t="s">
        <v>2952</v>
      </c>
      <c r="D1258" s="1" t="s">
        <v>1047</v>
      </c>
      <c r="E1258" s="1" t="s">
        <v>142</v>
      </c>
      <c r="F1258" s="1">
        <v>1</v>
      </c>
      <c r="G1258" s="1" t="s">
        <v>143</v>
      </c>
    </row>
    <row r="1259" spans="1:9" hidden="1" x14ac:dyDescent="0.3">
      <c r="A1259" s="1">
        <v>2356</v>
      </c>
      <c r="B1259" s="1" t="s">
        <v>2953</v>
      </c>
      <c r="C1259" s="1" t="s">
        <v>2954</v>
      </c>
      <c r="D1259" s="1" t="s">
        <v>422</v>
      </c>
      <c r="E1259" s="1" t="s">
        <v>255</v>
      </c>
      <c r="F1259" s="1">
        <v>1</v>
      </c>
      <c r="G1259" s="1" t="s">
        <v>143</v>
      </c>
      <c r="I1259" s="1" t="s">
        <v>188</v>
      </c>
    </row>
    <row r="1260" spans="1:9" hidden="1" x14ac:dyDescent="0.3">
      <c r="A1260" s="1">
        <v>2357</v>
      </c>
      <c r="B1260" s="1" t="s">
        <v>2955</v>
      </c>
      <c r="C1260" s="1" t="s">
        <v>2956</v>
      </c>
      <c r="D1260" s="1" t="s">
        <v>1914</v>
      </c>
      <c r="E1260" s="1" t="s">
        <v>215</v>
      </c>
      <c r="F1260" s="1">
        <v>1</v>
      </c>
      <c r="G1260" s="1" t="s">
        <v>143</v>
      </c>
    </row>
    <row r="1261" spans="1:9" hidden="1" x14ac:dyDescent="0.3">
      <c r="A1261" s="1">
        <v>2359</v>
      </c>
      <c r="B1261" s="1" t="s">
        <v>2957</v>
      </c>
      <c r="C1261" s="1" t="s">
        <v>2958</v>
      </c>
      <c r="D1261" s="1" t="s">
        <v>2959</v>
      </c>
      <c r="E1261" s="1" t="s">
        <v>1304</v>
      </c>
      <c r="F1261" s="1">
        <v>1</v>
      </c>
      <c r="G1261" s="1" t="s">
        <v>143</v>
      </c>
    </row>
    <row r="1262" spans="1:9" hidden="1" x14ac:dyDescent="0.3">
      <c r="A1262" s="1">
        <v>2360</v>
      </c>
      <c r="B1262" s="1" t="s">
        <v>2960</v>
      </c>
      <c r="C1262" s="1" t="s">
        <v>2961</v>
      </c>
      <c r="D1262" s="1" t="s">
        <v>422</v>
      </c>
      <c r="E1262" s="1" t="s">
        <v>255</v>
      </c>
      <c r="F1262" s="1">
        <v>1</v>
      </c>
      <c r="G1262" s="1" t="s">
        <v>143</v>
      </c>
    </row>
    <row r="1263" spans="1:9" hidden="1" x14ac:dyDescent="0.3">
      <c r="A1263" s="1">
        <v>2361</v>
      </c>
      <c r="B1263" s="1" t="s">
        <v>2962</v>
      </c>
      <c r="C1263" s="1" t="s">
        <v>2963</v>
      </c>
      <c r="D1263" s="1" t="s">
        <v>187</v>
      </c>
      <c r="E1263" s="1" t="s">
        <v>65</v>
      </c>
      <c r="F1263" s="1">
        <v>1</v>
      </c>
      <c r="G1263" s="1" t="s">
        <v>143</v>
      </c>
      <c r="I1263" s="1" t="s">
        <v>123</v>
      </c>
    </row>
    <row r="1264" spans="1:9" hidden="1" x14ac:dyDescent="0.3">
      <c r="A1264" s="1">
        <v>2362</v>
      </c>
      <c r="B1264" s="1" t="s">
        <v>2964</v>
      </c>
      <c r="C1264" s="1" t="s">
        <v>2965</v>
      </c>
      <c r="D1264" s="1" t="s">
        <v>1634</v>
      </c>
      <c r="E1264" s="1" t="s">
        <v>215</v>
      </c>
      <c r="F1264" s="1">
        <v>1</v>
      </c>
      <c r="G1264" s="1" t="s">
        <v>143</v>
      </c>
    </row>
    <row r="1265" spans="1:9" hidden="1" x14ac:dyDescent="0.3">
      <c r="A1265" s="1">
        <v>2363</v>
      </c>
      <c r="B1265" s="1" t="s">
        <v>2966</v>
      </c>
      <c r="C1265" s="1" t="s">
        <v>2967</v>
      </c>
      <c r="D1265" s="1" t="s">
        <v>1096</v>
      </c>
      <c r="E1265" s="1" t="s">
        <v>65</v>
      </c>
      <c r="F1265" s="1">
        <v>1</v>
      </c>
      <c r="G1265" s="1" t="s">
        <v>143</v>
      </c>
    </row>
    <row r="1266" spans="1:9" hidden="1" x14ac:dyDescent="0.3">
      <c r="A1266" s="1">
        <v>2364</v>
      </c>
      <c r="B1266" s="1" t="s">
        <v>2968</v>
      </c>
      <c r="C1266" s="1" t="s">
        <v>2969</v>
      </c>
      <c r="D1266" s="1" t="s">
        <v>1616</v>
      </c>
      <c r="E1266" s="1" t="s">
        <v>111</v>
      </c>
      <c r="F1266" s="1">
        <v>1</v>
      </c>
      <c r="G1266" s="1" t="s">
        <v>143</v>
      </c>
    </row>
    <row r="1267" spans="1:9" hidden="1" x14ac:dyDescent="0.3">
      <c r="A1267" s="1">
        <v>2365</v>
      </c>
      <c r="B1267" s="1" t="s">
        <v>2970</v>
      </c>
      <c r="C1267" s="1" t="s">
        <v>2971</v>
      </c>
      <c r="D1267" s="1" t="s">
        <v>230</v>
      </c>
      <c r="E1267" s="1" t="s">
        <v>65</v>
      </c>
      <c r="F1267" s="1">
        <v>0</v>
      </c>
      <c r="G1267" s="1" t="s">
        <v>82</v>
      </c>
      <c r="I1267" s="1" t="s">
        <v>84</v>
      </c>
    </row>
    <row r="1268" spans="1:9" hidden="1" x14ac:dyDescent="0.3">
      <c r="A1268" s="1">
        <v>2366</v>
      </c>
      <c r="B1268" s="1" t="s">
        <v>2972</v>
      </c>
      <c r="C1268" s="1" t="s">
        <v>2973</v>
      </c>
      <c r="D1268" s="1" t="s">
        <v>841</v>
      </c>
      <c r="E1268" s="1" t="s">
        <v>289</v>
      </c>
      <c r="F1268" s="1">
        <v>1</v>
      </c>
      <c r="G1268" s="1" t="s">
        <v>143</v>
      </c>
      <c r="I1268" s="1" t="s">
        <v>84</v>
      </c>
    </row>
    <row r="1269" spans="1:9" hidden="1" x14ac:dyDescent="0.3">
      <c r="A1269" s="1">
        <v>2367</v>
      </c>
      <c r="B1269" s="1" t="s">
        <v>2974</v>
      </c>
      <c r="C1269" s="1" t="s">
        <v>2975</v>
      </c>
      <c r="D1269" s="1" t="s">
        <v>1295</v>
      </c>
      <c r="E1269" s="1" t="s">
        <v>215</v>
      </c>
      <c r="F1269" s="1">
        <v>1</v>
      </c>
      <c r="G1269" s="1" t="s">
        <v>143</v>
      </c>
    </row>
    <row r="1270" spans="1:9" hidden="1" x14ac:dyDescent="0.3">
      <c r="A1270" s="1">
        <v>2368</v>
      </c>
      <c r="B1270" s="1" t="s">
        <v>2976</v>
      </c>
      <c r="C1270" s="1" t="s">
        <v>2977</v>
      </c>
      <c r="D1270" s="1" t="s">
        <v>2978</v>
      </c>
      <c r="E1270" s="1" t="s">
        <v>645</v>
      </c>
      <c r="F1270" s="1">
        <v>1</v>
      </c>
      <c r="G1270" s="1" t="s">
        <v>143</v>
      </c>
      <c r="I1270" s="1" t="s">
        <v>84</v>
      </c>
    </row>
    <row r="1271" spans="1:9" hidden="1" x14ac:dyDescent="0.3">
      <c r="A1271" s="1">
        <v>2369</v>
      </c>
      <c r="B1271" s="1" t="s">
        <v>2979</v>
      </c>
      <c r="C1271" s="1" t="s">
        <v>2980</v>
      </c>
      <c r="D1271" s="1" t="s">
        <v>2184</v>
      </c>
      <c r="E1271" s="1" t="s">
        <v>1114</v>
      </c>
      <c r="F1271" s="1">
        <v>1</v>
      </c>
      <c r="G1271" s="1" t="s">
        <v>143</v>
      </c>
    </row>
    <row r="1272" spans="1:9" hidden="1" x14ac:dyDescent="0.3">
      <c r="A1272" s="1">
        <v>2370</v>
      </c>
      <c r="B1272" s="1" t="s">
        <v>2981</v>
      </c>
      <c r="C1272" s="1" t="s">
        <v>2982</v>
      </c>
      <c r="D1272" s="1" t="s">
        <v>422</v>
      </c>
      <c r="E1272" s="1" t="s">
        <v>259</v>
      </c>
      <c r="F1272" s="1">
        <v>1</v>
      </c>
      <c r="G1272" s="1" t="s">
        <v>143</v>
      </c>
    </row>
    <row r="1273" spans="1:9" hidden="1" x14ac:dyDescent="0.3">
      <c r="A1273" s="1">
        <v>2371</v>
      </c>
      <c r="B1273" s="1" t="s">
        <v>2983</v>
      </c>
      <c r="C1273" s="1" t="s">
        <v>2984</v>
      </c>
      <c r="D1273" s="1" t="s">
        <v>1159</v>
      </c>
      <c r="E1273" s="1" t="s">
        <v>130</v>
      </c>
      <c r="F1273" s="1">
        <v>0</v>
      </c>
      <c r="G1273" s="1" t="s">
        <v>82</v>
      </c>
      <c r="I1273" s="1" t="s">
        <v>123</v>
      </c>
    </row>
    <row r="1274" spans="1:9" hidden="1" x14ac:dyDescent="0.3">
      <c r="A1274" s="1">
        <v>2372</v>
      </c>
      <c r="B1274" s="1" t="s">
        <v>2985</v>
      </c>
      <c r="C1274" s="1" t="s">
        <v>2986</v>
      </c>
      <c r="D1274" s="1" t="s">
        <v>2987</v>
      </c>
      <c r="E1274" s="1" t="s">
        <v>215</v>
      </c>
      <c r="F1274" s="1">
        <v>1</v>
      </c>
      <c r="G1274" s="1" t="s">
        <v>143</v>
      </c>
      <c r="I1274" s="1" t="s">
        <v>123</v>
      </c>
    </row>
    <row r="1275" spans="1:9" hidden="1" x14ac:dyDescent="0.3">
      <c r="A1275" s="1">
        <v>2373</v>
      </c>
      <c r="B1275" s="1" t="s">
        <v>2988</v>
      </c>
      <c r="C1275" s="1" t="s">
        <v>2989</v>
      </c>
      <c r="D1275" s="1" t="s">
        <v>429</v>
      </c>
      <c r="E1275" s="1" t="s">
        <v>215</v>
      </c>
      <c r="F1275" s="1">
        <v>1</v>
      </c>
      <c r="G1275" s="1" t="s">
        <v>143</v>
      </c>
    </row>
    <row r="1276" spans="1:9" hidden="1" x14ac:dyDescent="0.3">
      <c r="A1276" s="1">
        <v>2374</v>
      </c>
      <c r="B1276" s="1" t="s">
        <v>2990</v>
      </c>
      <c r="C1276" s="1" t="s">
        <v>2991</v>
      </c>
      <c r="D1276" s="1" t="s">
        <v>1547</v>
      </c>
      <c r="E1276" s="1" t="s">
        <v>111</v>
      </c>
      <c r="F1276" s="1">
        <v>1</v>
      </c>
      <c r="G1276" s="1" t="s">
        <v>143</v>
      </c>
      <c r="I1276" s="1" t="s">
        <v>123</v>
      </c>
    </row>
    <row r="1277" spans="1:9" hidden="1" x14ac:dyDescent="0.3">
      <c r="A1277" s="1">
        <v>2375</v>
      </c>
      <c r="B1277" s="1" t="s">
        <v>2992</v>
      </c>
      <c r="C1277" s="1" t="s">
        <v>2993</v>
      </c>
      <c r="D1277" s="1" t="s">
        <v>2994</v>
      </c>
      <c r="E1277" s="1" t="s">
        <v>170</v>
      </c>
      <c r="F1277" s="1">
        <v>0</v>
      </c>
      <c r="G1277" s="1" t="s">
        <v>82</v>
      </c>
      <c r="I1277" s="1" t="s">
        <v>123</v>
      </c>
    </row>
    <row r="1278" spans="1:9" hidden="1" x14ac:dyDescent="0.3">
      <c r="A1278" s="1">
        <v>2376</v>
      </c>
      <c r="B1278" s="1" t="s">
        <v>2995</v>
      </c>
      <c r="C1278" s="1" t="s">
        <v>2996</v>
      </c>
      <c r="D1278" s="1" t="s">
        <v>117</v>
      </c>
      <c r="E1278" s="1" t="s">
        <v>142</v>
      </c>
      <c r="F1278" s="1">
        <v>0</v>
      </c>
      <c r="G1278" s="1" t="s">
        <v>82</v>
      </c>
      <c r="I1278" s="1" t="s">
        <v>123</v>
      </c>
    </row>
    <row r="1279" spans="1:9" hidden="1" x14ac:dyDescent="0.3">
      <c r="A1279" s="1">
        <v>2377</v>
      </c>
      <c r="B1279" s="1" t="s">
        <v>2997</v>
      </c>
      <c r="C1279" s="1" t="s">
        <v>2998</v>
      </c>
      <c r="D1279" s="1" t="s">
        <v>2999</v>
      </c>
      <c r="E1279" s="1" t="s">
        <v>65</v>
      </c>
      <c r="F1279" s="1">
        <v>1</v>
      </c>
      <c r="G1279" s="1" t="s">
        <v>143</v>
      </c>
    </row>
    <row r="1280" spans="1:9" hidden="1" x14ac:dyDescent="0.3">
      <c r="A1280" s="1">
        <v>2378</v>
      </c>
      <c r="B1280" s="1" t="s">
        <v>3000</v>
      </c>
      <c r="C1280" s="1" t="s">
        <v>3001</v>
      </c>
      <c r="D1280" s="1" t="s">
        <v>1608</v>
      </c>
      <c r="E1280" s="1" t="s">
        <v>215</v>
      </c>
      <c r="F1280" s="1">
        <v>1</v>
      </c>
      <c r="G1280" s="1" t="s">
        <v>143</v>
      </c>
    </row>
    <row r="1281" spans="1:9" hidden="1" x14ac:dyDescent="0.3">
      <c r="A1281" s="1">
        <v>2379</v>
      </c>
      <c r="B1281" s="1" t="s">
        <v>3002</v>
      </c>
      <c r="C1281" s="1" t="s">
        <v>3003</v>
      </c>
      <c r="D1281" s="1" t="s">
        <v>1091</v>
      </c>
      <c r="E1281" s="1" t="s">
        <v>142</v>
      </c>
      <c r="F1281" s="1">
        <v>0</v>
      </c>
      <c r="G1281" s="1" t="s">
        <v>82</v>
      </c>
      <c r="I1281" s="1" t="s">
        <v>123</v>
      </c>
    </row>
    <row r="1282" spans="1:9" hidden="1" x14ac:dyDescent="0.3">
      <c r="A1282" s="1">
        <v>2380</v>
      </c>
      <c r="B1282" s="1" t="s">
        <v>3004</v>
      </c>
      <c r="C1282" s="1" t="s">
        <v>3005</v>
      </c>
      <c r="D1282" s="1" t="s">
        <v>3006</v>
      </c>
      <c r="E1282" s="1" t="s">
        <v>118</v>
      </c>
      <c r="F1282" s="1">
        <v>0</v>
      </c>
      <c r="G1282" s="1" t="s">
        <v>82</v>
      </c>
      <c r="I1282" s="1" t="s">
        <v>123</v>
      </c>
    </row>
    <row r="1283" spans="1:9" hidden="1" x14ac:dyDescent="0.3">
      <c r="A1283" s="1">
        <v>2381</v>
      </c>
      <c r="B1283" s="1" t="s">
        <v>3007</v>
      </c>
      <c r="C1283" s="1" t="s">
        <v>3008</v>
      </c>
      <c r="D1283" s="1" t="s">
        <v>422</v>
      </c>
      <c r="E1283" s="1" t="s">
        <v>1327</v>
      </c>
      <c r="F1283" s="1">
        <v>1</v>
      </c>
      <c r="G1283" s="1" t="s">
        <v>143</v>
      </c>
    </row>
    <row r="1284" spans="1:9" hidden="1" x14ac:dyDescent="0.3">
      <c r="A1284" s="1">
        <v>2382</v>
      </c>
      <c r="B1284" s="1" t="s">
        <v>3009</v>
      </c>
      <c r="C1284" s="1" t="s">
        <v>3010</v>
      </c>
      <c r="D1284" s="1" t="s">
        <v>422</v>
      </c>
      <c r="E1284" s="1" t="s">
        <v>1327</v>
      </c>
      <c r="F1284" s="1">
        <v>1</v>
      </c>
      <c r="G1284" s="1" t="s">
        <v>143</v>
      </c>
    </row>
    <row r="1285" spans="1:9" hidden="1" x14ac:dyDescent="0.3">
      <c r="A1285" s="1">
        <v>2383</v>
      </c>
      <c r="B1285" s="1" t="s">
        <v>3011</v>
      </c>
      <c r="C1285" s="1" t="s">
        <v>3012</v>
      </c>
      <c r="D1285" s="1" t="s">
        <v>422</v>
      </c>
      <c r="E1285" s="1" t="s">
        <v>1327</v>
      </c>
      <c r="F1285" s="1">
        <v>1</v>
      </c>
      <c r="G1285" s="1" t="s">
        <v>143</v>
      </c>
    </row>
    <row r="1286" spans="1:9" hidden="1" x14ac:dyDescent="0.3">
      <c r="A1286" s="1">
        <v>2384</v>
      </c>
      <c r="B1286" s="1" t="s">
        <v>3013</v>
      </c>
      <c r="C1286" s="1" t="s">
        <v>3014</v>
      </c>
      <c r="D1286" s="1" t="s">
        <v>422</v>
      </c>
      <c r="E1286" s="1" t="s">
        <v>340</v>
      </c>
      <c r="F1286" s="1">
        <v>0</v>
      </c>
      <c r="G1286" s="1" t="s">
        <v>82</v>
      </c>
      <c r="I1286" s="1" t="s">
        <v>188</v>
      </c>
    </row>
    <row r="1287" spans="1:9" hidden="1" x14ac:dyDescent="0.3">
      <c r="A1287" s="1">
        <v>2385</v>
      </c>
      <c r="B1287" s="1" t="s">
        <v>3015</v>
      </c>
      <c r="C1287" s="1" t="s">
        <v>3016</v>
      </c>
      <c r="D1287" s="1" t="s">
        <v>278</v>
      </c>
      <c r="E1287" s="1" t="s">
        <v>1327</v>
      </c>
      <c r="F1287" s="1">
        <v>1</v>
      </c>
      <c r="G1287" s="1" t="s">
        <v>143</v>
      </c>
    </row>
    <row r="1288" spans="1:9" hidden="1" x14ac:dyDescent="0.3">
      <c r="A1288" s="1">
        <v>2386</v>
      </c>
      <c r="B1288" s="1" t="s">
        <v>3017</v>
      </c>
      <c r="C1288" s="1" t="s">
        <v>3018</v>
      </c>
      <c r="D1288" s="1" t="s">
        <v>348</v>
      </c>
      <c r="E1288" s="1" t="s">
        <v>289</v>
      </c>
      <c r="F1288" s="1">
        <v>1</v>
      </c>
      <c r="G1288" s="1" t="s">
        <v>143</v>
      </c>
    </row>
    <row r="1289" spans="1:9" hidden="1" x14ac:dyDescent="0.3">
      <c r="A1289" s="1">
        <v>2387</v>
      </c>
      <c r="B1289" s="1" t="s">
        <v>3019</v>
      </c>
      <c r="C1289" s="1" t="s">
        <v>3020</v>
      </c>
      <c r="D1289" s="1" t="s">
        <v>278</v>
      </c>
      <c r="E1289" s="1" t="s">
        <v>340</v>
      </c>
      <c r="F1289" s="1">
        <v>0</v>
      </c>
      <c r="G1289" s="1" t="s">
        <v>82</v>
      </c>
      <c r="I1289" s="1" t="s">
        <v>188</v>
      </c>
    </row>
    <row r="1290" spans="1:9" hidden="1" x14ac:dyDescent="0.3">
      <c r="A1290" s="1">
        <v>2388</v>
      </c>
      <c r="B1290" s="1" t="s">
        <v>3021</v>
      </c>
      <c r="C1290" s="1" t="s">
        <v>3022</v>
      </c>
      <c r="D1290" s="1" t="s">
        <v>252</v>
      </c>
      <c r="E1290" s="1" t="s">
        <v>255</v>
      </c>
      <c r="F1290" s="1">
        <v>0</v>
      </c>
      <c r="G1290" s="1" t="s">
        <v>82</v>
      </c>
      <c r="I1290" s="1" t="s">
        <v>188</v>
      </c>
    </row>
    <row r="1291" spans="1:9" hidden="1" x14ac:dyDescent="0.3">
      <c r="A1291" s="1">
        <v>2389</v>
      </c>
      <c r="B1291" s="1" t="s">
        <v>3023</v>
      </c>
      <c r="C1291" s="1" t="s">
        <v>3024</v>
      </c>
      <c r="D1291" s="1" t="s">
        <v>252</v>
      </c>
      <c r="E1291" s="1" t="s">
        <v>255</v>
      </c>
      <c r="F1291" s="1">
        <v>0</v>
      </c>
      <c r="G1291" s="1" t="s">
        <v>82</v>
      </c>
      <c r="I1291" s="1" t="s">
        <v>188</v>
      </c>
    </row>
    <row r="1292" spans="1:9" hidden="1" x14ac:dyDescent="0.3">
      <c r="A1292" s="1">
        <v>2391</v>
      </c>
      <c r="B1292" s="1" t="s">
        <v>3025</v>
      </c>
      <c r="C1292" s="1" t="s">
        <v>3026</v>
      </c>
      <c r="D1292" s="1" t="s">
        <v>278</v>
      </c>
      <c r="E1292" s="1" t="s">
        <v>331</v>
      </c>
      <c r="F1292" s="1">
        <v>0</v>
      </c>
      <c r="G1292" s="1" t="s">
        <v>82</v>
      </c>
      <c r="I1292" s="1" t="s">
        <v>188</v>
      </c>
    </row>
    <row r="1293" spans="1:9" hidden="1" x14ac:dyDescent="0.3">
      <c r="A1293" s="1">
        <v>2392</v>
      </c>
      <c r="B1293" s="1" t="s">
        <v>3027</v>
      </c>
      <c r="C1293" s="1" t="s">
        <v>3028</v>
      </c>
      <c r="D1293" s="1" t="s">
        <v>345</v>
      </c>
      <c r="E1293" s="1" t="s">
        <v>331</v>
      </c>
      <c r="F1293" s="1">
        <v>1</v>
      </c>
      <c r="G1293" s="1" t="s">
        <v>143</v>
      </c>
    </row>
    <row r="1294" spans="1:9" hidden="1" x14ac:dyDescent="0.3">
      <c r="A1294" s="1">
        <v>2393</v>
      </c>
      <c r="B1294" s="1" t="s">
        <v>3029</v>
      </c>
      <c r="C1294" s="1" t="s">
        <v>3030</v>
      </c>
      <c r="D1294" s="1" t="s">
        <v>202</v>
      </c>
      <c r="E1294" s="1" t="s">
        <v>111</v>
      </c>
      <c r="F1294" s="1">
        <v>0</v>
      </c>
      <c r="G1294" s="1" t="s">
        <v>82</v>
      </c>
      <c r="I1294" s="1" t="s">
        <v>123</v>
      </c>
    </row>
    <row r="1295" spans="1:9" hidden="1" x14ac:dyDescent="0.3">
      <c r="A1295" s="1">
        <v>2394</v>
      </c>
      <c r="B1295" s="1" t="s">
        <v>3031</v>
      </c>
      <c r="C1295" s="1" t="s">
        <v>3032</v>
      </c>
      <c r="D1295" s="1" t="s">
        <v>3033</v>
      </c>
      <c r="E1295" s="1" t="s">
        <v>65</v>
      </c>
      <c r="F1295" s="1">
        <v>0</v>
      </c>
      <c r="G1295" s="1" t="s">
        <v>82</v>
      </c>
      <c r="I1295" s="1" t="s">
        <v>84</v>
      </c>
    </row>
    <row r="1296" spans="1:9" hidden="1" x14ac:dyDescent="0.3">
      <c r="A1296" s="1">
        <v>2395</v>
      </c>
      <c r="B1296" s="1" t="s">
        <v>3034</v>
      </c>
      <c r="C1296" s="1" t="s">
        <v>3035</v>
      </c>
      <c r="D1296" s="1" t="s">
        <v>278</v>
      </c>
      <c r="E1296" s="1" t="s">
        <v>1327</v>
      </c>
      <c r="F1296" s="1">
        <v>0</v>
      </c>
      <c r="G1296" s="1" t="s">
        <v>82</v>
      </c>
      <c r="I1296" s="1" t="s">
        <v>188</v>
      </c>
    </row>
    <row r="1297" spans="1:9" hidden="1" x14ac:dyDescent="0.3">
      <c r="A1297" s="1">
        <v>2396</v>
      </c>
      <c r="B1297" s="1" t="s">
        <v>3036</v>
      </c>
      <c r="C1297" s="1" t="s">
        <v>3037</v>
      </c>
      <c r="D1297" s="1" t="s">
        <v>422</v>
      </c>
      <c r="E1297" s="1" t="s">
        <v>259</v>
      </c>
      <c r="F1297" s="1">
        <v>1</v>
      </c>
      <c r="G1297" s="1" t="s">
        <v>143</v>
      </c>
      <c r="I1297" s="1" t="s">
        <v>188</v>
      </c>
    </row>
    <row r="1298" spans="1:9" hidden="1" x14ac:dyDescent="0.3">
      <c r="A1298" s="1">
        <v>2397</v>
      </c>
      <c r="B1298" s="1" t="s">
        <v>3038</v>
      </c>
      <c r="C1298" s="1" t="s">
        <v>3039</v>
      </c>
      <c r="D1298" s="1" t="s">
        <v>422</v>
      </c>
      <c r="E1298" s="1" t="s">
        <v>147</v>
      </c>
      <c r="F1298" s="1">
        <v>1</v>
      </c>
      <c r="G1298" s="1" t="s">
        <v>143</v>
      </c>
    </row>
    <row r="1299" spans="1:9" hidden="1" x14ac:dyDescent="0.3">
      <c r="A1299" s="1">
        <v>2398</v>
      </c>
      <c r="B1299" s="1" t="s">
        <v>3040</v>
      </c>
      <c r="C1299" s="1" t="s">
        <v>3041</v>
      </c>
      <c r="D1299" s="1" t="s">
        <v>422</v>
      </c>
      <c r="E1299" s="1" t="s">
        <v>1327</v>
      </c>
      <c r="F1299" s="1">
        <v>1</v>
      </c>
      <c r="G1299" s="1" t="s">
        <v>143</v>
      </c>
    </row>
    <row r="1300" spans="1:9" hidden="1" x14ac:dyDescent="0.3">
      <c r="A1300" s="1">
        <v>2399</v>
      </c>
      <c r="B1300" s="1" t="s">
        <v>3042</v>
      </c>
      <c r="C1300" s="1" t="s">
        <v>3043</v>
      </c>
      <c r="D1300" s="1" t="s">
        <v>3044</v>
      </c>
      <c r="E1300" s="1" t="s">
        <v>111</v>
      </c>
      <c r="F1300" s="1">
        <v>0</v>
      </c>
      <c r="G1300" s="1" t="s">
        <v>82</v>
      </c>
      <c r="I1300" s="1" t="s">
        <v>123</v>
      </c>
    </row>
    <row r="1301" spans="1:9" hidden="1" x14ac:dyDescent="0.3">
      <c r="A1301" s="1">
        <v>2400</v>
      </c>
      <c r="B1301" s="1" t="s">
        <v>3045</v>
      </c>
      <c r="C1301" s="1" t="s">
        <v>3046</v>
      </c>
      <c r="D1301" s="1" t="s">
        <v>230</v>
      </c>
      <c r="E1301" s="1" t="s">
        <v>197</v>
      </c>
      <c r="F1301" s="1">
        <v>1</v>
      </c>
      <c r="G1301" s="1" t="s">
        <v>143</v>
      </c>
    </row>
    <row r="1302" spans="1:9" hidden="1" x14ac:dyDescent="0.3">
      <c r="A1302" s="1">
        <v>2401</v>
      </c>
      <c r="B1302" s="1" t="s">
        <v>3047</v>
      </c>
      <c r="C1302" s="1" t="s">
        <v>3048</v>
      </c>
      <c r="D1302" s="1" t="s">
        <v>230</v>
      </c>
      <c r="E1302" s="1" t="s">
        <v>197</v>
      </c>
      <c r="F1302" s="1">
        <v>0</v>
      </c>
      <c r="G1302" s="1" t="s">
        <v>82</v>
      </c>
      <c r="I1302" s="1" t="s">
        <v>123</v>
      </c>
    </row>
    <row r="1303" spans="1:9" hidden="1" x14ac:dyDescent="0.3">
      <c r="A1303" s="1">
        <v>2402</v>
      </c>
      <c r="B1303" s="1" t="s">
        <v>3049</v>
      </c>
      <c r="C1303" s="1" t="s">
        <v>3050</v>
      </c>
      <c r="D1303" s="1" t="s">
        <v>422</v>
      </c>
      <c r="E1303" s="1" t="s">
        <v>1327</v>
      </c>
      <c r="F1303" s="1">
        <v>1</v>
      </c>
      <c r="G1303" s="1" t="s">
        <v>143</v>
      </c>
    </row>
    <row r="1304" spans="1:9" hidden="1" x14ac:dyDescent="0.3">
      <c r="A1304" s="1">
        <v>2403</v>
      </c>
      <c r="B1304" s="1" t="s">
        <v>3051</v>
      </c>
      <c r="C1304" s="1" t="s">
        <v>3052</v>
      </c>
      <c r="D1304" s="1" t="s">
        <v>252</v>
      </c>
      <c r="E1304" s="1" t="s">
        <v>255</v>
      </c>
      <c r="F1304" s="1">
        <v>0</v>
      </c>
      <c r="G1304" s="1" t="s">
        <v>82</v>
      </c>
      <c r="I1304" s="1" t="s">
        <v>188</v>
      </c>
    </row>
    <row r="1305" spans="1:9" hidden="1" x14ac:dyDescent="0.3">
      <c r="A1305" s="1">
        <v>2404</v>
      </c>
      <c r="B1305" s="1" t="s">
        <v>3053</v>
      </c>
      <c r="C1305" s="1" t="s">
        <v>3054</v>
      </c>
      <c r="D1305" s="1" t="s">
        <v>230</v>
      </c>
      <c r="E1305" s="1" t="s">
        <v>197</v>
      </c>
      <c r="F1305" s="1">
        <v>0</v>
      </c>
      <c r="G1305" s="1" t="s">
        <v>82</v>
      </c>
      <c r="I1305" s="1" t="s">
        <v>123</v>
      </c>
    </row>
    <row r="1306" spans="1:9" hidden="1" x14ac:dyDescent="0.3">
      <c r="A1306" s="1">
        <v>2405</v>
      </c>
      <c r="B1306" s="1" t="s">
        <v>3055</v>
      </c>
      <c r="C1306" s="1" t="s">
        <v>3056</v>
      </c>
      <c r="D1306" s="1" t="s">
        <v>230</v>
      </c>
      <c r="E1306" s="1" t="s">
        <v>197</v>
      </c>
      <c r="F1306" s="1">
        <v>1</v>
      </c>
      <c r="G1306" s="1" t="s">
        <v>143</v>
      </c>
      <c r="I1306" s="1" t="s">
        <v>123</v>
      </c>
    </row>
    <row r="1307" spans="1:9" hidden="1" x14ac:dyDescent="0.3">
      <c r="A1307" s="1">
        <v>2406</v>
      </c>
      <c r="B1307" s="1" t="s">
        <v>3057</v>
      </c>
      <c r="C1307" s="1" t="s">
        <v>3058</v>
      </c>
      <c r="D1307" s="1" t="s">
        <v>422</v>
      </c>
      <c r="E1307" s="1" t="s">
        <v>1327</v>
      </c>
      <c r="F1307" s="1">
        <v>1</v>
      </c>
      <c r="G1307" s="1" t="s">
        <v>143</v>
      </c>
    </row>
    <row r="1308" spans="1:9" hidden="1" x14ac:dyDescent="0.3">
      <c r="A1308" s="1">
        <v>2407</v>
      </c>
      <c r="B1308" s="1" t="s">
        <v>3059</v>
      </c>
      <c r="C1308" s="1" t="s">
        <v>3060</v>
      </c>
      <c r="D1308" s="1" t="s">
        <v>422</v>
      </c>
      <c r="E1308" s="1" t="s">
        <v>1327</v>
      </c>
      <c r="F1308" s="1">
        <v>1</v>
      </c>
      <c r="G1308" s="1" t="s">
        <v>143</v>
      </c>
    </row>
    <row r="1309" spans="1:9" hidden="1" x14ac:dyDescent="0.3">
      <c r="A1309" s="1">
        <v>2409</v>
      </c>
      <c r="B1309" s="1" t="s">
        <v>3061</v>
      </c>
      <c r="C1309" s="1" t="s">
        <v>3062</v>
      </c>
      <c r="D1309" s="1" t="s">
        <v>2189</v>
      </c>
      <c r="E1309" s="1" t="s">
        <v>1114</v>
      </c>
      <c r="F1309" s="1">
        <v>1</v>
      </c>
      <c r="G1309" s="1" t="s">
        <v>143</v>
      </c>
    </row>
    <row r="1310" spans="1:9" hidden="1" x14ac:dyDescent="0.3">
      <c r="A1310" s="1">
        <v>2410</v>
      </c>
      <c r="B1310" s="1" t="s">
        <v>3063</v>
      </c>
      <c r="C1310" s="1" t="s">
        <v>3064</v>
      </c>
      <c r="D1310" s="1" t="s">
        <v>345</v>
      </c>
      <c r="E1310" s="1" t="s">
        <v>331</v>
      </c>
      <c r="F1310" s="1">
        <v>1</v>
      </c>
      <c r="G1310" s="1" t="s">
        <v>143</v>
      </c>
    </row>
    <row r="1311" spans="1:9" hidden="1" x14ac:dyDescent="0.3">
      <c r="A1311" s="1">
        <v>2411</v>
      </c>
      <c r="B1311" s="1" t="s">
        <v>3065</v>
      </c>
      <c r="C1311" s="1" t="s">
        <v>3066</v>
      </c>
      <c r="D1311" s="1" t="s">
        <v>3067</v>
      </c>
      <c r="E1311" s="1" t="s">
        <v>3068</v>
      </c>
      <c r="F1311" s="1">
        <v>0</v>
      </c>
      <c r="G1311" s="1" t="s">
        <v>82</v>
      </c>
      <c r="I1311" s="1" t="s">
        <v>84</v>
      </c>
    </row>
    <row r="1312" spans="1:9" hidden="1" x14ac:dyDescent="0.3">
      <c r="A1312" s="1">
        <v>2412</v>
      </c>
      <c r="B1312" s="1" t="s">
        <v>3069</v>
      </c>
      <c r="C1312" s="1" t="s">
        <v>3070</v>
      </c>
      <c r="D1312" s="1" t="s">
        <v>2189</v>
      </c>
      <c r="E1312" s="1" t="s">
        <v>1114</v>
      </c>
      <c r="F1312" s="1">
        <v>1</v>
      </c>
      <c r="G1312" s="1" t="s">
        <v>143</v>
      </c>
    </row>
    <row r="1313" spans="1:9" hidden="1" x14ac:dyDescent="0.3">
      <c r="A1313" s="1">
        <v>2413</v>
      </c>
      <c r="B1313" s="1" t="s">
        <v>3071</v>
      </c>
      <c r="C1313" s="1" t="s">
        <v>3072</v>
      </c>
      <c r="D1313" s="1" t="s">
        <v>422</v>
      </c>
      <c r="E1313" s="1" t="s">
        <v>1327</v>
      </c>
      <c r="F1313" s="1">
        <v>1</v>
      </c>
      <c r="G1313" s="1" t="s">
        <v>143</v>
      </c>
    </row>
    <row r="1314" spans="1:9" hidden="1" x14ac:dyDescent="0.3">
      <c r="A1314" s="1">
        <v>2414</v>
      </c>
      <c r="B1314" s="1" t="s">
        <v>3073</v>
      </c>
      <c r="C1314" s="1" t="s">
        <v>3074</v>
      </c>
      <c r="D1314" s="1" t="s">
        <v>345</v>
      </c>
      <c r="E1314" s="1" t="s">
        <v>331</v>
      </c>
      <c r="F1314" s="1">
        <v>1</v>
      </c>
      <c r="G1314" s="1" t="s">
        <v>143</v>
      </c>
    </row>
    <row r="1315" spans="1:9" hidden="1" x14ac:dyDescent="0.3">
      <c r="A1315" s="1">
        <v>2415</v>
      </c>
      <c r="B1315" s="1" t="s">
        <v>3075</v>
      </c>
      <c r="C1315" s="1" t="s">
        <v>3076</v>
      </c>
      <c r="D1315" s="1" t="s">
        <v>422</v>
      </c>
      <c r="E1315" s="1" t="s">
        <v>340</v>
      </c>
      <c r="F1315" s="1">
        <v>1</v>
      </c>
      <c r="G1315" s="1" t="s">
        <v>143</v>
      </c>
    </row>
    <row r="1316" spans="1:9" hidden="1" x14ac:dyDescent="0.3">
      <c r="A1316" s="1">
        <v>2416</v>
      </c>
      <c r="B1316" s="1" t="s">
        <v>3077</v>
      </c>
      <c r="C1316" s="1" t="s">
        <v>3078</v>
      </c>
      <c r="D1316" s="1" t="s">
        <v>422</v>
      </c>
      <c r="E1316" s="1" t="s">
        <v>2498</v>
      </c>
      <c r="F1316" s="1">
        <v>1</v>
      </c>
      <c r="G1316" s="1" t="s">
        <v>143</v>
      </c>
    </row>
    <row r="1317" spans="1:9" hidden="1" x14ac:dyDescent="0.3">
      <c r="A1317" s="1">
        <v>2417</v>
      </c>
      <c r="B1317" s="1" t="s">
        <v>3079</v>
      </c>
      <c r="C1317" s="1" t="s">
        <v>3080</v>
      </c>
      <c r="D1317" s="1" t="s">
        <v>2010</v>
      </c>
      <c r="E1317" s="1" t="s">
        <v>68</v>
      </c>
      <c r="F1317" s="1">
        <v>1</v>
      </c>
      <c r="G1317" s="1" t="s">
        <v>143</v>
      </c>
    </row>
    <row r="1318" spans="1:9" x14ac:dyDescent="0.3">
      <c r="A1318" s="1">
        <v>2418</v>
      </c>
      <c r="B1318" s="1" t="s">
        <v>3081</v>
      </c>
      <c r="C1318" s="1" t="s">
        <v>3082</v>
      </c>
      <c r="D1318" s="1" t="s">
        <v>527</v>
      </c>
      <c r="E1318" s="1" t="s">
        <v>215</v>
      </c>
      <c r="F1318" s="1">
        <v>0</v>
      </c>
      <c r="G1318" s="1" t="s">
        <v>82</v>
      </c>
      <c r="I1318" s="1" t="s">
        <v>123</v>
      </c>
    </row>
    <row r="1319" spans="1:9" hidden="1" x14ac:dyDescent="0.3">
      <c r="A1319" s="1">
        <v>2419</v>
      </c>
      <c r="B1319" s="1" t="s">
        <v>3083</v>
      </c>
      <c r="C1319" s="1" t="s">
        <v>3084</v>
      </c>
      <c r="D1319" s="1" t="s">
        <v>3085</v>
      </c>
      <c r="E1319" s="1" t="s">
        <v>118</v>
      </c>
      <c r="F1319" s="1">
        <v>0</v>
      </c>
      <c r="G1319" s="1" t="s">
        <v>82</v>
      </c>
      <c r="I1319" s="1" t="s">
        <v>123</v>
      </c>
    </row>
    <row r="1320" spans="1:9" hidden="1" x14ac:dyDescent="0.3">
      <c r="A1320" s="1">
        <v>2420</v>
      </c>
      <c r="B1320" s="1" t="s">
        <v>3086</v>
      </c>
      <c r="C1320" s="1" t="s">
        <v>3087</v>
      </c>
      <c r="D1320" s="1" t="s">
        <v>2439</v>
      </c>
      <c r="E1320" s="1" t="s">
        <v>142</v>
      </c>
      <c r="F1320" s="1">
        <v>1</v>
      </c>
      <c r="G1320" s="1" t="s">
        <v>143</v>
      </c>
      <c r="I1320" s="1" t="s">
        <v>123</v>
      </c>
    </row>
    <row r="1321" spans="1:9" hidden="1" x14ac:dyDescent="0.3">
      <c r="A1321" s="1">
        <v>2421</v>
      </c>
      <c r="B1321" s="1" t="s">
        <v>3088</v>
      </c>
      <c r="C1321" s="1" t="s">
        <v>3089</v>
      </c>
      <c r="D1321" s="1" t="s">
        <v>2439</v>
      </c>
      <c r="E1321" s="1" t="s">
        <v>142</v>
      </c>
      <c r="F1321" s="1">
        <v>1</v>
      </c>
      <c r="G1321" s="1" t="s">
        <v>143</v>
      </c>
      <c r="I1321" s="1" t="s">
        <v>123</v>
      </c>
    </row>
    <row r="1322" spans="1:9" hidden="1" x14ac:dyDescent="0.3">
      <c r="A1322" s="1">
        <v>2422</v>
      </c>
      <c r="B1322" s="1" t="s">
        <v>3090</v>
      </c>
      <c r="C1322" s="1" t="s">
        <v>3091</v>
      </c>
      <c r="D1322" s="1" t="s">
        <v>230</v>
      </c>
      <c r="E1322" s="1" t="s">
        <v>197</v>
      </c>
      <c r="F1322" s="1">
        <v>1</v>
      </c>
      <c r="G1322" s="1" t="s">
        <v>143</v>
      </c>
      <c r="I1322" s="1" t="s">
        <v>123</v>
      </c>
    </row>
    <row r="1323" spans="1:9" hidden="1" x14ac:dyDescent="0.3">
      <c r="A1323" s="1">
        <v>2423</v>
      </c>
      <c r="B1323" s="1" t="s">
        <v>3092</v>
      </c>
      <c r="C1323" s="1" t="s">
        <v>3093</v>
      </c>
      <c r="D1323" s="1" t="s">
        <v>336</v>
      </c>
      <c r="E1323" s="1" t="s">
        <v>331</v>
      </c>
      <c r="F1323" s="1">
        <v>1</v>
      </c>
      <c r="G1323" s="1" t="s">
        <v>143</v>
      </c>
    </row>
    <row r="1324" spans="1:9" hidden="1" x14ac:dyDescent="0.3">
      <c r="A1324" s="1">
        <v>2424</v>
      </c>
      <c r="B1324" s="1" t="s">
        <v>3094</v>
      </c>
      <c r="C1324" s="1" t="s">
        <v>3095</v>
      </c>
      <c r="D1324" s="1" t="s">
        <v>252</v>
      </c>
      <c r="E1324" s="1" t="s">
        <v>255</v>
      </c>
      <c r="F1324" s="1">
        <v>1</v>
      </c>
      <c r="G1324" s="1" t="s">
        <v>143</v>
      </c>
    </row>
    <row r="1325" spans="1:9" hidden="1" x14ac:dyDescent="0.3">
      <c r="A1325" s="1">
        <v>2425</v>
      </c>
      <c r="B1325" s="1" t="s">
        <v>3096</v>
      </c>
      <c r="C1325" s="1" t="s">
        <v>3097</v>
      </c>
      <c r="D1325" s="1" t="s">
        <v>345</v>
      </c>
      <c r="E1325" s="1" t="s">
        <v>331</v>
      </c>
      <c r="F1325" s="1">
        <v>1</v>
      </c>
      <c r="G1325" s="1" t="s">
        <v>143</v>
      </c>
    </row>
    <row r="1326" spans="1:9" hidden="1" x14ac:dyDescent="0.3">
      <c r="A1326" s="1">
        <v>2427</v>
      </c>
      <c r="B1326" s="1" t="s">
        <v>3098</v>
      </c>
      <c r="C1326" s="1" t="s">
        <v>3099</v>
      </c>
      <c r="D1326" s="1" t="s">
        <v>2439</v>
      </c>
      <c r="E1326" s="1" t="s">
        <v>142</v>
      </c>
      <c r="F1326" s="1">
        <v>0</v>
      </c>
      <c r="G1326" s="1" t="s">
        <v>82</v>
      </c>
      <c r="I1326" s="1" t="s">
        <v>123</v>
      </c>
    </row>
    <row r="1327" spans="1:9" hidden="1" x14ac:dyDescent="0.3">
      <c r="A1327" s="1">
        <v>2428</v>
      </c>
      <c r="B1327" s="1" t="s">
        <v>3100</v>
      </c>
      <c r="C1327" s="1" t="s">
        <v>3101</v>
      </c>
      <c r="D1327" s="1" t="s">
        <v>422</v>
      </c>
      <c r="E1327" s="1" t="s">
        <v>1327</v>
      </c>
      <c r="F1327" s="1">
        <v>1</v>
      </c>
      <c r="G1327" s="1" t="s">
        <v>143</v>
      </c>
      <c r="I1327" s="1" t="s">
        <v>188</v>
      </c>
    </row>
    <row r="1328" spans="1:9" hidden="1" x14ac:dyDescent="0.3">
      <c r="A1328" s="1">
        <v>2429</v>
      </c>
      <c r="B1328" s="1" t="s">
        <v>3102</v>
      </c>
      <c r="C1328" s="1" t="s">
        <v>3103</v>
      </c>
      <c r="D1328" s="1" t="s">
        <v>3104</v>
      </c>
      <c r="E1328" s="1" t="s">
        <v>331</v>
      </c>
      <c r="F1328" s="1">
        <v>1</v>
      </c>
      <c r="G1328" s="1" t="s">
        <v>143</v>
      </c>
    </row>
    <row r="1329" spans="1:9" hidden="1" x14ac:dyDescent="0.3">
      <c r="A1329" s="1">
        <v>2430</v>
      </c>
      <c r="B1329" s="1" t="s">
        <v>3105</v>
      </c>
      <c r="C1329" s="1" t="s">
        <v>3106</v>
      </c>
      <c r="D1329" s="1" t="s">
        <v>252</v>
      </c>
      <c r="E1329" s="1" t="s">
        <v>340</v>
      </c>
      <c r="F1329" s="1">
        <v>0</v>
      </c>
      <c r="G1329" s="1" t="s">
        <v>82</v>
      </c>
      <c r="I1329" s="1" t="s">
        <v>188</v>
      </c>
    </row>
    <row r="1330" spans="1:9" hidden="1" x14ac:dyDescent="0.3">
      <c r="A1330" s="1">
        <v>2431</v>
      </c>
      <c r="B1330" s="1" t="s">
        <v>3107</v>
      </c>
      <c r="C1330" s="1" t="s">
        <v>3108</v>
      </c>
      <c r="D1330" s="1" t="s">
        <v>278</v>
      </c>
      <c r="E1330" s="1" t="s">
        <v>340</v>
      </c>
      <c r="F1330" s="1">
        <v>1</v>
      </c>
      <c r="G1330" s="1" t="s">
        <v>143</v>
      </c>
      <c r="I1330" s="1" t="s">
        <v>188</v>
      </c>
    </row>
    <row r="1331" spans="1:9" hidden="1" x14ac:dyDescent="0.3">
      <c r="A1331" s="1">
        <v>2432</v>
      </c>
      <c r="B1331" s="1" t="s">
        <v>3109</v>
      </c>
      <c r="C1331" s="1" t="s">
        <v>3110</v>
      </c>
      <c r="D1331" s="1" t="s">
        <v>278</v>
      </c>
      <c r="E1331" s="1" t="s">
        <v>259</v>
      </c>
      <c r="F1331" s="1">
        <v>0</v>
      </c>
      <c r="G1331" s="1" t="s">
        <v>82</v>
      </c>
      <c r="I1331" s="1" t="s">
        <v>188</v>
      </c>
    </row>
    <row r="1332" spans="1:9" hidden="1" x14ac:dyDescent="0.3">
      <c r="A1332" s="1">
        <v>2433</v>
      </c>
      <c r="B1332" s="1" t="s">
        <v>3111</v>
      </c>
      <c r="C1332" s="1" t="s">
        <v>3112</v>
      </c>
      <c r="D1332" s="1" t="s">
        <v>422</v>
      </c>
      <c r="E1332" s="1" t="s">
        <v>1327</v>
      </c>
      <c r="F1332" s="1">
        <v>1</v>
      </c>
      <c r="G1332" s="1" t="s">
        <v>143</v>
      </c>
    </row>
    <row r="1333" spans="1:9" hidden="1" x14ac:dyDescent="0.3">
      <c r="A1333" s="1">
        <v>2434</v>
      </c>
      <c r="B1333" s="1" t="s">
        <v>3113</v>
      </c>
      <c r="C1333" s="1" t="s">
        <v>3114</v>
      </c>
      <c r="D1333" s="1" t="s">
        <v>422</v>
      </c>
      <c r="E1333" s="1" t="s">
        <v>1327</v>
      </c>
      <c r="F1333" s="1">
        <v>1</v>
      </c>
      <c r="G1333" s="1" t="s">
        <v>143</v>
      </c>
    </row>
    <row r="1334" spans="1:9" hidden="1" x14ac:dyDescent="0.3">
      <c r="A1334" s="1">
        <v>2435</v>
      </c>
      <c r="B1334" s="1" t="s">
        <v>3115</v>
      </c>
      <c r="C1334" s="1" t="s">
        <v>3116</v>
      </c>
      <c r="D1334" s="1" t="s">
        <v>2189</v>
      </c>
      <c r="E1334" s="1" t="s">
        <v>1114</v>
      </c>
      <c r="F1334" s="1">
        <v>0</v>
      </c>
      <c r="G1334" s="1" t="s">
        <v>82</v>
      </c>
      <c r="I1334" s="1" t="s">
        <v>188</v>
      </c>
    </row>
    <row r="1335" spans="1:9" hidden="1" x14ac:dyDescent="0.3">
      <c r="A1335" s="1">
        <v>2436</v>
      </c>
      <c r="B1335" s="1" t="s">
        <v>3117</v>
      </c>
      <c r="C1335" s="1" t="s">
        <v>3118</v>
      </c>
      <c r="D1335" s="1" t="s">
        <v>2189</v>
      </c>
      <c r="E1335" s="1" t="s">
        <v>1114</v>
      </c>
      <c r="F1335" s="1">
        <v>1</v>
      </c>
      <c r="G1335" s="1" t="s">
        <v>143</v>
      </c>
      <c r="I1335" s="1" t="s">
        <v>188</v>
      </c>
    </row>
    <row r="1336" spans="1:9" hidden="1" x14ac:dyDescent="0.3">
      <c r="A1336" s="1">
        <v>2437</v>
      </c>
      <c r="B1336" s="1" t="s">
        <v>3119</v>
      </c>
      <c r="C1336" s="1" t="s">
        <v>3120</v>
      </c>
      <c r="D1336" s="1" t="s">
        <v>447</v>
      </c>
      <c r="E1336" s="1" t="s">
        <v>68</v>
      </c>
      <c r="F1336" s="1">
        <v>0</v>
      </c>
      <c r="G1336" s="1" t="s">
        <v>82</v>
      </c>
      <c r="I1336" s="1" t="s">
        <v>123</v>
      </c>
    </row>
    <row r="1337" spans="1:9" hidden="1" x14ac:dyDescent="0.3">
      <c r="A1337" s="1">
        <v>2438</v>
      </c>
      <c r="B1337" s="1" t="s">
        <v>3121</v>
      </c>
      <c r="C1337" s="1" t="s">
        <v>3122</v>
      </c>
      <c r="D1337" s="1" t="s">
        <v>422</v>
      </c>
      <c r="E1337" s="1" t="s">
        <v>255</v>
      </c>
      <c r="F1337" s="1">
        <v>0</v>
      </c>
      <c r="G1337" s="1" t="s">
        <v>82</v>
      </c>
      <c r="I1337" s="1" t="s">
        <v>188</v>
      </c>
    </row>
    <row r="1338" spans="1:9" hidden="1" x14ac:dyDescent="0.3">
      <c r="A1338" s="1">
        <v>2439</v>
      </c>
      <c r="B1338" s="1" t="s">
        <v>3123</v>
      </c>
      <c r="C1338" s="1" t="s">
        <v>3124</v>
      </c>
      <c r="D1338" s="1" t="s">
        <v>278</v>
      </c>
      <c r="E1338" s="1" t="s">
        <v>340</v>
      </c>
      <c r="F1338" s="1">
        <v>0</v>
      </c>
      <c r="G1338" s="1" t="s">
        <v>82</v>
      </c>
      <c r="I1338" s="1" t="s">
        <v>188</v>
      </c>
    </row>
    <row r="1339" spans="1:9" hidden="1" x14ac:dyDescent="0.3">
      <c r="A1339" s="1">
        <v>2440</v>
      </c>
      <c r="B1339" s="1" t="s">
        <v>3125</v>
      </c>
      <c r="C1339" s="1" t="s">
        <v>3126</v>
      </c>
      <c r="D1339" s="1" t="s">
        <v>3127</v>
      </c>
      <c r="E1339" s="1" t="s">
        <v>2692</v>
      </c>
      <c r="F1339" s="1">
        <v>0</v>
      </c>
      <c r="G1339" s="1" t="s">
        <v>82</v>
      </c>
      <c r="I1339" s="1" t="s">
        <v>123</v>
      </c>
    </row>
    <row r="1340" spans="1:9" hidden="1" x14ac:dyDescent="0.3">
      <c r="A1340" s="1">
        <v>2441</v>
      </c>
      <c r="B1340" s="1" t="s">
        <v>3128</v>
      </c>
      <c r="C1340" s="1" t="s">
        <v>3129</v>
      </c>
      <c r="D1340" s="1" t="s">
        <v>3127</v>
      </c>
      <c r="E1340" s="1" t="s">
        <v>2692</v>
      </c>
      <c r="F1340" s="1">
        <v>1</v>
      </c>
      <c r="G1340" s="1" t="s">
        <v>143</v>
      </c>
      <c r="I1340" s="1" t="s">
        <v>123</v>
      </c>
    </row>
    <row r="1341" spans="1:9" hidden="1" x14ac:dyDescent="0.3">
      <c r="A1341" s="1">
        <v>2442</v>
      </c>
      <c r="B1341" s="1" t="s">
        <v>3130</v>
      </c>
      <c r="C1341" s="1" t="s">
        <v>3131</v>
      </c>
      <c r="D1341" s="1" t="s">
        <v>3127</v>
      </c>
      <c r="E1341" s="1" t="s">
        <v>2692</v>
      </c>
      <c r="F1341" s="1">
        <v>0</v>
      </c>
      <c r="G1341" s="1" t="s">
        <v>82</v>
      </c>
      <c r="I1341" s="1" t="s">
        <v>123</v>
      </c>
    </row>
    <row r="1342" spans="1:9" hidden="1" x14ac:dyDescent="0.3">
      <c r="A1342" s="1">
        <v>2443</v>
      </c>
      <c r="B1342" s="1" t="s">
        <v>3132</v>
      </c>
      <c r="C1342" s="1" t="s">
        <v>3133</v>
      </c>
      <c r="D1342" s="1" t="s">
        <v>3127</v>
      </c>
      <c r="E1342" s="1" t="s">
        <v>2692</v>
      </c>
      <c r="F1342" s="1">
        <v>1</v>
      </c>
      <c r="G1342" s="1" t="s">
        <v>143</v>
      </c>
    </row>
    <row r="1343" spans="1:9" hidden="1" x14ac:dyDescent="0.3">
      <c r="A1343" s="1">
        <v>2444</v>
      </c>
      <c r="B1343" s="1" t="s">
        <v>3134</v>
      </c>
      <c r="C1343" s="1" t="s">
        <v>3135</v>
      </c>
      <c r="D1343" s="1" t="s">
        <v>3127</v>
      </c>
      <c r="E1343" s="1" t="s">
        <v>2692</v>
      </c>
      <c r="F1343" s="1">
        <v>0</v>
      </c>
      <c r="G1343" s="1" t="s">
        <v>82</v>
      </c>
      <c r="I1343" s="1" t="s">
        <v>123</v>
      </c>
    </row>
    <row r="1344" spans="1:9" hidden="1" x14ac:dyDescent="0.3">
      <c r="A1344" s="1">
        <v>2445</v>
      </c>
      <c r="B1344" s="1" t="s">
        <v>3136</v>
      </c>
      <c r="C1344" s="1" t="s">
        <v>3137</v>
      </c>
      <c r="D1344" s="1" t="s">
        <v>3127</v>
      </c>
      <c r="E1344" s="1" t="s">
        <v>2692</v>
      </c>
      <c r="F1344" s="1">
        <v>0</v>
      </c>
      <c r="G1344" s="1" t="s">
        <v>82</v>
      </c>
      <c r="I1344" s="1" t="s">
        <v>123</v>
      </c>
    </row>
    <row r="1345" spans="1:9" x14ac:dyDescent="0.3">
      <c r="A1345" s="1">
        <v>2446</v>
      </c>
      <c r="B1345" s="1" t="s">
        <v>3138</v>
      </c>
      <c r="C1345" s="1" t="s">
        <v>3139</v>
      </c>
      <c r="D1345" s="1" t="s">
        <v>3140</v>
      </c>
      <c r="E1345" s="1" t="s">
        <v>215</v>
      </c>
      <c r="F1345" s="1">
        <v>0</v>
      </c>
      <c r="G1345" s="1" t="s">
        <v>82</v>
      </c>
      <c r="I1345" s="1" t="s">
        <v>123</v>
      </c>
    </row>
    <row r="1346" spans="1:9" hidden="1" x14ac:dyDescent="0.3">
      <c r="A1346" s="1">
        <v>2447</v>
      </c>
      <c r="B1346" s="1" t="s">
        <v>3141</v>
      </c>
      <c r="C1346" s="1" t="s">
        <v>3142</v>
      </c>
      <c r="D1346" s="1" t="s">
        <v>283</v>
      </c>
      <c r="E1346" s="1" t="s">
        <v>197</v>
      </c>
      <c r="F1346" s="1">
        <v>1</v>
      </c>
      <c r="G1346" s="1" t="s">
        <v>143</v>
      </c>
    </row>
    <row r="1347" spans="1:9" hidden="1" x14ac:dyDescent="0.3">
      <c r="A1347" s="1">
        <v>2448</v>
      </c>
      <c r="B1347" s="1" t="s">
        <v>3143</v>
      </c>
      <c r="C1347" s="1" t="s">
        <v>3144</v>
      </c>
      <c r="D1347" s="1" t="s">
        <v>1608</v>
      </c>
      <c r="E1347" s="1" t="s">
        <v>215</v>
      </c>
      <c r="F1347" s="1">
        <v>1</v>
      </c>
      <c r="G1347" s="1" t="s">
        <v>143</v>
      </c>
      <c r="I1347" s="1" t="s">
        <v>123</v>
      </c>
    </row>
    <row r="1348" spans="1:9" hidden="1" x14ac:dyDescent="0.3">
      <c r="A1348" s="1">
        <v>2449</v>
      </c>
      <c r="B1348" s="1" t="s">
        <v>3145</v>
      </c>
      <c r="C1348" s="1" t="s">
        <v>3146</v>
      </c>
      <c r="D1348" s="1" t="s">
        <v>740</v>
      </c>
      <c r="E1348" s="1" t="s">
        <v>142</v>
      </c>
      <c r="F1348" s="1">
        <v>0</v>
      </c>
      <c r="G1348" s="1" t="s">
        <v>82</v>
      </c>
      <c r="I1348" s="1" t="s">
        <v>123</v>
      </c>
    </row>
    <row r="1349" spans="1:9" hidden="1" x14ac:dyDescent="0.3">
      <c r="A1349" s="1">
        <v>2450</v>
      </c>
      <c r="B1349" s="1" t="s">
        <v>3147</v>
      </c>
      <c r="C1349" s="1" t="s">
        <v>3148</v>
      </c>
      <c r="D1349" s="1" t="s">
        <v>3149</v>
      </c>
      <c r="E1349" s="1" t="s">
        <v>142</v>
      </c>
      <c r="F1349" s="1">
        <v>1</v>
      </c>
      <c r="G1349" s="1" t="s">
        <v>143</v>
      </c>
    </row>
    <row r="1350" spans="1:9" hidden="1" x14ac:dyDescent="0.3">
      <c r="A1350" s="1">
        <v>2451</v>
      </c>
      <c r="B1350" s="1" t="s">
        <v>3150</v>
      </c>
      <c r="C1350" s="1" t="s">
        <v>3151</v>
      </c>
      <c r="D1350" s="1" t="s">
        <v>252</v>
      </c>
      <c r="E1350" s="1" t="s">
        <v>340</v>
      </c>
      <c r="F1350" s="1">
        <v>1</v>
      </c>
      <c r="G1350" s="1" t="s">
        <v>143</v>
      </c>
      <c r="I1350" s="1" t="s">
        <v>188</v>
      </c>
    </row>
    <row r="1351" spans="1:9" hidden="1" x14ac:dyDescent="0.3">
      <c r="A1351" s="1">
        <v>2452</v>
      </c>
      <c r="B1351" s="1" t="s">
        <v>3152</v>
      </c>
      <c r="C1351" s="1" t="s">
        <v>3153</v>
      </c>
      <c r="D1351" s="1" t="s">
        <v>422</v>
      </c>
      <c r="E1351" s="1" t="s">
        <v>147</v>
      </c>
      <c r="F1351" s="1">
        <v>1</v>
      </c>
      <c r="G1351" s="1" t="s">
        <v>143</v>
      </c>
      <c r="I1351" s="1" t="s">
        <v>188</v>
      </c>
    </row>
    <row r="1352" spans="1:9" hidden="1" x14ac:dyDescent="0.3">
      <c r="A1352" s="1">
        <v>2453</v>
      </c>
      <c r="B1352" s="1" t="s">
        <v>3154</v>
      </c>
      <c r="C1352" s="1" t="s">
        <v>3155</v>
      </c>
      <c r="D1352" s="1" t="s">
        <v>252</v>
      </c>
      <c r="E1352" s="1" t="s">
        <v>255</v>
      </c>
      <c r="F1352" s="1">
        <v>0</v>
      </c>
      <c r="G1352" s="1" t="s">
        <v>82</v>
      </c>
      <c r="I1352" s="1" t="s">
        <v>188</v>
      </c>
    </row>
    <row r="1353" spans="1:9" hidden="1" x14ac:dyDescent="0.3">
      <c r="A1353" s="1">
        <v>2454</v>
      </c>
      <c r="B1353" s="1" t="s">
        <v>3156</v>
      </c>
      <c r="C1353" s="1" t="s">
        <v>3157</v>
      </c>
      <c r="D1353" s="1" t="s">
        <v>422</v>
      </c>
      <c r="E1353" s="1" t="s">
        <v>259</v>
      </c>
      <c r="F1353" s="1">
        <v>1</v>
      </c>
      <c r="G1353" s="1" t="s">
        <v>143</v>
      </c>
    </row>
    <row r="1354" spans="1:9" hidden="1" x14ac:dyDescent="0.3">
      <c r="A1354" s="1">
        <v>2455</v>
      </c>
      <c r="B1354" s="1" t="s">
        <v>3158</v>
      </c>
      <c r="C1354" s="1" t="s">
        <v>3159</v>
      </c>
      <c r="D1354" s="1" t="s">
        <v>3160</v>
      </c>
      <c r="E1354" s="1" t="s">
        <v>3161</v>
      </c>
      <c r="F1354" s="1">
        <v>1</v>
      </c>
      <c r="G1354" s="1" t="s">
        <v>143</v>
      </c>
    </row>
    <row r="1355" spans="1:9" hidden="1" x14ac:dyDescent="0.3">
      <c r="A1355" s="1">
        <v>2456</v>
      </c>
      <c r="B1355" s="1" t="s">
        <v>3162</v>
      </c>
      <c r="C1355" s="1" t="s">
        <v>3163</v>
      </c>
      <c r="D1355" s="1" t="s">
        <v>422</v>
      </c>
      <c r="E1355" s="1" t="s">
        <v>259</v>
      </c>
      <c r="F1355" s="1">
        <v>1</v>
      </c>
      <c r="G1355" s="1" t="s">
        <v>143</v>
      </c>
    </row>
    <row r="1356" spans="1:9" hidden="1" x14ac:dyDescent="0.3">
      <c r="A1356" s="1">
        <v>2457</v>
      </c>
      <c r="B1356" s="1" t="s">
        <v>3164</v>
      </c>
      <c r="C1356" s="1" t="s">
        <v>3165</v>
      </c>
      <c r="D1356" s="1" t="s">
        <v>65</v>
      </c>
      <c r="E1356" s="1" t="s">
        <v>142</v>
      </c>
      <c r="F1356" s="1">
        <v>1</v>
      </c>
      <c r="G1356" s="1" t="s">
        <v>143</v>
      </c>
    </row>
    <row r="1357" spans="1:9" hidden="1" x14ac:dyDescent="0.3">
      <c r="A1357" s="1">
        <v>2458</v>
      </c>
      <c r="B1357" s="1" t="s">
        <v>3166</v>
      </c>
      <c r="C1357" s="1" t="s">
        <v>3167</v>
      </c>
      <c r="D1357" s="1" t="s">
        <v>1276</v>
      </c>
      <c r="E1357" s="1" t="s">
        <v>1663</v>
      </c>
      <c r="F1357" s="1">
        <v>0</v>
      </c>
      <c r="G1357" s="1" t="s">
        <v>82</v>
      </c>
      <c r="I1357" s="1" t="s">
        <v>123</v>
      </c>
    </row>
    <row r="1358" spans="1:9" hidden="1" x14ac:dyDescent="0.3">
      <c r="A1358" s="1">
        <v>2459</v>
      </c>
      <c r="B1358" s="1" t="s">
        <v>3168</v>
      </c>
      <c r="C1358" s="1" t="s">
        <v>3169</v>
      </c>
      <c r="D1358" s="1" t="s">
        <v>230</v>
      </c>
      <c r="E1358" s="1" t="s">
        <v>197</v>
      </c>
      <c r="F1358" s="1">
        <v>1</v>
      </c>
      <c r="G1358" s="1" t="s">
        <v>143</v>
      </c>
    </row>
    <row r="1359" spans="1:9" hidden="1" x14ac:dyDescent="0.3">
      <c r="A1359" s="1">
        <v>2460</v>
      </c>
      <c r="B1359" s="1" t="s">
        <v>3170</v>
      </c>
      <c r="C1359" s="1" t="s">
        <v>3171</v>
      </c>
      <c r="D1359" s="1" t="s">
        <v>1552</v>
      </c>
      <c r="E1359" s="1" t="s">
        <v>111</v>
      </c>
      <c r="F1359" s="1">
        <v>0</v>
      </c>
      <c r="G1359" s="1" t="s">
        <v>82</v>
      </c>
      <c r="I1359" s="1" t="s">
        <v>123</v>
      </c>
    </row>
    <row r="1360" spans="1:9" hidden="1" x14ac:dyDescent="0.3">
      <c r="A1360" s="1">
        <v>2461</v>
      </c>
      <c r="B1360" s="1" t="s">
        <v>3172</v>
      </c>
      <c r="C1360" s="1" t="s">
        <v>3173</v>
      </c>
      <c r="D1360" s="1" t="s">
        <v>422</v>
      </c>
      <c r="E1360" s="1" t="s">
        <v>147</v>
      </c>
      <c r="F1360" s="1">
        <v>0</v>
      </c>
      <c r="G1360" s="1" t="s">
        <v>82</v>
      </c>
      <c r="I1360" s="1" t="s">
        <v>188</v>
      </c>
    </row>
    <row r="1361" spans="1:9" hidden="1" x14ac:dyDescent="0.3">
      <c r="A1361" s="1">
        <v>2462</v>
      </c>
      <c r="B1361" s="1" t="s">
        <v>3174</v>
      </c>
      <c r="C1361" s="1" t="s">
        <v>3175</v>
      </c>
      <c r="D1361" s="1" t="s">
        <v>230</v>
      </c>
      <c r="E1361" s="1" t="s">
        <v>197</v>
      </c>
      <c r="F1361" s="1">
        <v>1</v>
      </c>
      <c r="G1361" s="1" t="s">
        <v>143</v>
      </c>
    </row>
    <row r="1362" spans="1:9" hidden="1" x14ac:dyDescent="0.3">
      <c r="A1362" s="1">
        <v>2463</v>
      </c>
      <c r="B1362" s="1" t="s">
        <v>3176</v>
      </c>
      <c r="C1362" s="1" t="s">
        <v>3177</v>
      </c>
      <c r="D1362" s="1" t="s">
        <v>252</v>
      </c>
      <c r="E1362" s="1" t="s">
        <v>255</v>
      </c>
      <c r="F1362" s="1">
        <v>0</v>
      </c>
      <c r="G1362" s="1" t="s">
        <v>82</v>
      </c>
      <c r="I1362" s="1" t="s">
        <v>188</v>
      </c>
    </row>
    <row r="1363" spans="1:9" hidden="1" x14ac:dyDescent="0.3">
      <c r="A1363" s="1">
        <v>2464</v>
      </c>
      <c r="B1363" s="1" t="s">
        <v>3178</v>
      </c>
      <c r="C1363" s="1" t="s">
        <v>3179</v>
      </c>
      <c r="D1363" s="1" t="s">
        <v>422</v>
      </c>
      <c r="E1363" s="1" t="s">
        <v>255</v>
      </c>
      <c r="F1363" s="1">
        <v>1</v>
      </c>
      <c r="G1363" s="1" t="s">
        <v>143</v>
      </c>
      <c r="I1363" s="1" t="s">
        <v>188</v>
      </c>
    </row>
    <row r="1364" spans="1:9" hidden="1" x14ac:dyDescent="0.3">
      <c r="A1364" s="1">
        <v>2465</v>
      </c>
      <c r="B1364" s="1" t="s">
        <v>3180</v>
      </c>
      <c r="C1364" s="1" t="s">
        <v>3181</v>
      </c>
      <c r="D1364" s="1" t="s">
        <v>1914</v>
      </c>
      <c r="E1364" s="1" t="s">
        <v>215</v>
      </c>
      <c r="F1364" s="1">
        <v>1</v>
      </c>
      <c r="G1364" s="1" t="s">
        <v>143</v>
      </c>
      <c r="I1364" s="1" t="s">
        <v>123</v>
      </c>
    </row>
    <row r="1365" spans="1:9" hidden="1" x14ac:dyDescent="0.3">
      <c r="A1365" s="1">
        <v>2467</v>
      </c>
      <c r="B1365" s="1" t="s">
        <v>3182</v>
      </c>
      <c r="C1365" s="1" t="s">
        <v>3183</v>
      </c>
      <c r="D1365" s="1" t="s">
        <v>252</v>
      </c>
      <c r="E1365" s="1" t="s">
        <v>147</v>
      </c>
      <c r="F1365" s="1">
        <v>1</v>
      </c>
      <c r="G1365" s="1" t="s">
        <v>143</v>
      </c>
      <c r="I1365" s="1" t="s">
        <v>188</v>
      </c>
    </row>
    <row r="1366" spans="1:9" hidden="1" x14ac:dyDescent="0.3">
      <c r="A1366" s="1">
        <v>2468</v>
      </c>
      <c r="B1366" s="1" t="s">
        <v>3184</v>
      </c>
      <c r="C1366" s="1" t="s">
        <v>3185</v>
      </c>
      <c r="D1366" s="1" t="s">
        <v>422</v>
      </c>
      <c r="E1366" s="1" t="s">
        <v>259</v>
      </c>
      <c r="F1366" s="1">
        <v>1</v>
      </c>
      <c r="G1366" s="1" t="s">
        <v>143</v>
      </c>
      <c r="I1366" s="1" t="s">
        <v>188</v>
      </c>
    </row>
    <row r="1367" spans="1:9" hidden="1" x14ac:dyDescent="0.3">
      <c r="A1367" s="1">
        <v>2469</v>
      </c>
      <c r="B1367" s="1" t="s">
        <v>3186</v>
      </c>
      <c r="C1367" s="1" t="s">
        <v>3187</v>
      </c>
      <c r="D1367" s="1" t="s">
        <v>1901</v>
      </c>
      <c r="E1367" s="1" t="s">
        <v>91</v>
      </c>
      <c r="F1367" s="1">
        <v>1</v>
      </c>
      <c r="G1367" s="1" t="s">
        <v>143</v>
      </c>
    </row>
    <row r="1368" spans="1:9" hidden="1" x14ac:dyDescent="0.3">
      <c r="A1368" s="1">
        <v>2470</v>
      </c>
      <c r="B1368" s="1" t="s">
        <v>3188</v>
      </c>
      <c r="C1368" s="1" t="s">
        <v>3189</v>
      </c>
      <c r="D1368" s="1" t="s">
        <v>2002</v>
      </c>
      <c r="E1368" s="1" t="s">
        <v>111</v>
      </c>
      <c r="F1368" s="1">
        <v>1</v>
      </c>
      <c r="G1368" s="1" t="s">
        <v>143</v>
      </c>
      <c r="I1368" s="1" t="s">
        <v>123</v>
      </c>
    </row>
    <row r="1369" spans="1:9" hidden="1" x14ac:dyDescent="0.3">
      <c r="A1369" s="1">
        <v>2471</v>
      </c>
      <c r="B1369" s="1" t="s">
        <v>3190</v>
      </c>
      <c r="C1369" s="1" t="s">
        <v>3191</v>
      </c>
      <c r="D1369" s="1" t="s">
        <v>252</v>
      </c>
      <c r="E1369" s="1" t="s">
        <v>340</v>
      </c>
      <c r="F1369" s="1">
        <v>1</v>
      </c>
      <c r="G1369" s="1" t="s">
        <v>143</v>
      </c>
      <c r="I1369" s="1" t="s">
        <v>188</v>
      </c>
    </row>
    <row r="1370" spans="1:9" hidden="1" x14ac:dyDescent="0.3">
      <c r="A1370" s="1">
        <v>2472</v>
      </c>
      <c r="B1370" s="1" t="s">
        <v>3192</v>
      </c>
      <c r="C1370" s="1" t="s">
        <v>3193</v>
      </c>
      <c r="D1370" s="1" t="s">
        <v>422</v>
      </c>
      <c r="E1370" s="1" t="s">
        <v>340</v>
      </c>
      <c r="F1370" s="1">
        <v>1</v>
      </c>
      <c r="G1370" s="1" t="s">
        <v>143</v>
      </c>
    </row>
    <row r="1371" spans="1:9" hidden="1" x14ac:dyDescent="0.3">
      <c r="A1371" s="1">
        <v>2473</v>
      </c>
      <c r="B1371" s="1" t="s">
        <v>3194</v>
      </c>
      <c r="C1371" s="1" t="s">
        <v>3195</v>
      </c>
      <c r="D1371" s="1" t="s">
        <v>2890</v>
      </c>
      <c r="E1371" s="1" t="s">
        <v>1304</v>
      </c>
      <c r="F1371" s="1">
        <v>1</v>
      </c>
      <c r="G1371" s="1" t="s">
        <v>143</v>
      </c>
    </row>
    <row r="1372" spans="1:9" hidden="1" x14ac:dyDescent="0.3">
      <c r="A1372" s="1">
        <v>2474</v>
      </c>
      <c r="B1372" s="1" t="s">
        <v>3196</v>
      </c>
      <c r="C1372" s="1" t="s">
        <v>3197</v>
      </c>
      <c r="D1372" s="1" t="s">
        <v>422</v>
      </c>
      <c r="E1372" s="1" t="s">
        <v>147</v>
      </c>
      <c r="F1372" s="1">
        <v>1</v>
      </c>
      <c r="G1372" s="1" t="s">
        <v>143</v>
      </c>
    </row>
    <row r="1373" spans="1:9" hidden="1" x14ac:dyDescent="0.3">
      <c r="A1373" s="1">
        <v>2475</v>
      </c>
      <c r="B1373" s="1" t="s">
        <v>3198</v>
      </c>
      <c r="C1373" s="1" t="s">
        <v>3199</v>
      </c>
      <c r="D1373" s="1" t="s">
        <v>230</v>
      </c>
      <c r="E1373" s="1" t="s">
        <v>197</v>
      </c>
      <c r="F1373" s="1">
        <v>1</v>
      </c>
      <c r="G1373" s="1" t="s">
        <v>143</v>
      </c>
    </row>
    <row r="1374" spans="1:9" hidden="1" x14ac:dyDescent="0.3">
      <c r="A1374" s="1">
        <v>2476</v>
      </c>
      <c r="B1374" s="1" t="s">
        <v>3200</v>
      </c>
      <c r="C1374" s="1" t="s">
        <v>3201</v>
      </c>
      <c r="D1374" s="1" t="s">
        <v>422</v>
      </c>
      <c r="E1374" s="1" t="s">
        <v>259</v>
      </c>
      <c r="F1374" s="1">
        <v>1</v>
      </c>
      <c r="G1374" s="1" t="s">
        <v>143</v>
      </c>
      <c r="I1374" s="1" t="s">
        <v>188</v>
      </c>
    </row>
    <row r="1375" spans="1:9" hidden="1" x14ac:dyDescent="0.3">
      <c r="A1375" s="1">
        <v>2477</v>
      </c>
      <c r="B1375" s="1" t="s">
        <v>3202</v>
      </c>
      <c r="C1375" s="1" t="s">
        <v>3203</v>
      </c>
      <c r="D1375" s="1" t="s">
        <v>278</v>
      </c>
      <c r="E1375" s="1" t="s">
        <v>1114</v>
      </c>
      <c r="F1375" s="1">
        <v>1</v>
      </c>
      <c r="G1375" s="1" t="s">
        <v>143</v>
      </c>
    </row>
    <row r="1376" spans="1:9" hidden="1" x14ac:dyDescent="0.3">
      <c r="A1376" s="1">
        <v>2478</v>
      </c>
      <c r="B1376" s="1" t="s">
        <v>3204</v>
      </c>
      <c r="C1376" s="1" t="s">
        <v>3205</v>
      </c>
      <c r="D1376" s="1" t="s">
        <v>1914</v>
      </c>
      <c r="E1376" s="1" t="s">
        <v>215</v>
      </c>
      <c r="F1376" s="1">
        <v>1</v>
      </c>
      <c r="G1376" s="1" t="s">
        <v>143</v>
      </c>
    </row>
    <row r="1377" spans="1:9" x14ac:dyDescent="0.3">
      <c r="A1377" s="1">
        <v>2479</v>
      </c>
      <c r="B1377" s="1" t="s">
        <v>3206</v>
      </c>
      <c r="C1377" s="1" t="s">
        <v>3207</v>
      </c>
      <c r="D1377" s="1" t="s">
        <v>214</v>
      </c>
      <c r="E1377" s="1" t="s">
        <v>215</v>
      </c>
      <c r="F1377" s="1">
        <v>0</v>
      </c>
      <c r="G1377" s="1" t="s">
        <v>82</v>
      </c>
      <c r="I1377" s="1" t="s">
        <v>123</v>
      </c>
    </row>
    <row r="1378" spans="1:9" x14ac:dyDescent="0.3">
      <c r="A1378" s="1">
        <v>2480</v>
      </c>
      <c r="B1378" s="1" t="s">
        <v>3208</v>
      </c>
      <c r="C1378" s="1" t="s">
        <v>3209</v>
      </c>
      <c r="D1378" s="1" t="s">
        <v>429</v>
      </c>
      <c r="E1378" s="1" t="s">
        <v>215</v>
      </c>
      <c r="F1378" s="1">
        <v>0</v>
      </c>
      <c r="G1378" s="1" t="s">
        <v>82</v>
      </c>
      <c r="I1378" s="1" t="s">
        <v>123</v>
      </c>
    </row>
    <row r="1379" spans="1:9" hidden="1" x14ac:dyDescent="0.3">
      <c r="A1379" s="1">
        <v>2481</v>
      </c>
      <c r="B1379" s="1" t="s">
        <v>3210</v>
      </c>
      <c r="C1379" s="1" t="s">
        <v>3211</v>
      </c>
      <c r="D1379" s="1" t="s">
        <v>252</v>
      </c>
      <c r="E1379" s="1" t="s">
        <v>259</v>
      </c>
      <c r="F1379" s="1">
        <v>1</v>
      </c>
      <c r="G1379" s="1" t="s">
        <v>143</v>
      </c>
    </row>
    <row r="1380" spans="1:9" hidden="1" x14ac:dyDescent="0.3">
      <c r="A1380" s="1">
        <v>2482</v>
      </c>
      <c r="B1380" s="1" t="s">
        <v>3212</v>
      </c>
      <c r="C1380" s="1" t="s">
        <v>3213</v>
      </c>
      <c r="D1380" s="1" t="s">
        <v>1608</v>
      </c>
      <c r="E1380" s="1" t="s">
        <v>215</v>
      </c>
      <c r="F1380" s="1">
        <v>1</v>
      </c>
      <c r="G1380" s="1" t="s">
        <v>143</v>
      </c>
      <c r="I1380" s="1" t="s">
        <v>123</v>
      </c>
    </row>
    <row r="1381" spans="1:9" hidden="1" x14ac:dyDescent="0.3">
      <c r="A1381" s="1">
        <v>2483</v>
      </c>
      <c r="B1381" s="1" t="s">
        <v>3214</v>
      </c>
      <c r="C1381" s="1" t="s">
        <v>3215</v>
      </c>
      <c r="D1381" s="1" t="s">
        <v>227</v>
      </c>
      <c r="E1381" s="1" t="s">
        <v>65</v>
      </c>
      <c r="F1381" s="1">
        <v>1</v>
      </c>
      <c r="G1381" s="1" t="s">
        <v>143</v>
      </c>
    </row>
    <row r="1382" spans="1:9" hidden="1" x14ac:dyDescent="0.3">
      <c r="A1382" s="1">
        <v>2484</v>
      </c>
      <c r="B1382" s="1" t="s">
        <v>3216</v>
      </c>
      <c r="C1382" s="1" t="s">
        <v>3217</v>
      </c>
      <c r="D1382" s="1" t="s">
        <v>422</v>
      </c>
      <c r="E1382" s="1" t="s">
        <v>147</v>
      </c>
      <c r="F1382" s="1">
        <v>1</v>
      </c>
      <c r="G1382" s="1" t="s">
        <v>143</v>
      </c>
    </row>
    <row r="1383" spans="1:9" hidden="1" x14ac:dyDescent="0.3">
      <c r="A1383" s="1">
        <v>2485</v>
      </c>
      <c r="B1383" s="1" t="s">
        <v>3218</v>
      </c>
      <c r="C1383" s="1" t="s">
        <v>3219</v>
      </c>
      <c r="D1383" s="1" t="s">
        <v>2478</v>
      </c>
      <c r="E1383" s="1" t="s">
        <v>147</v>
      </c>
      <c r="F1383" s="1">
        <v>1</v>
      </c>
      <c r="G1383" s="1" t="s">
        <v>143</v>
      </c>
      <c r="I1383" s="1" t="s">
        <v>84</v>
      </c>
    </row>
    <row r="1384" spans="1:9" hidden="1" x14ac:dyDescent="0.3">
      <c r="A1384" s="1">
        <v>2486</v>
      </c>
      <c r="B1384" s="1" t="s">
        <v>3220</v>
      </c>
      <c r="C1384" s="1" t="s">
        <v>3221</v>
      </c>
      <c r="D1384" s="1" t="s">
        <v>779</v>
      </c>
      <c r="E1384" s="1" t="s">
        <v>255</v>
      </c>
      <c r="F1384" s="1">
        <v>1</v>
      </c>
      <c r="G1384" s="1" t="s">
        <v>143</v>
      </c>
    </row>
    <row r="1385" spans="1:9" hidden="1" x14ac:dyDescent="0.3">
      <c r="A1385" s="1">
        <v>2487</v>
      </c>
      <c r="B1385" s="1" t="s">
        <v>3222</v>
      </c>
      <c r="C1385" s="1" t="s">
        <v>3223</v>
      </c>
      <c r="D1385" s="1" t="s">
        <v>2184</v>
      </c>
      <c r="E1385" s="1" t="s">
        <v>1114</v>
      </c>
      <c r="F1385" s="1">
        <v>1</v>
      </c>
      <c r="G1385" s="1" t="s">
        <v>143</v>
      </c>
    </row>
    <row r="1386" spans="1:9" hidden="1" x14ac:dyDescent="0.3">
      <c r="A1386" s="1">
        <v>2488</v>
      </c>
      <c r="B1386" s="1" t="s">
        <v>3224</v>
      </c>
      <c r="C1386" s="1" t="s">
        <v>3225</v>
      </c>
      <c r="D1386" s="1" t="s">
        <v>422</v>
      </c>
      <c r="E1386" s="1" t="s">
        <v>147</v>
      </c>
      <c r="F1386" s="1">
        <v>1</v>
      </c>
      <c r="G1386" s="1" t="s">
        <v>143</v>
      </c>
      <c r="I1386" s="1" t="s">
        <v>188</v>
      </c>
    </row>
    <row r="1387" spans="1:9" hidden="1" x14ac:dyDescent="0.3">
      <c r="A1387" s="1">
        <v>2489</v>
      </c>
      <c r="B1387" s="1" t="s">
        <v>3226</v>
      </c>
      <c r="C1387" s="1" t="s">
        <v>3227</v>
      </c>
      <c r="D1387" s="1" t="s">
        <v>690</v>
      </c>
      <c r="E1387" s="1" t="s">
        <v>130</v>
      </c>
      <c r="F1387" s="1">
        <v>0</v>
      </c>
      <c r="G1387" s="1" t="s">
        <v>82</v>
      </c>
      <c r="I1387" s="1" t="s">
        <v>123</v>
      </c>
    </row>
    <row r="1388" spans="1:9" hidden="1" x14ac:dyDescent="0.3">
      <c r="A1388" s="1">
        <v>2490</v>
      </c>
      <c r="B1388" s="1" t="s">
        <v>3228</v>
      </c>
      <c r="C1388" s="1" t="s">
        <v>3229</v>
      </c>
      <c r="D1388" s="1" t="s">
        <v>3230</v>
      </c>
      <c r="E1388" s="1" t="s">
        <v>95</v>
      </c>
      <c r="F1388" s="1">
        <v>1</v>
      </c>
      <c r="G1388" s="1" t="s">
        <v>143</v>
      </c>
    </row>
    <row r="1389" spans="1:9" hidden="1" x14ac:dyDescent="0.3">
      <c r="A1389" s="1">
        <v>2491</v>
      </c>
      <c r="B1389" s="1" t="s">
        <v>3231</v>
      </c>
      <c r="C1389" s="1" t="s">
        <v>3232</v>
      </c>
      <c r="D1389" s="1" t="s">
        <v>2189</v>
      </c>
      <c r="E1389" s="1" t="s">
        <v>1114</v>
      </c>
      <c r="F1389" s="1">
        <v>1</v>
      </c>
      <c r="G1389" s="1" t="s">
        <v>143</v>
      </c>
    </row>
    <row r="1390" spans="1:9" hidden="1" x14ac:dyDescent="0.3">
      <c r="A1390" s="1">
        <v>2492</v>
      </c>
      <c r="B1390" s="1" t="s">
        <v>3233</v>
      </c>
      <c r="C1390" s="1" t="s">
        <v>3234</v>
      </c>
      <c r="D1390" s="1" t="s">
        <v>3235</v>
      </c>
      <c r="E1390" s="1" t="s">
        <v>142</v>
      </c>
      <c r="F1390" s="1">
        <v>0</v>
      </c>
      <c r="G1390" s="1" t="s">
        <v>82</v>
      </c>
      <c r="I1390" s="1" t="s">
        <v>123</v>
      </c>
    </row>
    <row r="1391" spans="1:9" hidden="1" x14ac:dyDescent="0.3">
      <c r="A1391" s="1">
        <v>2493</v>
      </c>
      <c r="B1391" s="1" t="s">
        <v>3236</v>
      </c>
      <c r="C1391" s="1" t="s">
        <v>3237</v>
      </c>
      <c r="D1391" s="1" t="s">
        <v>447</v>
      </c>
      <c r="E1391" s="1" t="s">
        <v>197</v>
      </c>
      <c r="F1391" s="1">
        <v>0</v>
      </c>
      <c r="G1391" s="1" t="s">
        <v>82</v>
      </c>
      <c r="I1391" s="1" t="s">
        <v>123</v>
      </c>
    </row>
    <row r="1392" spans="1:9" hidden="1" x14ac:dyDescent="0.3">
      <c r="A1392" s="1">
        <v>2494</v>
      </c>
      <c r="B1392" s="1" t="s">
        <v>3238</v>
      </c>
      <c r="C1392" s="1" t="s">
        <v>3239</v>
      </c>
      <c r="D1392" s="1" t="s">
        <v>422</v>
      </c>
      <c r="E1392" s="1" t="s">
        <v>340</v>
      </c>
      <c r="F1392" s="1">
        <v>1</v>
      </c>
      <c r="G1392" s="1" t="s">
        <v>143</v>
      </c>
    </row>
    <row r="1393" spans="1:9" hidden="1" x14ac:dyDescent="0.3">
      <c r="A1393" s="1">
        <v>2495</v>
      </c>
      <c r="B1393" s="1" t="s">
        <v>3240</v>
      </c>
      <c r="C1393" s="1" t="s">
        <v>3241</v>
      </c>
      <c r="D1393" s="1" t="s">
        <v>422</v>
      </c>
      <c r="E1393" s="1" t="s">
        <v>255</v>
      </c>
      <c r="F1393" s="1">
        <v>1</v>
      </c>
      <c r="G1393" s="1" t="s">
        <v>143</v>
      </c>
      <c r="I1393" s="1" t="s">
        <v>188</v>
      </c>
    </row>
    <row r="1394" spans="1:9" hidden="1" x14ac:dyDescent="0.3">
      <c r="A1394" s="1">
        <v>2496</v>
      </c>
      <c r="B1394" s="1" t="s">
        <v>3242</v>
      </c>
      <c r="C1394" s="1" t="s">
        <v>3243</v>
      </c>
      <c r="D1394" s="1" t="s">
        <v>422</v>
      </c>
      <c r="E1394" s="1" t="s">
        <v>340</v>
      </c>
      <c r="F1394" s="1">
        <v>0</v>
      </c>
      <c r="G1394" s="1" t="s">
        <v>82</v>
      </c>
      <c r="I1394" s="1" t="s">
        <v>188</v>
      </c>
    </row>
    <row r="1395" spans="1:9" hidden="1" x14ac:dyDescent="0.3">
      <c r="A1395" s="1">
        <v>2497</v>
      </c>
      <c r="B1395" s="1" t="s">
        <v>3244</v>
      </c>
      <c r="C1395" s="1" t="s">
        <v>3245</v>
      </c>
      <c r="D1395" s="1" t="s">
        <v>230</v>
      </c>
      <c r="E1395" s="1" t="s">
        <v>197</v>
      </c>
      <c r="F1395" s="1">
        <v>1</v>
      </c>
      <c r="G1395" s="1" t="s">
        <v>143</v>
      </c>
    </row>
    <row r="1396" spans="1:9" hidden="1" x14ac:dyDescent="0.3">
      <c r="A1396" s="1">
        <v>2498</v>
      </c>
      <c r="B1396" s="1" t="s">
        <v>3246</v>
      </c>
      <c r="C1396" s="1" t="s">
        <v>3247</v>
      </c>
      <c r="D1396" s="1" t="s">
        <v>623</v>
      </c>
      <c r="E1396" s="1" t="s">
        <v>111</v>
      </c>
      <c r="F1396" s="1">
        <v>0</v>
      </c>
      <c r="G1396" s="1" t="s">
        <v>82</v>
      </c>
      <c r="I1396" s="1" t="s">
        <v>123</v>
      </c>
    </row>
    <row r="1397" spans="1:9" hidden="1" x14ac:dyDescent="0.3">
      <c r="A1397" s="1">
        <v>2499</v>
      </c>
      <c r="B1397" s="1" t="s">
        <v>3248</v>
      </c>
      <c r="C1397" s="1" t="s">
        <v>3249</v>
      </c>
      <c r="D1397" s="1" t="s">
        <v>1642</v>
      </c>
      <c r="E1397" s="1" t="s">
        <v>142</v>
      </c>
      <c r="F1397" s="1">
        <v>1</v>
      </c>
      <c r="G1397" s="1" t="s">
        <v>143</v>
      </c>
    </row>
    <row r="1398" spans="1:9" hidden="1" x14ac:dyDescent="0.3">
      <c r="A1398" s="1">
        <v>2500</v>
      </c>
      <c r="B1398" s="1" t="s">
        <v>3250</v>
      </c>
      <c r="C1398" s="1" t="s">
        <v>3251</v>
      </c>
      <c r="D1398" s="1" t="s">
        <v>2373</v>
      </c>
      <c r="E1398" s="1" t="s">
        <v>68</v>
      </c>
      <c r="F1398" s="1">
        <v>1</v>
      </c>
      <c r="G1398" s="1" t="s">
        <v>143</v>
      </c>
    </row>
    <row r="1399" spans="1:9" hidden="1" x14ac:dyDescent="0.3">
      <c r="A1399" s="1">
        <v>2501</v>
      </c>
      <c r="B1399" s="1" t="s">
        <v>3252</v>
      </c>
      <c r="C1399" s="1" t="s">
        <v>3253</v>
      </c>
      <c r="D1399" s="1" t="s">
        <v>3254</v>
      </c>
      <c r="E1399" s="1" t="s">
        <v>289</v>
      </c>
      <c r="F1399" s="1">
        <v>0</v>
      </c>
      <c r="G1399" s="1" t="s">
        <v>82</v>
      </c>
      <c r="I1399" s="1" t="s">
        <v>123</v>
      </c>
    </row>
    <row r="1400" spans="1:9" hidden="1" x14ac:dyDescent="0.3">
      <c r="A1400" s="1">
        <v>2502</v>
      </c>
      <c r="B1400" s="1" t="s">
        <v>3255</v>
      </c>
      <c r="C1400" s="1" t="s">
        <v>3256</v>
      </c>
      <c r="D1400" s="1" t="s">
        <v>422</v>
      </c>
      <c r="E1400" s="1" t="s">
        <v>1327</v>
      </c>
      <c r="F1400" s="1">
        <v>1</v>
      </c>
      <c r="G1400" s="1" t="s">
        <v>143</v>
      </c>
    </row>
    <row r="1401" spans="1:9" hidden="1" x14ac:dyDescent="0.3">
      <c r="A1401" s="1">
        <v>2503</v>
      </c>
      <c r="B1401" s="1" t="s">
        <v>3257</v>
      </c>
      <c r="C1401" s="1" t="s">
        <v>3258</v>
      </c>
      <c r="D1401" s="1" t="s">
        <v>422</v>
      </c>
      <c r="E1401" s="1" t="s">
        <v>340</v>
      </c>
      <c r="F1401" s="1">
        <v>1</v>
      </c>
      <c r="G1401" s="1" t="s">
        <v>143</v>
      </c>
      <c r="I1401" s="1" t="s">
        <v>188</v>
      </c>
    </row>
    <row r="1402" spans="1:9" hidden="1" x14ac:dyDescent="0.3">
      <c r="A1402" s="1">
        <v>2504</v>
      </c>
      <c r="B1402" s="1" t="s">
        <v>3259</v>
      </c>
      <c r="C1402" s="1" t="s">
        <v>3260</v>
      </c>
      <c r="D1402" s="1" t="s">
        <v>623</v>
      </c>
      <c r="E1402" s="1" t="s">
        <v>111</v>
      </c>
      <c r="F1402" s="1">
        <v>0</v>
      </c>
      <c r="G1402" s="1" t="s">
        <v>82</v>
      </c>
      <c r="I1402" s="1" t="s">
        <v>123</v>
      </c>
    </row>
    <row r="1403" spans="1:9" hidden="1" x14ac:dyDescent="0.3">
      <c r="A1403" s="1">
        <v>2505</v>
      </c>
      <c r="B1403" s="1" t="s">
        <v>3261</v>
      </c>
      <c r="C1403" s="1" t="s">
        <v>3262</v>
      </c>
      <c r="D1403" s="1" t="s">
        <v>2426</v>
      </c>
      <c r="E1403" s="1" t="s">
        <v>142</v>
      </c>
      <c r="F1403" s="1">
        <v>0</v>
      </c>
      <c r="G1403" s="1" t="s">
        <v>82</v>
      </c>
      <c r="I1403" s="1" t="s">
        <v>123</v>
      </c>
    </row>
    <row r="1404" spans="1:9" hidden="1" x14ac:dyDescent="0.3">
      <c r="A1404" s="1">
        <v>2506</v>
      </c>
      <c r="B1404" s="1" t="s">
        <v>3263</v>
      </c>
      <c r="C1404" s="1" t="s">
        <v>3264</v>
      </c>
      <c r="D1404" s="1" t="s">
        <v>2189</v>
      </c>
      <c r="E1404" s="1" t="s">
        <v>1114</v>
      </c>
      <c r="F1404" s="1">
        <v>1</v>
      </c>
      <c r="G1404" s="1" t="s">
        <v>143</v>
      </c>
    </row>
    <row r="1405" spans="1:9" hidden="1" x14ac:dyDescent="0.3">
      <c r="A1405" s="1">
        <v>2507</v>
      </c>
      <c r="B1405" s="1" t="s">
        <v>3265</v>
      </c>
      <c r="C1405" s="1" t="s">
        <v>3266</v>
      </c>
      <c r="D1405" s="1" t="s">
        <v>422</v>
      </c>
      <c r="E1405" s="1" t="s">
        <v>1327</v>
      </c>
      <c r="F1405" s="1">
        <v>1</v>
      </c>
      <c r="G1405" s="1" t="s">
        <v>143</v>
      </c>
    </row>
    <row r="1406" spans="1:9" hidden="1" x14ac:dyDescent="0.3">
      <c r="A1406" s="1">
        <v>2508</v>
      </c>
      <c r="B1406" s="1" t="s">
        <v>3267</v>
      </c>
      <c r="C1406" s="1" t="s">
        <v>3268</v>
      </c>
      <c r="D1406" s="1" t="s">
        <v>623</v>
      </c>
      <c r="E1406" s="1" t="s">
        <v>111</v>
      </c>
      <c r="F1406" s="1">
        <v>0</v>
      </c>
      <c r="G1406" s="1" t="s">
        <v>82</v>
      </c>
      <c r="I1406" s="1" t="s">
        <v>123</v>
      </c>
    </row>
    <row r="1407" spans="1:9" hidden="1" x14ac:dyDescent="0.3">
      <c r="A1407" s="1">
        <v>2509</v>
      </c>
      <c r="B1407" s="1" t="s">
        <v>3269</v>
      </c>
      <c r="C1407" s="1" t="s">
        <v>3270</v>
      </c>
      <c r="D1407" s="1" t="s">
        <v>623</v>
      </c>
      <c r="E1407" s="1" t="s">
        <v>111</v>
      </c>
      <c r="F1407" s="1">
        <v>0</v>
      </c>
      <c r="G1407" s="1" t="s">
        <v>82</v>
      </c>
      <c r="I1407" s="1" t="s">
        <v>123</v>
      </c>
    </row>
    <row r="1408" spans="1:9" hidden="1" x14ac:dyDescent="0.3">
      <c r="A1408" s="1">
        <v>2510</v>
      </c>
      <c r="B1408" s="1" t="s">
        <v>3271</v>
      </c>
      <c r="C1408" s="1" t="s">
        <v>3272</v>
      </c>
      <c r="D1408" s="1" t="s">
        <v>623</v>
      </c>
      <c r="E1408" s="1" t="s">
        <v>111</v>
      </c>
      <c r="F1408" s="1">
        <v>0</v>
      </c>
      <c r="G1408" s="1" t="s">
        <v>82</v>
      </c>
      <c r="I1408" s="1" t="s">
        <v>123</v>
      </c>
    </row>
    <row r="1409" spans="1:9" hidden="1" x14ac:dyDescent="0.3">
      <c r="A1409" s="1">
        <v>2511</v>
      </c>
      <c r="B1409" s="1" t="s">
        <v>3273</v>
      </c>
      <c r="C1409" s="1" t="s">
        <v>3274</v>
      </c>
      <c r="D1409" s="1" t="s">
        <v>623</v>
      </c>
      <c r="E1409" s="1" t="s">
        <v>111</v>
      </c>
      <c r="F1409" s="1">
        <v>0</v>
      </c>
      <c r="G1409" s="1" t="s">
        <v>82</v>
      </c>
      <c r="I1409" s="1" t="s">
        <v>123</v>
      </c>
    </row>
    <row r="1410" spans="1:9" hidden="1" x14ac:dyDescent="0.3">
      <c r="A1410" s="1">
        <v>2512</v>
      </c>
      <c r="B1410" s="1" t="s">
        <v>3275</v>
      </c>
      <c r="C1410" s="1" t="s">
        <v>3276</v>
      </c>
      <c r="D1410" s="1" t="s">
        <v>623</v>
      </c>
      <c r="E1410" s="1" t="s">
        <v>111</v>
      </c>
      <c r="F1410" s="1">
        <v>0</v>
      </c>
      <c r="G1410" s="1" t="s">
        <v>82</v>
      </c>
      <c r="I1410" s="1" t="s">
        <v>123</v>
      </c>
    </row>
    <row r="1411" spans="1:9" hidden="1" x14ac:dyDescent="0.3">
      <c r="A1411" s="1">
        <v>2513</v>
      </c>
      <c r="B1411" s="1" t="s">
        <v>3277</v>
      </c>
      <c r="C1411" s="1" t="s">
        <v>3278</v>
      </c>
      <c r="D1411" s="1" t="s">
        <v>422</v>
      </c>
      <c r="E1411" s="1" t="s">
        <v>259</v>
      </c>
      <c r="F1411" s="1">
        <v>1</v>
      </c>
      <c r="G1411" s="1" t="s">
        <v>143</v>
      </c>
    </row>
    <row r="1412" spans="1:9" hidden="1" x14ac:dyDescent="0.3">
      <c r="A1412" s="1">
        <v>2514</v>
      </c>
      <c r="B1412" s="1" t="s">
        <v>3279</v>
      </c>
      <c r="C1412" s="1" t="s">
        <v>3280</v>
      </c>
      <c r="D1412" s="1" t="s">
        <v>252</v>
      </c>
      <c r="E1412" s="1" t="s">
        <v>255</v>
      </c>
      <c r="F1412" s="1">
        <v>0</v>
      </c>
      <c r="G1412" s="1" t="s">
        <v>82</v>
      </c>
      <c r="I1412" s="1" t="s">
        <v>188</v>
      </c>
    </row>
    <row r="1413" spans="1:9" hidden="1" x14ac:dyDescent="0.3">
      <c r="A1413" s="1">
        <v>2515</v>
      </c>
      <c r="B1413" s="1" t="s">
        <v>3281</v>
      </c>
      <c r="C1413" s="1" t="s">
        <v>3282</v>
      </c>
      <c r="D1413" s="1" t="s">
        <v>1552</v>
      </c>
      <c r="E1413" s="1" t="s">
        <v>111</v>
      </c>
      <c r="F1413" s="1">
        <v>0</v>
      </c>
      <c r="G1413" s="1" t="s">
        <v>82</v>
      </c>
      <c r="I1413" s="1" t="s">
        <v>123</v>
      </c>
    </row>
    <row r="1414" spans="1:9" hidden="1" x14ac:dyDescent="0.3">
      <c r="A1414" s="1">
        <v>2516</v>
      </c>
      <c r="B1414" s="1" t="s">
        <v>3283</v>
      </c>
      <c r="C1414" s="1" t="s">
        <v>3284</v>
      </c>
      <c r="D1414" s="1" t="s">
        <v>3285</v>
      </c>
      <c r="E1414" s="1" t="s">
        <v>197</v>
      </c>
      <c r="F1414" s="1">
        <v>0</v>
      </c>
      <c r="G1414" s="1" t="s">
        <v>82</v>
      </c>
      <c r="I1414" s="1" t="s">
        <v>123</v>
      </c>
    </row>
    <row r="1415" spans="1:9" hidden="1" x14ac:dyDescent="0.3">
      <c r="A1415" s="1">
        <v>2517</v>
      </c>
      <c r="B1415" s="1" t="s">
        <v>3286</v>
      </c>
      <c r="C1415" s="1" t="s">
        <v>3287</v>
      </c>
      <c r="D1415" s="1" t="s">
        <v>1295</v>
      </c>
      <c r="E1415" s="1" t="s">
        <v>215</v>
      </c>
      <c r="F1415" s="1">
        <v>1</v>
      </c>
      <c r="G1415" s="1" t="s">
        <v>143</v>
      </c>
    </row>
    <row r="1416" spans="1:9" hidden="1" x14ac:dyDescent="0.3">
      <c r="A1416" s="1">
        <v>2518</v>
      </c>
      <c r="B1416" s="1" t="s">
        <v>3288</v>
      </c>
      <c r="C1416" s="1" t="s">
        <v>3289</v>
      </c>
      <c r="D1416" s="1" t="s">
        <v>623</v>
      </c>
      <c r="E1416" s="1" t="s">
        <v>111</v>
      </c>
      <c r="F1416" s="1">
        <v>0</v>
      </c>
      <c r="G1416" s="1" t="s">
        <v>82</v>
      </c>
      <c r="I1416" s="1" t="s">
        <v>123</v>
      </c>
    </row>
    <row r="1417" spans="1:9" hidden="1" x14ac:dyDescent="0.3">
      <c r="A1417" s="1">
        <v>2519</v>
      </c>
      <c r="B1417" s="1" t="s">
        <v>3290</v>
      </c>
      <c r="C1417" s="1" t="s">
        <v>3291</v>
      </c>
      <c r="D1417" s="1" t="s">
        <v>623</v>
      </c>
      <c r="E1417" s="1" t="s">
        <v>111</v>
      </c>
      <c r="F1417" s="1">
        <v>0</v>
      </c>
      <c r="G1417" s="1" t="s">
        <v>82</v>
      </c>
      <c r="I1417" s="1" t="s">
        <v>123</v>
      </c>
    </row>
    <row r="1418" spans="1:9" hidden="1" x14ac:dyDescent="0.3">
      <c r="A1418" s="1">
        <v>2520</v>
      </c>
      <c r="B1418" s="1" t="s">
        <v>3292</v>
      </c>
      <c r="C1418" s="1" t="s">
        <v>3293</v>
      </c>
      <c r="D1418" s="1" t="s">
        <v>623</v>
      </c>
      <c r="E1418" s="1" t="s">
        <v>111</v>
      </c>
      <c r="F1418" s="1">
        <v>0</v>
      </c>
      <c r="G1418" s="1" t="s">
        <v>82</v>
      </c>
      <c r="I1418" s="1" t="s">
        <v>123</v>
      </c>
    </row>
    <row r="1419" spans="1:9" hidden="1" x14ac:dyDescent="0.3">
      <c r="A1419" s="1">
        <v>2521</v>
      </c>
      <c r="B1419" s="1" t="s">
        <v>3294</v>
      </c>
      <c r="C1419" s="1" t="s">
        <v>3295</v>
      </c>
      <c r="D1419" s="1" t="s">
        <v>623</v>
      </c>
      <c r="E1419" s="1" t="s">
        <v>111</v>
      </c>
      <c r="F1419" s="1">
        <v>0</v>
      </c>
      <c r="G1419" s="1" t="s">
        <v>82</v>
      </c>
      <c r="I1419" s="1" t="s">
        <v>123</v>
      </c>
    </row>
    <row r="1420" spans="1:9" hidden="1" x14ac:dyDescent="0.3">
      <c r="A1420" s="1">
        <v>2522</v>
      </c>
      <c r="B1420" s="1" t="s">
        <v>3296</v>
      </c>
      <c r="C1420" s="1" t="s">
        <v>3297</v>
      </c>
      <c r="D1420" s="1" t="s">
        <v>623</v>
      </c>
      <c r="E1420" s="1" t="s">
        <v>111</v>
      </c>
      <c r="F1420" s="1">
        <v>0</v>
      </c>
      <c r="G1420" s="1" t="s">
        <v>82</v>
      </c>
      <c r="I1420" s="1" t="s">
        <v>123</v>
      </c>
    </row>
    <row r="1421" spans="1:9" hidden="1" x14ac:dyDescent="0.3">
      <c r="A1421" s="1">
        <v>2523</v>
      </c>
      <c r="B1421" s="1" t="s">
        <v>3298</v>
      </c>
      <c r="C1421" s="1" t="s">
        <v>3299</v>
      </c>
      <c r="D1421" s="1" t="s">
        <v>422</v>
      </c>
      <c r="E1421" s="1" t="s">
        <v>1327</v>
      </c>
      <c r="F1421" s="1">
        <v>1</v>
      </c>
      <c r="G1421" s="1" t="s">
        <v>143</v>
      </c>
    </row>
    <row r="1422" spans="1:9" hidden="1" x14ac:dyDescent="0.3">
      <c r="A1422" s="1">
        <v>2524</v>
      </c>
      <c r="B1422" s="1" t="s">
        <v>3300</v>
      </c>
      <c r="C1422" s="1" t="s">
        <v>3301</v>
      </c>
      <c r="D1422" s="1" t="s">
        <v>2189</v>
      </c>
      <c r="E1422" s="1" t="s">
        <v>1114</v>
      </c>
      <c r="F1422" s="1">
        <v>0</v>
      </c>
      <c r="G1422" s="1" t="s">
        <v>82</v>
      </c>
      <c r="I1422" s="1" t="s">
        <v>188</v>
      </c>
    </row>
    <row r="1423" spans="1:9" hidden="1" x14ac:dyDescent="0.3">
      <c r="A1423" s="1">
        <v>2525</v>
      </c>
      <c r="B1423" s="1" t="s">
        <v>3302</v>
      </c>
      <c r="C1423" s="1" t="s">
        <v>3303</v>
      </c>
      <c r="D1423" s="1" t="s">
        <v>252</v>
      </c>
      <c r="E1423" s="1" t="s">
        <v>1327</v>
      </c>
      <c r="F1423" s="1">
        <v>1</v>
      </c>
      <c r="G1423" s="1" t="s">
        <v>143</v>
      </c>
    </row>
    <row r="1424" spans="1:9" hidden="1" x14ac:dyDescent="0.3">
      <c r="A1424" s="1">
        <v>2526</v>
      </c>
      <c r="B1424" s="1" t="s">
        <v>3304</v>
      </c>
      <c r="C1424" s="1" t="s">
        <v>3305</v>
      </c>
      <c r="D1424" s="1" t="s">
        <v>422</v>
      </c>
      <c r="E1424" s="1" t="s">
        <v>1327</v>
      </c>
      <c r="F1424" s="1">
        <v>1</v>
      </c>
      <c r="G1424" s="1" t="s">
        <v>143</v>
      </c>
    </row>
    <row r="1425" spans="1:9" hidden="1" x14ac:dyDescent="0.3">
      <c r="A1425" s="1">
        <v>2527</v>
      </c>
      <c r="B1425" s="1" t="s">
        <v>3306</v>
      </c>
      <c r="C1425" s="1" t="s">
        <v>3307</v>
      </c>
      <c r="D1425" s="1" t="s">
        <v>336</v>
      </c>
      <c r="E1425" s="1" t="s">
        <v>331</v>
      </c>
      <c r="F1425" s="1">
        <v>0</v>
      </c>
      <c r="G1425" s="1" t="s">
        <v>82</v>
      </c>
      <c r="I1425" s="1" t="s">
        <v>188</v>
      </c>
    </row>
    <row r="1426" spans="1:9" hidden="1" x14ac:dyDescent="0.3">
      <c r="A1426" s="1">
        <v>2528</v>
      </c>
      <c r="B1426" s="1" t="s">
        <v>3308</v>
      </c>
      <c r="C1426" s="1" t="s">
        <v>3309</v>
      </c>
      <c r="D1426" s="1" t="s">
        <v>3310</v>
      </c>
      <c r="E1426" s="1" t="s">
        <v>95</v>
      </c>
      <c r="F1426" s="1">
        <v>0</v>
      </c>
      <c r="G1426" s="1" t="s">
        <v>82</v>
      </c>
      <c r="I1426" s="1" t="s">
        <v>123</v>
      </c>
    </row>
    <row r="1427" spans="1:9" hidden="1" x14ac:dyDescent="0.3">
      <c r="A1427" s="1">
        <v>2529</v>
      </c>
      <c r="B1427" s="1" t="s">
        <v>3311</v>
      </c>
      <c r="C1427" s="1" t="s">
        <v>3312</v>
      </c>
      <c r="D1427" s="1" t="s">
        <v>1033</v>
      </c>
      <c r="E1427" s="1" t="s">
        <v>111</v>
      </c>
      <c r="F1427" s="1">
        <v>0</v>
      </c>
      <c r="G1427" s="1" t="s">
        <v>82</v>
      </c>
      <c r="I1427" s="1" t="s">
        <v>123</v>
      </c>
    </row>
    <row r="1428" spans="1:9" hidden="1" x14ac:dyDescent="0.3">
      <c r="A1428" s="1">
        <v>2530</v>
      </c>
      <c r="B1428" s="1" t="s">
        <v>3313</v>
      </c>
      <c r="C1428" s="1" t="s">
        <v>3314</v>
      </c>
      <c r="D1428" s="1" t="s">
        <v>1552</v>
      </c>
      <c r="E1428" s="1" t="s">
        <v>111</v>
      </c>
      <c r="F1428" s="1">
        <v>1</v>
      </c>
      <c r="G1428" s="1" t="s">
        <v>143</v>
      </c>
    </row>
    <row r="1429" spans="1:9" hidden="1" x14ac:dyDescent="0.3">
      <c r="A1429" s="1">
        <v>2531</v>
      </c>
      <c r="B1429" s="1" t="s">
        <v>3315</v>
      </c>
      <c r="C1429" s="1" t="s">
        <v>3316</v>
      </c>
      <c r="D1429" s="1" t="s">
        <v>3317</v>
      </c>
      <c r="E1429" s="1" t="s">
        <v>289</v>
      </c>
      <c r="F1429" s="1">
        <v>1</v>
      </c>
      <c r="G1429" s="1" t="s">
        <v>143</v>
      </c>
    </row>
    <row r="1430" spans="1:9" hidden="1" x14ac:dyDescent="0.3">
      <c r="A1430" s="1">
        <v>2532</v>
      </c>
      <c r="B1430" s="1" t="s">
        <v>3318</v>
      </c>
      <c r="C1430" s="1" t="s">
        <v>3319</v>
      </c>
      <c r="D1430" s="1" t="s">
        <v>2189</v>
      </c>
      <c r="E1430" s="1" t="s">
        <v>1114</v>
      </c>
      <c r="F1430" s="1">
        <v>1</v>
      </c>
      <c r="G1430" s="1" t="s">
        <v>143</v>
      </c>
      <c r="I1430" s="1" t="s">
        <v>188</v>
      </c>
    </row>
    <row r="1431" spans="1:9" hidden="1" x14ac:dyDescent="0.3">
      <c r="A1431" s="1">
        <v>2533</v>
      </c>
      <c r="B1431" s="1" t="s">
        <v>3320</v>
      </c>
      <c r="C1431" s="1" t="s">
        <v>3321</v>
      </c>
      <c r="D1431" s="1" t="s">
        <v>230</v>
      </c>
      <c r="E1431" s="1" t="s">
        <v>197</v>
      </c>
      <c r="F1431" s="1">
        <v>1</v>
      </c>
      <c r="G1431" s="1" t="s">
        <v>143</v>
      </c>
      <c r="I1431" s="1" t="s">
        <v>123</v>
      </c>
    </row>
    <row r="1432" spans="1:9" hidden="1" x14ac:dyDescent="0.3">
      <c r="A1432" s="1">
        <v>2534</v>
      </c>
      <c r="B1432" s="1" t="s">
        <v>3322</v>
      </c>
      <c r="C1432" s="1" t="s">
        <v>3323</v>
      </c>
      <c r="D1432" s="1" t="s">
        <v>1006</v>
      </c>
      <c r="E1432" s="1" t="s">
        <v>111</v>
      </c>
      <c r="F1432" s="1">
        <v>0</v>
      </c>
      <c r="G1432" s="1" t="s">
        <v>82</v>
      </c>
      <c r="I1432" s="1" t="s">
        <v>123</v>
      </c>
    </row>
    <row r="1433" spans="1:9" hidden="1" x14ac:dyDescent="0.3">
      <c r="A1433" s="1">
        <v>2535</v>
      </c>
      <c r="B1433" s="1" t="s">
        <v>3324</v>
      </c>
      <c r="C1433" s="1" t="s">
        <v>3325</v>
      </c>
      <c r="D1433" s="1" t="s">
        <v>252</v>
      </c>
      <c r="E1433" s="1" t="s">
        <v>340</v>
      </c>
      <c r="F1433" s="1">
        <v>1</v>
      </c>
      <c r="G1433" s="1" t="s">
        <v>143</v>
      </c>
    </row>
    <row r="1434" spans="1:9" hidden="1" x14ac:dyDescent="0.3">
      <c r="A1434" s="1">
        <v>2537</v>
      </c>
      <c r="B1434" s="1" t="s">
        <v>3326</v>
      </c>
      <c r="C1434" s="1" t="s">
        <v>3327</v>
      </c>
      <c r="D1434" s="1" t="s">
        <v>336</v>
      </c>
      <c r="E1434" s="1" t="s">
        <v>331</v>
      </c>
      <c r="F1434" s="1">
        <v>0</v>
      </c>
      <c r="G1434" s="1" t="s">
        <v>82</v>
      </c>
      <c r="I1434" s="1" t="s">
        <v>188</v>
      </c>
    </row>
    <row r="1435" spans="1:9" hidden="1" x14ac:dyDescent="0.3">
      <c r="A1435" s="1">
        <v>2538</v>
      </c>
      <c r="B1435" s="1" t="s">
        <v>3328</v>
      </c>
      <c r="C1435" s="1" t="s">
        <v>3329</v>
      </c>
      <c r="D1435" s="1" t="s">
        <v>2184</v>
      </c>
      <c r="E1435" s="1" t="s">
        <v>1114</v>
      </c>
      <c r="F1435" s="1">
        <v>1</v>
      </c>
      <c r="G1435" s="1" t="s">
        <v>143</v>
      </c>
    </row>
    <row r="1436" spans="1:9" hidden="1" x14ac:dyDescent="0.3">
      <c r="A1436" s="1">
        <v>2539</v>
      </c>
      <c r="B1436" s="1" t="s">
        <v>3330</v>
      </c>
      <c r="C1436" s="1" t="s">
        <v>3331</v>
      </c>
      <c r="D1436" s="1" t="s">
        <v>3332</v>
      </c>
      <c r="E1436" s="1" t="s">
        <v>68</v>
      </c>
      <c r="F1436" s="1">
        <v>1</v>
      </c>
      <c r="G1436" s="1" t="s">
        <v>143</v>
      </c>
      <c r="I1436" s="1" t="s">
        <v>123</v>
      </c>
    </row>
    <row r="1437" spans="1:9" hidden="1" x14ac:dyDescent="0.3">
      <c r="A1437" s="1">
        <v>2540</v>
      </c>
      <c r="B1437" s="1" t="s">
        <v>3333</v>
      </c>
      <c r="C1437" s="1" t="s">
        <v>3334</v>
      </c>
      <c r="D1437" s="1" t="s">
        <v>336</v>
      </c>
      <c r="E1437" s="1" t="s">
        <v>331</v>
      </c>
      <c r="F1437" s="1">
        <v>1</v>
      </c>
      <c r="G1437" s="1" t="s">
        <v>143</v>
      </c>
    </row>
    <row r="1438" spans="1:9" hidden="1" x14ac:dyDescent="0.3">
      <c r="A1438" s="1">
        <v>2541</v>
      </c>
      <c r="B1438" s="1" t="s">
        <v>3335</v>
      </c>
      <c r="C1438" s="1" t="s">
        <v>3336</v>
      </c>
      <c r="D1438" s="1" t="s">
        <v>278</v>
      </c>
      <c r="E1438" s="1" t="s">
        <v>147</v>
      </c>
      <c r="F1438" s="1">
        <v>1</v>
      </c>
      <c r="G1438" s="1" t="s">
        <v>143</v>
      </c>
      <c r="I1438" s="1" t="s">
        <v>188</v>
      </c>
    </row>
    <row r="1439" spans="1:9" hidden="1" x14ac:dyDescent="0.3">
      <c r="A1439" s="1">
        <v>2542</v>
      </c>
      <c r="B1439" s="1" t="s">
        <v>3337</v>
      </c>
      <c r="C1439" s="1" t="s">
        <v>3338</v>
      </c>
      <c r="D1439" s="1" t="s">
        <v>422</v>
      </c>
      <c r="E1439" s="1" t="s">
        <v>340</v>
      </c>
      <c r="F1439" s="1">
        <v>1</v>
      </c>
      <c r="G1439" s="1" t="s">
        <v>143</v>
      </c>
    </row>
    <row r="1440" spans="1:9" hidden="1" x14ac:dyDescent="0.3">
      <c r="A1440" s="1">
        <v>2543</v>
      </c>
      <c r="B1440" s="1" t="s">
        <v>3339</v>
      </c>
      <c r="C1440" s="1" t="s">
        <v>3340</v>
      </c>
      <c r="D1440" s="1" t="s">
        <v>1552</v>
      </c>
      <c r="E1440" s="1" t="s">
        <v>111</v>
      </c>
      <c r="F1440" s="1">
        <v>1</v>
      </c>
      <c r="G1440" s="1" t="s">
        <v>143</v>
      </c>
      <c r="I1440" s="1" t="s">
        <v>123</v>
      </c>
    </row>
    <row r="1441" spans="1:9" hidden="1" x14ac:dyDescent="0.3">
      <c r="A1441" s="1">
        <v>2544</v>
      </c>
      <c r="B1441" s="1" t="s">
        <v>3341</v>
      </c>
      <c r="C1441" s="1" t="s">
        <v>3342</v>
      </c>
      <c r="D1441" s="1" t="s">
        <v>1547</v>
      </c>
      <c r="E1441" s="1" t="s">
        <v>111</v>
      </c>
      <c r="F1441" s="1">
        <v>0</v>
      </c>
      <c r="G1441" s="1" t="s">
        <v>82</v>
      </c>
      <c r="I1441" s="1" t="s">
        <v>123</v>
      </c>
    </row>
    <row r="1442" spans="1:9" hidden="1" x14ac:dyDescent="0.3">
      <c r="A1442" s="1">
        <v>2545</v>
      </c>
      <c r="B1442" s="1" t="s">
        <v>3343</v>
      </c>
      <c r="C1442" s="1" t="s">
        <v>3344</v>
      </c>
      <c r="D1442" s="1" t="s">
        <v>2184</v>
      </c>
      <c r="E1442" s="1" t="s">
        <v>1114</v>
      </c>
      <c r="F1442" s="1">
        <v>0</v>
      </c>
      <c r="G1442" s="1" t="s">
        <v>82</v>
      </c>
      <c r="I1442" s="1" t="s">
        <v>188</v>
      </c>
    </row>
    <row r="1443" spans="1:9" hidden="1" x14ac:dyDescent="0.3">
      <c r="A1443" s="1">
        <v>2546</v>
      </c>
      <c r="B1443" s="1" t="s">
        <v>3345</v>
      </c>
      <c r="C1443" s="1" t="s">
        <v>3346</v>
      </c>
      <c r="D1443" s="1" t="s">
        <v>2189</v>
      </c>
      <c r="E1443" s="1" t="s">
        <v>1114</v>
      </c>
      <c r="F1443" s="1">
        <v>1</v>
      </c>
      <c r="G1443" s="1" t="s">
        <v>143</v>
      </c>
    </row>
    <row r="1444" spans="1:9" hidden="1" x14ac:dyDescent="0.3">
      <c r="A1444" s="1">
        <v>2547</v>
      </c>
      <c r="B1444" s="1" t="s">
        <v>3347</v>
      </c>
      <c r="C1444" s="1" t="s">
        <v>3348</v>
      </c>
      <c r="D1444" s="1" t="s">
        <v>623</v>
      </c>
      <c r="E1444" s="1" t="s">
        <v>111</v>
      </c>
      <c r="F1444" s="1">
        <v>1</v>
      </c>
      <c r="G1444" s="1" t="s">
        <v>143</v>
      </c>
      <c r="I1444" s="1" t="s">
        <v>123</v>
      </c>
    </row>
    <row r="1445" spans="1:9" hidden="1" x14ac:dyDescent="0.3">
      <c r="A1445" s="1">
        <v>2548</v>
      </c>
      <c r="B1445" s="1" t="s">
        <v>3349</v>
      </c>
      <c r="C1445" s="1" t="s">
        <v>3350</v>
      </c>
      <c r="D1445" s="1" t="s">
        <v>623</v>
      </c>
      <c r="E1445" s="1" t="s">
        <v>111</v>
      </c>
      <c r="F1445" s="1">
        <v>1</v>
      </c>
      <c r="G1445" s="1" t="s">
        <v>143</v>
      </c>
    </row>
    <row r="1446" spans="1:9" hidden="1" x14ac:dyDescent="0.3">
      <c r="A1446" s="1">
        <v>2549</v>
      </c>
      <c r="B1446" s="1" t="s">
        <v>3351</v>
      </c>
      <c r="C1446" s="1" t="s">
        <v>3352</v>
      </c>
      <c r="D1446" s="1" t="s">
        <v>422</v>
      </c>
      <c r="E1446" s="1" t="s">
        <v>259</v>
      </c>
      <c r="F1446" s="1">
        <v>1</v>
      </c>
      <c r="G1446" s="1" t="s">
        <v>143</v>
      </c>
    </row>
    <row r="1447" spans="1:9" hidden="1" x14ac:dyDescent="0.3">
      <c r="A1447" s="1">
        <v>2550</v>
      </c>
      <c r="B1447" s="1" t="s">
        <v>3353</v>
      </c>
      <c r="C1447" s="1" t="s">
        <v>3354</v>
      </c>
      <c r="D1447" s="1" t="s">
        <v>252</v>
      </c>
      <c r="E1447" s="1" t="s">
        <v>340</v>
      </c>
      <c r="F1447" s="1">
        <v>0</v>
      </c>
      <c r="G1447" s="1" t="s">
        <v>82</v>
      </c>
      <c r="I1447" s="1" t="s">
        <v>188</v>
      </c>
    </row>
    <row r="1448" spans="1:9" hidden="1" x14ac:dyDescent="0.3">
      <c r="A1448" s="1">
        <v>2551</v>
      </c>
      <c r="B1448" s="1" t="s">
        <v>3355</v>
      </c>
      <c r="C1448" s="1" t="s">
        <v>3356</v>
      </c>
      <c r="D1448" s="1" t="s">
        <v>447</v>
      </c>
      <c r="E1448" s="1" t="s">
        <v>142</v>
      </c>
      <c r="F1448" s="1">
        <v>0</v>
      </c>
      <c r="G1448" s="1" t="s">
        <v>82</v>
      </c>
      <c r="I1448" s="1" t="s">
        <v>123</v>
      </c>
    </row>
    <row r="1449" spans="1:9" hidden="1" x14ac:dyDescent="0.3">
      <c r="A1449" s="1">
        <v>2552</v>
      </c>
      <c r="B1449" s="1" t="s">
        <v>3357</v>
      </c>
      <c r="C1449" s="1" t="s">
        <v>3358</v>
      </c>
      <c r="D1449" s="1" t="s">
        <v>623</v>
      </c>
      <c r="E1449" s="1" t="s">
        <v>111</v>
      </c>
      <c r="F1449" s="1">
        <v>0</v>
      </c>
      <c r="G1449" s="1" t="s">
        <v>82</v>
      </c>
      <c r="I1449" s="1" t="s">
        <v>123</v>
      </c>
    </row>
    <row r="1450" spans="1:9" hidden="1" x14ac:dyDescent="0.3">
      <c r="A1450" s="1">
        <v>2553</v>
      </c>
      <c r="C1450" s="1" t="s">
        <v>3359</v>
      </c>
      <c r="D1450" s="1" t="s">
        <v>2189</v>
      </c>
      <c r="E1450" s="1" t="s">
        <v>1114</v>
      </c>
      <c r="F1450" s="1">
        <v>1</v>
      </c>
      <c r="G1450" s="1" t="s">
        <v>143</v>
      </c>
    </row>
    <row r="1451" spans="1:9" hidden="1" x14ac:dyDescent="0.3">
      <c r="A1451" s="1">
        <v>2554</v>
      </c>
      <c r="B1451" s="1" t="s">
        <v>3360</v>
      </c>
      <c r="C1451" s="1" t="s">
        <v>3361</v>
      </c>
      <c r="D1451" s="1" t="s">
        <v>422</v>
      </c>
      <c r="E1451" s="1" t="s">
        <v>147</v>
      </c>
      <c r="F1451" s="1">
        <v>1</v>
      </c>
      <c r="G1451" s="1" t="s">
        <v>143</v>
      </c>
    </row>
    <row r="1452" spans="1:9" hidden="1" x14ac:dyDescent="0.3">
      <c r="A1452" s="1">
        <v>2555</v>
      </c>
      <c r="B1452" s="1" t="s">
        <v>3362</v>
      </c>
      <c r="C1452" s="1" t="s">
        <v>3363</v>
      </c>
      <c r="D1452" s="1" t="s">
        <v>230</v>
      </c>
      <c r="E1452" s="1" t="s">
        <v>197</v>
      </c>
      <c r="F1452" s="1">
        <v>0</v>
      </c>
      <c r="G1452" s="1" t="s">
        <v>82</v>
      </c>
      <c r="I1452" s="1" t="s">
        <v>123</v>
      </c>
    </row>
    <row r="1453" spans="1:9" hidden="1" x14ac:dyDescent="0.3">
      <c r="A1453" s="1">
        <v>2556</v>
      </c>
      <c r="B1453" s="1" t="s">
        <v>3364</v>
      </c>
      <c r="C1453" s="1" t="s">
        <v>3365</v>
      </c>
      <c r="D1453" s="1" t="s">
        <v>3366</v>
      </c>
      <c r="E1453" s="1" t="s">
        <v>68</v>
      </c>
      <c r="F1453" s="1">
        <v>0</v>
      </c>
      <c r="G1453" s="1" t="s">
        <v>82</v>
      </c>
      <c r="I1453" s="1" t="s">
        <v>123</v>
      </c>
    </row>
    <row r="1454" spans="1:9" hidden="1" x14ac:dyDescent="0.3">
      <c r="A1454" s="1">
        <v>2557</v>
      </c>
      <c r="B1454" s="1" t="s">
        <v>3367</v>
      </c>
      <c r="C1454" s="1" t="s">
        <v>3368</v>
      </c>
      <c r="D1454" s="1" t="s">
        <v>3369</v>
      </c>
      <c r="E1454" s="1" t="s">
        <v>95</v>
      </c>
      <c r="F1454" s="1">
        <v>0</v>
      </c>
      <c r="G1454" s="1" t="s">
        <v>82</v>
      </c>
      <c r="I1454" s="1" t="s">
        <v>123</v>
      </c>
    </row>
    <row r="1455" spans="1:9" hidden="1" x14ac:dyDescent="0.3">
      <c r="A1455" s="1">
        <v>2558</v>
      </c>
      <c r="B1455" s="1" t="s">
        <v>3370</v>
      </c>
      <c r="C1455" s="1" t="s">
        <v>3371</v>
      </c>
      <c r="D1455" s="1" t="s">
        <v>422</v>
      </c>
      <c r="E1455" s="1" t="s">
        <v>147</v>
      </c>
      <c r="F1455" s="1">
        <v>1</v>
      </c>
      <c r="G1455" s="1" t="s">
        <v>143</v>
      </c>
    </row>
    <row r="1456" spans="1:9" hidden="1" x14ac:dyDescent="0.3">
      <c r="A1456" s="1">
        <v>2559</v>
      </c>
      <c r="B1456" s="1" t="s">
        <v>3372</v>
      </c>
      <c r="C1456" s="1" t="s">
        <v>3373</v>
      </c>
      <c r="D1456" s="1" t="s">
        <v>365</v>
      </c>
      <c r="E1456" s="1" t="s">
        <v>147</v>
      </c>
      <c r="F1456" s="1">
        <v>1</v>
      </c>
      <c r="G1456" s="1" t="s">
        <v>143</v>
      </c>
    </row>
    <row r="1457" spans="1:9" hidden="1" x14ac:dyDescent="0.3">
      <c r="A1457" s="1">
        <v>2560</v>
      </c>
      <c r="B1457" s="1" t="s">
        <v>3374</v>
      </c>
      <c r="C1457" s="1" t="s">
        <v>3375</v>
      </c>
      <c r="D1457" s="1" t="s">
        <v>422</v>
      </c>
      <c r="E1457" s="1" t="s">
        <v>147</v>
      </c>
      <c r="F1457" s="1">
        <v>1</v>
      </c>
      <c r="G1457" s="1" t="s">
        <v>143</v>
      </c>
    </row>
    <row r="1458" spans="1:9" hidden="1" x14ac:dyDescent="0.3">
      <c r="A1458" s="1">
        <v>2561</v>
      </c>
      <c r="B1458" s="1" t="s">
        <v>3376</v>
      </c>
      <c r="C1458" s="1" t="s">
        <v>3377</v>
      </c>
      <c r="D1458" s="1" t="s">
        <v>422</v>
      </c>
      <c r="E1458" s="1" t="s">
        <v>1327</v>
      </c>
      <c r="F1458" s="1">
        <v>1</v>
      </c>
      <c r="G1458" s="1" t="s">
        <v>143</v>
      </c>
    </row>
    <row r="1459" spans="1:9" hidden="1" x14ac:dyDescent="0.3">
      <c r="A1459" s="1">
        <v>2562</v>
      </c>
      <c r="B1459" s="1" t="s">
        <v>3378</v>
      </c>
      <c r="C1459" s="1" t="s">
        <v>3379</v>
      </c>
      <c r="D1459" s="1" t="s">
        <v>2010</v>
      </c>
      <c r="E1459" s="1" t="s">
        <v>68</v>
      </c>
      <c r="F1459" s="1">
        <v>1</v>
      </c>
      <c r="G1459" s="1" t="s">
        <v>143</v>
      </c>
      <c r="I1459" s="1" t="s">
        <v>123</v>
      </c>
    </row>
    <row r="1460" spans="1:9" hidden="1" x14ac:dyDescent="0.3">
      <c r="A1460" s="1">
        <v>2563</v>
      </c>
      <c r="B1460" s="1" t="s">
        <v>3380</v>
      </c>
      <c r="C1460" s="1" t="s">
        <v>3381</v>
      </c>
      <c r="D1460" s="1" t="s">
        <v>2304</v>
      </c>
      <c r="E1460" s="1" t="s">
        <v>505</v>
      </c>
      <c r="F1460" s="1">
        <v>0</v>
      </c>
      <c r="G1460" s="1" t="s">
        <v>82</v>
      </c>
      <c r="I1460" s="1" t="s">
        <v>123</v>
      </c>
    </row>
    <row r="1461" spans="1:9" hidden="1" x14ac:dyDescent="0.3">
      <c r="A1461" s="1">
        <v>2564</v>
      </c>
      <c r="B1461" s="1" t="s">
        <v>3382</v>
      </c>
      <c r="C1461" s="1" t="s">
        <v>3383</v>
      </c>
      <c r="D1461" s="1" t="s">
        <v>779</v>
      </c>
      <c r="E1461" s="1" t="s">
        <v>1114</v>
      </c>
      <c r="F1461" s="1">
        <v>1</v>
      </c>
      <c r="G1461" s="1" t="s">
        <v>143</v>
      </c>
      <c r="I1461" s="1" t="s">
        <v>84</v>
      </c>
    </row>
    <row r="1462" spans="1:9" hidden="1" x14ac:dyDescent="0.3">
      <c r="A1462" s="1">
        <v>2565</v>
      </c>
      <c r="B1462" s="1" t="s">
        <v>3384</v>
      </c>
      <c r="C1462" s="1" t="s">
        <v>3385</v>
      </c>
      <c r="D1462" s="1" t="s">
        <v>2189</v>
      </c>
      <c r="E1462" s="1" t="s">
        <v>1114</v>
      </c>
      <c r="F1462" s="1">
        <v>1</v>
      </c>
      <c r="G1462" s="1" t="s">
        <v>143</v>
      </c>
    </row>
    <row r="1463" spans="1:9" hidden="1" x14ac:dyDescent="0.3">
      <c r="A1463" s="1">
        <v>2566</v>
      </c>
      <c r="B1463" s="1" t="s">
        <v>3386</v>
      </c>
      <c r="C1463" s="1" t="s">
        <v>3387</v>
      </c>
      <c r="D1463" s="1" t="s">
        <v>3388</v>
      </c>
      <c r="E1463" s="1" t="s">
        <v>142</v>
      </c>
      <c r="F1463" s="1">
        <v>1</v>
      </c>
      <c r="G1463" s="1" t="s">
        <v>143</v>
      </c>
    </row>
    <row r="1464" spans="1:9" hidden="1" x14ac:dyDescent="0.3">
      <c r="A1464" s="1">
        <v>2567</v>
      </c>
      <c r="B1464" s="1" t="s">
        <v>3389</v>
      </c>
      <c r="C1464" s="1" t="s">
        <v>3390</v>
      </c>
      <c r="D1464" s="1" t="s">
        <v>230</v>
      </c>
      <c r="E1464" s="1" t="s">
        <v>197</v>
      </c>
      <c r="F1464" s="1">
        <v>0</v>
      </c>
      <c r="G1464" s="1" t="s">
        <v>82</v>
      </c>
      <c r="I1464" s="1" t="s">
        <v>123</v>
      </c>
    </row>
    <row r="1465" spans="1:9" hidden="1" x14ac:dyDescent="0.3">
      <c r="A1465" s="1">
        <v>2568</v>
      </c>
      <c r="B1465" s="1" t="s">
        <v>3391</v>
      </c>
      <c r="C1465" s="1" t="s">
        <v>3392</v>
      </c>
      <c r="D1465" s="1" t="s">
        <v>230</v>
      </c>
      <c r="E1465" s="1" t="s">
        <v>197</v>
      </c>
      <c r="F1465" s="1">
        <v>1</v>
      </c>
      <c r="G1465" s="1" t="s">
        <v>143</v>
      </c>
      <c r="I1465" s="1" t="s">
        <v>123</v>
      </c>
    </row>
    <row r="1466" spans="1:9" hidden="1" x14ac:dyDescent="0.3">
      <c r="A1466" s="1">
        <v>2569</v>
      </c>
      <c r="B1466" s="1" t="s">
        <v>3393</v>
      </c>
      <c r="C1466" s="1" t="s">
        <v>3394</v>
      </c>
      <c r="D1466" s="1" t="s">
        <v>2075</v>
      </c>
      <c r="E1466" s="1" t="s">
        <v>111</v>
      </c>
      <c r="F1466" s="1">
        <v>0</v>
      </c>
      <c r="G1466" s="1" t="s">
        <v>82</v>
      </c>
      <c r="I1466" s="1" t="s">
        <v>123</v>
      </c>
    </row>
    <row r="1467" spans="1:9" hidden="1" x14ac:dyDescent="0.3">
      <c r="A1467" s="1">
        <v>2570</v>
      </c>
      <c r="B1467" s="1" t="s">
        <v>3395</v>
      </c>
      <c r="C1467" s="1" t="s">
        <v>3396</v>
      </c>
      <c r="D1467" s="1" t="s">
        <v>2327</v>
      </c>
      <c r="E1467" s="1" t="s">
        <v>170</v>
      </c>
      <c r="F1467" s="1">
        <v>1</v>
      </c>
      <c r="G1467" s="1" t="s">
        <v>143</v>
      </c>
    </row>
    <row r="1468" spans="1:9" hidden="1" x14ac:dyDescent="0.3">
      <c r="A1468" s="1">
        <v>2571</v>
      </c>
      <c r="B1468" s="1" t="s">
        <v>3397</v>
      </c>
      <c r="C1468" s="1" t="s">
        <v>3398</v>
      </c>
      <c r="D1468" s="1" t="s">
        <v>675</v>
      </c>
      <c r="E1468" s="1" t="s">
        <v>142</v>
      </c>
      <c r="F1468" s="1">
        <v>0</v>
      </c>
      <c r="G1468" s="1" t="s">
        <v>82</v>
      </c>
      <c r="I1468" s="1" t="s">
        <v>123</v>
      </c>
    </row>
    <row r="1469" spans="1:9" hidden="1" x14ac:dyDescent="0.3">
      <c r="A1469" s="1">
        <v>2572</v>
      </c>
      <c r="B1469" s="1" t="s">
        <v>3399</v>
      </c>
      <c r="C1469" s="1" t="s">
        <v>3400</v>
      </c>
      <c r="D1469" s="1" t="s">
        <v>1033</v>
      </c>
      <c r="E1469" s="1" t="s">
        <v>111</v>
      </c>
      <c r="F1469" s="1">
        <v>1</v>
      </c>
      <c r="G1469" s="1" t="s">
        <v>143</v>
      </c>
      <c r="I1469" s="1" t="s">
        <v>123</v>
      </c>
    </row>
    <row r="1470" spans="1:9" hidden="1" x14ac:dyDescent="0.3">
      <c r="A1470" s="1">
        <v>2573</v>
      </c>
      <c r="B1470" s="1" t="s">
        <v>3401</v>
      </c>
      <c r="C1470" s="1" t="s">
        <v>3402</v>
      </c>
      <c r="D1470" s="1" t="s">
        <v>2439</v>
      </c>
      <c r="E1470" s="1" t="s">
        <v>142</v>
      </c>
      <c r="F1470" s="1">
        <v>0</v>
      </c>
      <c r="G1470" s="1" t="s">
        <v>82</v>
      </c>
      <c r="I1470" s="1" t="s">
        <v>123</v>
      </c>
    </row>
    <row r="1471" spans="1:9" hidden="1" x14ac:dyDescent="0.3">
      <c r="A1471" s="1">
        <v>2574</v>
      </c>
      <c r="B1471" s="1" t="s">
        <v>3403</v>
      </c>
      <c r="C1471" s="1" t="s">
        <v>3404</v>
      </c>
      <c r="D1471" s="1" t="s">
        <v>252</v>
      </c>
      <c r="E1471" s="1" t="s">
        <v>1327</v>
      </c>
      <c r="F1471" s="1">
        <v>1</v>
      </c>
      <c r="G1471" s="1" t="s">
        <v>143</v>
      </c>
    </row>
    <row r="1472" spans="1:9" hidden="1" x14ac:dyDescent="0.3">
      <c r="A1472" s="1">
        <v>2575</v>
      </c>
      <c r="B1472" s="1" t="s">
        <v>3405</v>
      </c>
      <c r="C1472" s="1" t="s">
        <v>3406</v>
      </c>
      <c r="D1472" s="1" t="s">
        <v>252</v>
      </c>
      <c r="E1472" s="1" t="s">
        <v>1327</v>
      </c>
      <c r="F1472" s="1">
        <v>1</v>
      </c>
      <c r="G1472" s="1" t="s">
        <v>143</v>
      </c>
    </row>
    <row r="1473" spans="1:9" hidden="1" x14ac:dyDescent="0.3">
      <c r="A1473" s="1">
        <v>2576</v>
      </c>
      <c r="B1473" s="1" t="s">
        <v>3407</v>
      </c>
      <c r="C1473" s="1" t="s">
        <v>3408</v>
      </c>
      <c r="D1473" s="1" t="s">
        <v>3409</v>
      </c>
      <c r="E1473" s="1" t="s">
        <v>3068</v>
      </c>
      <c r="F1473" s="1">
        <v>0</v>
      </c>
      <c r="G1473" s="1" t="s">
        <v>82</v>
      </c>
      <c r="I1473" s="1" t="s">
        <v>84</v>
      </c>
    </row>
    <row r="1474" spans="1:9" hidden="1" x14ac:dyDescent="0.3">
      <c r="A1474" s="1">
        <v>2577</v>
      </c>
      <c r="B1474" s="1" t="s">
        <v>3410</v>
      </c>
      <c r="C1474" s="1" t="s">
        <v>3411</v>
      </c>
      <c r="D1474" s="1" t="s">
        <v>422</v>
      </c>
      <c r="E1474" s="1" t="s">
        <v>147</v>
      </c>
      <c r="F1474" s="1">
        <v>1</v>
      </c>
      <c r="G1474" s="1" t="s">
        <v>143</v>
      </c>
    </row>
    <row r="1475" spans="1:9" hidden="1" x14ac:dyDescent="0.3">
      <c r="A1475" s="1">
        <v>2578</v>
      </c>
      <c r="B1475" s="1" t="s">
        <v>3412</v>
      </c>
      <c r="C1475" s="1" t="s">
        <v>3413</v>
      </c>
      <c r="D1475" s="1" t="s">
        <v>779</v>
      </c>
      <c r="E1475" s="1" t="s">
        <v>1327</v>
      </c>
      <c r="F1475" s="1">
        <v>1</v>
      </c>
      <c r="G1475" s="1" t="s">
        <v>143</v>
      </c>
    </row>
    <row r="1476" spans="1:9" hidden="1" x14ac:dyDescent="0.3">
      <c r="A1476" s="1">
        <v>2579</v>
      </c>
      <c r="B1476" s="1" t="s">
        <v>3414</v>
      </c>
      <c r="C1476" s="1" t="s">
        <v>3415</v>
      </c>
      <c r="D1476" s="1" t="s">
        <v>422</v>
      </c>
      <c r="E1476" s="1" t="s">
        <v>147</v>
      </c>
      <c r="F1476" s="1">
        <v>1</v>
      </c>
      <c r="G1476" s="1" t="s">
        <v>143</v>
      </c>
      <c r="I1476" s="1" t="s">
        <v>188</v>
      </c>
    </row>
    <row r="1477" spans="1:9" hidden="1" x14ac:dyDescent="0.3">
      <c r="A1477" s="1">
        <v>2580</v>
      </c>
      <c r="B1477" s="1" t="s">
        <v>3416</v>
      </c>
      <c r="C1477" s="1" t="s">
        <v>3417</v>
      </c>
      <c r="D1477" s="1" t="s">
        <v>623</v>
      </c>
      <c r="E1477" s="1" t="s">
        <v>111</v>
      </c>
      <c r="F1477" s="1">
        <v>0</v>
      </c>
      <c r="G1477" s="1" t="s">
        <v>82</v>
      </c>
      <c r="I1477" s="1" t="s">
        <v>123</v>
      </c>
    </row>
    <row r="1478" spans="1:9" x14ac:dyDescent="0.3">
      <c r="A1478" s="1">
        <v>2581</v>
      </c>
      <c r="B1478" s="1" t="s">
        <v>3418</v>
      </c>
      <c r="C1478" s="1" t="s">
        <v>3419</v>
      </c>
      <c r="D1478" s="1" t="s">
        <v>1404</v>
      </c>
      <c r="E1478" s="1" t="s">
        <v>215</v>
      </c>
      <c r="F1478" s="1">
        <v>0</v>
      </c>
      <c r="G1478" s="1" t="s">
        <v>82</v>
      </c>
      <c r="I1478" s="1" t="s">
        <v>123</v>
      </c>
    </row>
    <row r="1479" spans="1:9" hidden="1" x14ac:dyDescent="0.3">
      <c r="A1479" s="1">
        <v>2582</v>
      </c>
      <c r="B1479" s="1" t="s">
        <v>3420</v>
      </c>
      <c r="C1479" s="1" t="s">
        <v>3421</v>
      </c>
      <c r="D1479" s="1" t="s">
        <v>1611</v>
      </c>
      <c r="E1479" s="1" t="s">
        <v>103</v>
      </c>
      <c r="F1479" s="1">
        <v>1</v>
      </c>
      <c r="G1479" s="1" t="s">
        <v>143</v>
      </c>
      <c r="I1479" s="1" t="s">
        <v>123</v>
      </c>
    </row>
    <row r="1480" spans="1:9" hidden="1" x14ac:dyDescent="0.3">
      <c r="A1480" s="1">
        <v>2583</v>
      </c>
      <c r="B1480" s="1" t="s">
        <v>3422</v>
      </c>
      <c r="C1480" s="1" t="s">
        <v>3423</v>
      </c>
      <c r="D1480" s="1" t="s">
        <v>278</v>
      </c>
      <c r="E1480" s="1" t="s">
        <v>1327</v>
      </c>
      <c r="F1480" s="1">
        <v>0</v>
      </c>
      <c r="G1480" s="1" t="s">
        <v>82</v>
      </c>
      <c r="I1480" s="1" t="s">
        <v>188</v>
      </c>
    </row>
    <row r="1481" spans="1:9" hidden="1" x14ac:dyDescent="0.3">
      <c r="A1481" s="1">
        <v>2584</v>
      </c>
      <c r="B1481" s="1" t="s">
        <v>3424</v>
      </c>
      <c r="C1481" s="1" t="s">
        <v>3425</v>
      </c>
      <c r="D1481" s="1" t="s">
        <v>3230</v>
      </c>
      <c r="E1481" s="1" t="s">
        <v>95</v>
      </c>
      <c r="F1481" s="1">
        <v>0</v>
      </c>
      <c r="G1481" s="1" t="s">
        <v>82</v>
      </c>
      <c r="I1481" s="1" t="s">
        <v>123</v>
      </c>
    </row>
    <row r="1482" spans="1:9" hidden="1" x14ac:dyDescent="0.3">
      <c r="A1482" s="1">
        <v>2585</v>
      </c>
      <c r="B1482" s="1" t="s">
        <v>3426</v>
      </c>
      <c r="C1482" s="1" t="s">
        <v>3427</v>
      </c>
      <c r="D1482" s="1" t="s">
        <v>3428</v>
      </c>
      <c r="E1482" s="1" t="s">
        <v>142</v>
      </c>
      <c r="F1482" s="1">
        <v>1</v>
      </c>
      <c r="G1482" s="1" t="s">
        <v>143</v>
      </c>
      <c r="I1482" s="1" t="s">
        <v>123</v>
      </c>
    </row>
    <row r="1483" spans="1:9" hidden="1" x14ac:dyDescent="0.3">
      <c r="A1483" s="1">
        <v>2586</v>
      </c>
      <c r="B1483" s="1" t="s">
        <v>3429</v>
      </c>
      <c r="C1483" s="1" t="s">
        <v>3430</v>
      </c>
      <c r="D1483" s="1" t="s">
        <v>623</v>
      </c>
      <c r="E1483" s="1" t="s">
        <v>111</v>
      </c>
      <c r="F1483" s="1">
        <v>1</v>
      </c>
      <c r="G1483" s="1" t="s">
        <v>143</v>
      </c>
    </row>
    <row r="1484" spans="1:9" hidden="1" x14ac:dyDescent="0.3">
      <c r="A1484" s="1">
        <v>2587</v>
      </c>
      <c r="B1484" s="1" t="s">
        <v>3431</v>
      </c>
      <c r="C1484" s="1" t="s">
        <v>3432</v>
      </c>
      <c r="D1484" s="1" t="s">
        <v>623</v>
      </c>
      <c r="E1484" s="1" t="s">
        <v>111</v>
      </c>
      <c r="F1484" s="1">
        <v>0</v>
      </c>
      <c r="G1484" s="1" t="s">
        <v>82</v>
      </c>
      <c r="I1484" s="1" t="s">
        <v>123</v>
      </c>
    </row>
    <row r="1485" spans="1:9" hidden="1" x14ac:dyDescent="0.3">
      <c r="A1485" s="1">
        <v>2588</v>
      </c>
      <c r="B1485" s="1" t="s">
        <v>3433</v>
      </c>
      <c r="C1485" s="1" t="s">
        <v>3434</v>
      </c>
      <c r="D1485" s="1" t="s">
        <v>181</v>
      </c>
      <c r="E1485" s="1" t="s">
        <v>111</v>
      </c>
      <c r="F1485" s="1">
        <v>0</v>
      </c>
      <c r="G1485" s="1" t="s">
        <v>82</v>
      </c>
      <c r="I1485" s="1" t="s">
        <v>123</v>
      </c>
    </row>
    <row r="1486" spans="1:9" hidden="1" x14ac:dyDescent="0.3">
      <c r="A1486" s="1">
        <v>2589</v>
      </c>
      <c r="B1486" s="1" t="s">
        <v>3435</v>
      </c>
      <c r="C1486" s="1" t="s">
        <v>3436</v>
      </c>
      <c r="D1486" s="1" t="s">
        <v>3428</v>
      </c>
      <c r="E1486" s="1" t="s">
        <v>142</v>
      </c>
      <c r="F1486" s="1">
        <v>1</v>
      </c>
      <c r="G1486" s="1" t="s">
        <v>143</v>
      </c>
    </row>
    <row r="1487" spans="1:9" hidden="1" x14ac:dyDescent="0.3">
      <c r="A1487" s="1">
        <v>2590</v>
      </c>
      <c r="B1487" s="1" t="s">
        <v>3437</v>
      </c>
      <c r="C1487" s="1" t="s">
        <v>3438</v>
      </c>
      <c r="D1487" s="1" t="s">
        <v>345</v>
      </c>
      <c r="E1487" s="1" t="s">
        <v>331</v>
      </c>
      <c r="F1487" s="1">
        <v>1</v>
      </c>
      <c r="G1487" s="1" t="s">
        <v>143</v>
      </c>
      <c r="I1487" s="1" t="s">
        <v>188</v>
      </c>
    </row>
    <row r="1488" spans="1:9" hidden="1" x14ac:dyDescent="0.3">
      <c r="A1488" s="1">
        <v>2591</v>
      </c>
      <c r="B1488" s="1" t="s">
        <v>3439</v>
      </c>
      <c r="C1488" s="1" t="s">
        <v>3440</v>
      </c>
      <c r="D1488" s="1" t="s">
        <v>422</v>
      </c>
      <c r="E1488" s="1" t="s">
        <v>147</v>
      </c>
      <c r="F1488" s="1">
        <v>1</v>
      </c>
      <c r="G1488" s="1" t="s">
        <v>143</v>
      </c>
      <c r="I1488" s="1" t="s">
        <v>188</v>
      </c>
    </row>
    <row r="1489" spans="1:9" hidden="1" x14ac:dyDescent="0.3">
      <c r="A1489" s="1">
        <v>2592</v>
      </c>
      <c r="B1489" s="1" t="s">
        <v>3441</v>
      </c>
      <c r="C1489" s="1" t="s">
        <v>3442</v>
      </c>
      <c r="D1489" s="1" t="s">
        <v>623</v>
      </c>
      <c r="E1489" s="1" t="s">
        <v>111</v>
      </c>
      <c r="F1489" s="1">
        <v>0</v>
      </c>
      <c r="G1489" s="1" t="s">
        <v>82</v>
      </c>
      <c r="I1489" s="1" t="s">
        <v>123</v>
      </c>
    </row>
    <row r="1490" spans="1:9" hidden="1" x14ac:dyDescent="0.3">
      <c r="A1490" s="1">
        <v>2593</v>
      </c>
      <c r="B1490" s="1" t="s">
        <v>3443</v>
      </c>
      <c r="C1490" s="1" t="s">
        <v>3444</v>
      </c>
      <c r="D1490" s="1" t="s">
        <v>3445</v>
      </c>
      <c r="E1490" s="1" t="s">
        <v>91</v>
      </c>
      <c r="F1490" s="1">
        <v>1</v>
      </c>
      <c r="G1490" s="1" t="s">
        <v>143</v>
      </c>
      <c r="I1490" s="1" t="s">
        <v>123</v>
      </c>
    </row>
    <row r="1491" spans="1:9" hidden="1" x14ac:dyDescent="0.3">
      <c r="A1491" s="1">
        <v>2594</v>
      </c>
      <c r="B1491" s="1" t="s">
        <v>3446</v>
      </c>
      <c r="C1491" s="1" t="s">
        <v>3447</v>
      </c>
      <c r="D1491" s="1" t="s">
        <v>3448</v>
      </c>
      <c r="E1491" s="1" t="s">
        <v>170</v>
      </c>
      <c r="F1491" s="1">
        <v>1</v>
      </c>
      <c r="G1491" s="1" t="s">
        <v>143</v>
      </c>
      <c r="I1491" s="1" t="s">
        <v>84</v>
      </c>
    </row>
    <row r="1492" spans="1:9" hidden="1" x14ac:dyDescent="0.3">
      <c r="A1492" s="1">
        <v>2595</v>
      </c>
      <c r="B1492" s="1" t="s">
        <v>3449</v>
      </c>
      <c r="C1492" s="1" t="s">
        <v>3450</v>
      </c>
      <c r="D1492" s="1" t="s">
        <v>2184</v>
      </c>
      <c r="E1492" s="1" t="s">
        <v>1114</v>
      </c>
      <c r="F1492" s="1">
        <v>1</v>
      </c>
      <c r="G1492" s="1" t="s">
        <v>143</v>
      </c>
    </row>
    <row r="1493" spans="1:9" hidden="1" x14ac:dyDescent="0.3">
      <c r="A1493" s="1">
        <v>2596</v>
      </c>
      <c r="B1493" s="1" t="s">
        <v>3451</v>
      </c>
      <c r="C1493" s="1" t="s">
        <v>3452</v>
      </c>
      <c r="D1493" s="1" t="s">
        <v>252</v>
      </c>
      <c r="E1493" s="1" t="s">
        <v>1327</v>
      </c>
      <c r="F1493" s="1">
        <v>0</v>
      </c>
      <c r="G1493" s="1" t="s">
        <v>82</v>
      </c>
      <c r="I1493" s="1" t="s">
        <v>188</v>
      </c>
    </row>
    <row r="1494" spans="1:9" hidden="1" x14ac:dyDescent="0.3">
      <c r="A1494" s="1">
        <v>2597</v>
      </c>
      <c r="B1494" s="1" t="s">
        <v>3453</v>
      </c>
      <c r="C1494" s="1" t="s">
        <v>3454</v>
      </c>
      <c r="D1494" s="1" t="s">
        <v>65</v>
      </c>
      <c r="E1494" s="1" t="s">
        <v>91</v>
      </c>
      <c r="F1494" s="1">
        <v>1</v>
      </c>
      <c r="G1494" s="1" t="s">
        <v>143</v>
      </c>
    </row>
    <row r="1495" spans="1:9" hidden="1" x14ac:dyDescent="0.3">
      <c r="A1495" s="1">
        <v>2598</v>
      </c>
      <c r="B1495" s="1" t="s">
        <v>3455</v>
      </c>
      <c r="C1495" s="1" t="s">
        <v>3456</v>
      </c>
      <c r="D1495" s="1" t="s">
        <v>2189</v>
      </c>
      <c r="E1495" s="1" t="s">
        <v>1114</v>
      </c>
      <c r="F1495" s="1">
        <v>0</v>
      </c>
      <c r="G1495" s="1" t="s">
        <v>82</v>
      </c>
      <c r="I1495" s="1" t="s">
        <v>188</v>
      </c>
    </row>
    <row r="1496" spans="1:9" hidden="1" x14ac:dyDescent="0.3">
      <c r="A1496" s="1">
        <v>2599</v>
      </c>
      <c r="B1496" s="1" t="s">
        <v>3457</v>
      </c>
      <c r="C1496" s="1" t="s">
        <v>3458</v>
      </c>
      <c r="D1496" s="1" t="s">
        <v>422</v>
      </c>
      <c r="E1496" s="1" t="s">
        <v>1327</v>
      </c>
      <c r="F1496" s="1">
        <v>1</v>
      </c>
      <c r="G1496" s="1" t="s">
        <v>143</v>
      </c>
      <c r="I1496" s="1" t="s">
        <v>188</v>
      </c>
    </row>
    <row r="1497" spans="1:9" hidden="1" x14ac:dyDescent="0.3">
      <c r="A1497" s="1">
        <v>2600</v>
      </c>
      <c r="B1497" s="1" t="s">
        <v>3459</v>
      </c>
      <c r="C1497" s="1" t="s">
        <v>3460</v>
      </c>
      <c r="D1497" s="1" t="s">
        <v>422</v>
      </c>
      <c r="E1497" s="1" t="s">
        <v>1327</v>
      </c>
      <c r="F1497" s="1">
        <v>1</v>
      </c>
      <c r="G1497" s="1" t="s">
        <v>143</v>
      </c>
      <c r="I1497" s="1" t="s">
        <v>188</v>
      </c>
    </row>
    <row r="1498" spans="1:9" hidden="1" x14ac:dyDescent="0.3">
      <c r="A1498" s="1">
        <v>2601</v>
      </c>
      <c r="B1498" s="1" t="s">
        <v>3461</v>
      </c>
      <c r="C1498" s="1" t="s">
        <v>3462</v>
      </c>
      <c r="D1498" s="1" t="s">
        <v>422</v>
      </c>
      <c r="E1498" s="1" t="s">
        <v>147</v>
      </c>
      <c r="F1498" s="1">
        <v>1</v>
      </c>
      <c r="G1498" s="1" t="s">
        <v>143</v>
      </c>
      <c r="I1498" s="1" t="s">
        <v>188</v>
      </c>
    </row>
    <row r="1499" spans="1:9" hidden="1" x14ac:dyDescent="0.3">
      <c r="A1499" s="1">
        <v>2602</v>
      </c>
      <c r="B1499" s="1" t="s">
        <v>3463</v>
      </c>
      <c r="C1499" s="1" t="s">
        <v>3464</v>
      </c>
      <c r="D1499" s="1" t="s">
        <v>252</v>
      </c>
      <c r="E1499" s="1" t="s">
        <v>1327</v>
      </c>
      <c r="F1499" s="1">
        <v>0</v>
      </c>
      <c r="G1499" s="1" t="s">
        <v>82</v>
      </c>
      <c r="I1499" s="1" t="s">
        <v>188</v>
      </c>
    </row>
    <row r="1500" spans="1:9" hidden="1" x14ac:dyDescent="0.3">
      <c r="A1500" s="1">
        <v>2603</v>
      </c>
      <c r="B1500" s="1" t="s">
        <v>3465</v>
      </c>
      <c r="C1500" s="1" t="s">
        <v>3466</v>
      </c>
      <c r="D1500" s="1" t="s">
        <v>422</v>
      </c>
      <c r="E1500" s="1" t="s">
        <v>340</v>
      </c>
      <c r="F1500" s="1">
        <v>1</v>
      </c>
      <c r="G1500" s="1" t="s">
        <v>143</v>
      </c>
    </row>
    <row r="1501" spans="1:9" hidden="1" x14ac:dyDescent="0.3">
      <c r="A1501" s="1">
        <v>2604</v>
      </c>
      <c r="B1501" s="1" t="s">
        <v>3467</v>
      </c>
      <c r="C1501" s="1" t="s">
        <v>3468</v>
      </c>
      <c r="D1501" s="1" t="s">
        <v>2189</v>
      </c>
      <c r="E1501" s="1" t="s">
        <v>1114</v>
      </c>
      <c r="F1501" s="1">
        <v>1</v>
      </c>
      <c r="G1501" s="1" t="s">
        <v>143</v>
      </c>
    </row>
    <row r="1502" spans="1:9" hidden="1" x14ac:dyDescent="0.3">
      <c r="A1502" s="1">
        <v>2605</v>
      </c>
      <c r="B1502" s="1" t="s">
        <v>3469</v>
      </c>
      <c r="C1502" s="1" t="s">
        <v>3470</v>
      </c>
      <c r="D1502" s="1" t="s">
        <v>675</v>
      </c>
      <c r="E1502" s="1" t="s">
        <v>142</v>
      </c>
      <c r="F1502" s="1">
        <v>1</v>
      </c>
      <c r="G1502" s="1" t="s">
        <v>143</v>
      </c>
      <c r="I1502" s="1" t="s">
        <v>123</v>
      </c>
    </row>
    <row r="1503" spans="1:9" hidden="1" x14ac:dyDescent="0.3">
      <c r="A1503" s="1">
        <v>2606</v>
      </c>
      <c r="B1503" s="1" t="s">
        <v>3471</v>
      </c>
      <c r="C1503" s="1" t="s">
        <v>3472</v>
      </c>
      <c r="D1503" s="1" t="s">
        <v>422</v>
      </c>
      <c r="E1503" s="1" t="s">
        <v>1327</v>
      </c>
      <c r="F1503" s="1">
        <v>1</v>
      </c>
      <c r="G1503" s="1" t="s">
        <v>143</v>
      </c>
    </row>
    <row r="1504" spans="1:9" hidden="1" x14ac:dyDescent="0.3">
      <c r="A1504" s="1">
        <v>2607</v>
      </c>
      <c r="B1504" s="1" t="s">
        <v>3473</v>
      </c>
      <c r="C1504" s="1" t="s">
        <v>3474</v>
      </c>
      <c r="D1504" s="1" t="s">
        <v>345</v>
      </c>
      <c r="E1504" s="1" t="s">
        <v>331</v>
      </c>
      <c r="F1504" s="1">
        <v>0</v>
      </c>
      <c r="G1504" s="1" t="s">
        <v>82</v>
      </c>
      <c r="I1504" s="1" t="s">
        <v>188</v>
      </c>
    </row>
    <row r="1505" spans="1:9" hidden="1" x14ac:dyDescent="0.3">
      <c r="A1505" s="1">
        <v>2608</v>
      </c>
      <c r="B1505" s="1" t="s">
        <v>3475</v>
      </c>
      <c r="C1505" s="1" t="s">
        <v>3476</v>
      </c>
      <c r="D1505" s="1" t="s">
        <v>2189</v>
      </c>
      <c r="E1505" s="1" t="s">
        <v>1114</v>
      </c>
      <c r="F1505" s="1">
        <v>1</v>
      </c>
      <c r="G1505" s="1" t="s">
        <v>143</v>
      </c>
      <c r="I1505" s="1" t="s">
        <v>188</v>
      </c>
    </row>
    <row r="1506" spans="1:9" hidden="1" x14ac:dyDescent="0.3">
      <c r="A1506" s="1">
        <v>2609</v>
      </c>
      <c r="B1506" s="1" t="s">
        <v>3477</v>
      </c>
      <c r="C1506" s="1" t="s">
        <v>3478</v>
      </c>
      <c r="D1506" s="1" t="s">
        <v>422</v>
      </c>
      <c r="E1506" s="1" t="s">
        <v>1327</v>
      </c>
      <c r="F1506" s="1">
        <v>1</v>
      </c>
      <c r="G1506" s="1" t="s">
        <v>143</v>
      </c>
    </row>
    <row r="1507" spans="1:9" hidden="1" x14ac:dyDescent="0.3">
      <c r="A1507" s="1">
        <v>2610</v>
      </c>
      <c r="B1507" s="1" t="s">
        <v>3479</v>
      </c>
      <c r="C1507" s="1" t="s">
        <v>3480</v>
      </c>
      <c r="D1507" s="1" t="s">
        <v>252</v>
      </c>
      <c r="E1507" s="1" t="s">
        <v>1327</v>
      </c>
      <c r="F1507" s="1">
        <v>1</v>
      </c>
      <c r="G1507" s="1" t="s">
        <v>143</v>
      </c>
    </row>
    <row r="1508" spans="1:9" hidden="1" x14ac:dyDescent="0.3">
      <c r="A1508" s="1">
        <v>2611</v>
      </c>
      <c r="B1508" s="1" t="s">
        <v>3481</v>
      </c>
      <c r="C1508" s="1" t="s">
        <v>3482</v>
      </c>
      <c r="D1508" s="1" t="s">
        <v>422</v>
      </c>
      <c r="E1508" s="1" t="s">
        <v>1327</v>
      </c>
      <c r="F1508" s="1">
        <v>1</v>
      </c>
      <c r="G1508" s="1" t="s">
        <v>143</v>
      </c>
    </row>
    <row r="1509" spans="1:9" hidden="1" x14ac:dyDescent="0.3">
      <c r="A1509" s="1">
        <v>2612</v>
      </c>
      <c r="B1509" s="1" t="s">
        <v>3483</v>
      </c>
      <c r="C1509" s="1" t="s">
        <v>3484</v>
      </c>
      <c r="D1509" s="1" t="s">
        <v>252</v>
      </c>
      <c r="E1509" s="1" t="s">
        <v>255</v>
      </c>
      <c r="F1509" s="1">
        <v>1</v>
      </c>
      <c r="G1509" s="1" t="s">
        <v>143</v>
      </c>
    </row>
    <row r="1510" spans="1:9" hidden="1" x14ac:dyDescent="0.3">
      <c r="A1510" s="1">
        <v>2613</v>
      </c>
      <c r="B1510" s="1" t="s">
        <v>3485</v>
      </c>
      <c r="C1510" s="1" t="s">
        <v>3486</v>
      </c>
      <c r="D1510" s="1" t="s">
        <v>3487</v>
      </c>
      <c r="E1510" s="1" t="s">
        <v>68</v>
      </c>
      <c r="F1510" s="1">
        <v>1</v>
      </c>
      <c r="G1510" s="1" t="s">
        <v>143</v>
      </c>
    </row>
    <row r="1511" spans="1:9" hidden="1" x14ac:dyDescent="0.3">
      <c r="A1511" s="1">
        <v>2614</v>
      </c>
      <c r="B1511" s="1" t="s">
        <v>3488</v>
      </c>
      <c r="C1511" s="1" t="s">
        <v>3489</v>
      </c>
      <c r="D1511" s="1" t="s">
        <v>262</v>
      </c>
      <c r="E1511" s="1" t="s">
        <v>142</v>
      </c>
      <c r="F1511" s="1">
        <v>1</v>
      </c>
      <c r="G1511" s="1" t="s">
        <v>143</v>
      </c>
      <c r="I1511" s="1" t="s">
        <v>123</v>
      </c>
    </row>
    <row r="1512" spans="1:9" x14ac:dyDescent="0.3">
      <c r="A1512" s="1">
        <v>2615</v>
      </c>
      <c r="B1512" s="1" t="s">
        <v>3490</v>
      </c>
      <c r="C1512" s="1" t="s">
        <v>3491</v>
      </c>
      <c r="D1512" s="1" t="s">
        <v>1634</v>
      </c>
      <c r="E1512" s="1" t="s">
        <v>215</v>
      </c>
      <c r="F1512" s="1">
        <v>0</v>
      </c>
      <c r="G1512" s="1" t="s">
        <v>82</v>
      </c>
      <c r="I1512" s="1" t="s">
        <v>123</v>
      </c>
    </row>
    <row r="1513" spans="1:9" hidden="1" x14ac:dyDescent="0.3">
      <c r="A1513" s="1">
        <v>2616</v>
      </c>
      <c r="B1513" s="1" t="s">
        <v>3492</v>
      </c>
      <c r="C1513" s="1" t="s">
        <v>3493</v>
      </c>
      <c r="D1513" s="1" t="s">
        <v>2189</v>
      </c>
      <c r="E1513" s="1" t="s">
        <v>1114</v>
      </c>
      <c r="F1513" s="1">
        <v>1</v>
      </c>
      <c r="G1513" s="1" t="s">
        <v>143</v>
      </c>
      <c r="I1513" s="1" t="s">
        <v>188</v>
      </c>
    </row>
    <row r="1514" spans="1:9" hidden="1" x14ac:dyDescent="0.3">
      <c r="A1514" s="1">
        <v>2617</v>
      </c>
      <c r="B1514" s="1" t="s">
        <v>3494</v>
      </c>
      <c r="C1514" s="1" t="s">
        <v>3495</v>
      </c>
      <c r="D1514" s="1" t="s">
        <v>1914</v>
      </c>
      <c r="E1514" s="1" t="s">
        <v>215</v>
      </c>
      <c r="F1514" s="1">
        <v>1</v>
      </c>
      <c r="G1514" s="1" t="s">
        <v>143</v>
      </c>
    </row>
    <row r="1515" spans="1:9" hidden="1" x14ac:dyDescent="0.3">
      <c r="A1515" s="1">
        <v>2618</v>
      </c>
      <c r="B1515" s="1" t="s">
        <v>3496</v>
      </c>
      <c r="C1515" s="1" t="s">
        <v>3497</v>
      </c>
      <c r="D1515" s="1" t="s">
        <v>422</v>
      </c>
      <c r="E1515" s="1" t="s">
        <v>340</v>
      </c>
      <c r="F1515" s="1">
        <v>1</v>
      </c>
      <c r="G1515" s="1" t="s">
        <v>143</v>
      </c>
      <c r="I1515" s="1" t="s">
        <v>188</v>
      </c>
    </row>
    <row r="1516" spans="1:9" hidden="1" x14ac:dyDescent="0.3">
      <c r="A1516" s="1">
        <v>2619</v>
      </c>
      <c r="B1516" s="1" t="s">
        <v>3498</v>
      </c>
      <c r="C1516" s="1" t="s">
        <v>3499</v>
      </c>
      <c r="D1516" s="1" t="s">
        <v>3254</v>
      </c>
      <c r="E1516" s="1" t="s">
        <v>289</v>
      </c>
      <c r="F1516" s="1">
        <v>0</v>
      </c>
      <c r="G1516" s="1" t="s">
        <v>82</v>
      </c>
      <c r="I1516" s="1" t="s">
        <v>84</v>
      </c>
    </row>
    <row r="1517" spans="1:9" hidden="1" x14ac:dyDescent="0.3">
      <c r="A1517" s="1">
        <v>2620</v>
      </c>
      <c r="B1517" s="1" t="s">
        <v>3500</v>
      </c>
      <c r="C1517" s="1" t="s">
        <v>3501</v>
      </c>
      <c r="D1517" s="1" t="s">
        <v>2478</v>
      </c>
      <c r="E1517" s="1" t="s">
        <v>331</v>
      </c>
      <c r="F1517" s="1">
        <v>0</v>
      </c>
      <c r="G1517" s="1" t="s">
        <v>82</v>
      </c>
      <c r="I1517" s="1" t="s">
        <v>84</v>
      </c>
    </row>
    <row r="1518" spans="1:9" hidden="1" x14ac:dyDescent="0.3">
      <c r="A1518" s="1">
        <v>2621</v>
      </c>
      <c r="B1518" s="1" t="s">
        <v>3502</v>
      </c>
      <c r="C1518" s="1" t="s">
        <v>3503</v>
      </c>
      <c r="D1518" s="1" t="s">
        <v>422</v>
      </c>
      <c r="E1518" s="1" t="s">
        <v>1327</v>
      </c>
      <c r="F1518" s="1">
        <v>1</v>
      </c>
      <c r="G1518" s="1" t="s">
        <v>143</v>
      </c>
      <c r="I1518" s="1" t="s">
        <v>188</v>
      </c>
    </row>
    <row r="1519" spans="1:9" hidden="1" x14ac:dyDescent="0.3">
      <c r="A1519" s="1">
        <v>2622</v>
      </c>
      <c r="B1519" s="1" t="s">
        <v>3504</v>
      </c>
      <c r="C1519" s="1" t="s">
        <v>3505</v>
      </c>
      <c r="D1519" s="1" t="s">
        <v>252</v>
      </c>
      <c r="E1519" s="1" t="s">
        <v>259</v>
      </c>
      <c r="F1519" s="1">
        <v>1</v>
      </c>
      <c r="G1519" s="1" t="s">
        <v>143</v>
      </c>
    </row>
    <row r="1520" spans="1:9" hidden="1" x14ac:dyDescent="0.3">
      <c r="A1520" s="1">
        <v>2623</v>
      </c>
      <c r="B1520" s="1" t="s">
        <v>3506</v>
      </c>
      <c r="C1520" s="1" t="s">
        <v>3507</v>
      </c>
      <c r="D1520" s="1" t="s">
        <v>336</v>
      </c>
      <c r="E1520" s="1" t="s">
        <v>331</v>
      </c>
      <c r="F1520" s="1">
        <v>0</v>
      </c>
      <c r="G1520" s="1" t="s">
        <v>82</v>
      </c>
      <c r="I1520" s="1" t="s">
        <v>188</v>
      </c>
    </row>
    <row r="1521" spans="1:9" hidden="1" x14ac:dyDescent="0.3">
      <c r="A1521" s="1">
        <v>2624</v>
      </c>
      <c r="B1521" s="1" t="s">
        <v>3508</v>
      </c>
      <c r="C1521" s="1" t="s">
        <v>3509</v>
      </c>
      <c r="D1521" s="1" t="s">
        <v>422</v>
      </c>
      <c r="E1521" s="1" t="s">
        <v>147</v>
      </c>
      <c r="F1521" s="1">
        <v>1</v>
      </c>
      <c r="G1521" s="1" t="s">
        <v>143</v>
      </c>
      <c r="I1521" s="1" t="s">
        <v>188</v>
      </c>
    </row>
    <row r="1522" spans="1:9" hidden="1" x14ac:dyDescent="0.3">
      <c r="A1522" s="1">
        <v>2625</v>
      </c>
      <c r="B1522" s="1" t="s">
        <v>3510</v>
      </c>
      <c r="C1522" s="1" t="s">
        <v>3511</v>
      </c>
      <c r="D1522" s="1" t="s">
        <v>422</v>
      </c>
      <c r="E1522" s="1" t="s">
        <v>147</v>
      </c>
      <c r="F1522" s="1">
        <v>1</v>
      </c>
      <c r="G1522" s="1" t="s">
        <v>143</v>
      </c>
    </row>
    <row r="1523" spans="1:9" hidden="1" x14ac:dyDescent="0.3">
      <c r="A1523" s="1">
        <v>2626</v>
      </c>
      <c r="B1523" s="1" t="s">
        <v>3512</v>
      </c>
      <c r="C1523" s="1" t="s">
        <v>3513</v>
      </c>
      <c r="D1523" s="1" t="s">
        <v>278</v>
      </c>
      <c r="E1523" s="1" t="s">
        <v>331</v>
      </c>
      <c r="F1523" s="1">
        <v>0</v>
      </c>
      <c r="G1523" s="1" t="s">
        <v>82</v>
      </c>
      <c r="I1523" s="1" t="s">
        <v>188</v>
      </c>
    </row>
    <row r="1524" spans="1:9" hidden="1" x14ac:dyDescent="0.3">
      <c r="A1524" s="1">
        <v>2628</v>
      </c>
      <c r="B1524" s="1" t="s">
        <v>3514</v>
      </c>
      <c r="C1524" s="1" t="s">
        <v>3515</v>
      </c>
      <c r="D1524" s="1" t="s">
        <v>422</v>
      </c>
      <c r="E1524" s="1" t="s">
        <v>147</v>
      </c>
      <c r="F1524" s="1">
        <v>1</v>
      </c>
      <c r="G1524" s="1" t="s">
        <v>143</v>
      </c>
      <c r="I1524" s="1" t="s">
        <v>188</v>
      </c>
    </row>
    <row r="1525" spans="1:9" hidden="1" x14ac:dyDescent="0.3">
      <c r="A1525" s="1">
        <v>2629</v>
      </c>
      <c r="B1525" s="1" t="s">
        <v>3516</v>
      </c>
      <c r="C1525" s="1" t="s">
        <v>3517</v>
      </c>
      <c r="D1525" s="1" t="s">
        <v>422</v>
      </c>
      <c r="E1525" s="1" t="s">
        <v>147</v>
      </c>
      <c r="F1525" s="1">
        <v>1</v>
      </c>
      <c r="G1525" s="1" t="s">
        <v>143</v>
      </c>
    </row>
    <row r="1526" spans="1:9" hidden="1" x14ac:dyDescent="0.3">
      <c r="A1526" s="1">
        <v>2630</v>
      </c>
      <c r="B1526" s="1" t="s">
        <v>3518</v>
      </c>
      <c r="C1526" s="1" t="s">
        <v>3519</v>
      </c>
      <c r="D1526" s="1" t="s">
        <v>2189</v>
      </c>
      <c r="E1526" s="1" t="s">
        <v>1114</v>
      </c>
      <c r="F1526" s="1">
        <v>1</v>
      </c>
      <c r="G1526" s="1" t="s">
        <v>143</v>
      </c>
    </row>
    <row r="1527" spans="1:9" hidden="1" x14ac:dyDescent="0.3">
      <c r="A1527" s="1">
        <v>2631</v>
      </c>
      <c r="B1527" s="1" t="s">
        <v>3520</v>
      </c>
      <c r="C1527" s="1" t="s">
        <v>3521</v>
      </c>
      <c r="D1527" s="1" t="s">
        <v>422</v>
      </c>
      <c r="E1527" s="1" t="s">
        <v>1327</v>
      </c>
      <c r="F1527" s="1">
        <v>1</v>
      </c>
      <c r="G1527" s="1" t="s">
        <v>143</v>
      </c>
      <c r="I1527" s="1" t="s">
        <v>188</v>
      </c>
    </row>
    <row r="1528" spans="1:9" hidden="1" x14ac:dyDescent="0.3">
      <c r="A1528" s="1">
        <v>2632</v>
      </c>
      <c r="B1528" s="1" t="s">
        <v>3522</v>
      </c>
      <c r="C1528" s="1" t="s">
        <v>3523</v>
      </c>
      <c r="D1528" s="1" t="s">
        <v>3428</v>
      </c>
      <c r="E1528" s="1" t="s">
        <v>142</v>
      </c>
      <c r="F1528" s="1">
        <v>1</v>
      </c>
      <c r="G1528" s="1" t="s">
        <v>143</v>
      </c>
      <c r="I1528" s="1" t="s">
        <v>123</v>
      </c>
    </row>
    <row r="1529" spans="1:9" hidden="1" x14ac:dyDescent="0.3">
      <c r="A1529" s="1">
        <v>2633</v>
      </c>
      <c r="B1529" s="1" t="s">
        <v>3524</v>
      </c>
      <c r="C1529" s="1" t="s">
        <v>3525</v>
      </c>
      <c r="D1529" s="1" t="s">
        <v>2189</v>
      </c>
      <c r="E1529" s="1" t="s">
        <v>1114</v>
      </c>
      <c r="F1529" s="1">
        <v>1</v>
      </c>
      <c r="G1529" s="1" t="s">
        <v>143</v>
      </c>
    </row>
    <row r="1530" spans="1:9" hidden="1" x14ac:dyDescent="0.3">
      <c r="A1530" s="1">
        <v>2635</v>
      </c>
      <c r="B1530" s="1" t="s">
        <v>3526</v>
      </c>
      <c r="C1530" s="1" t="s">
        <v>3527</v>
      </c>
      <c r="D1530" s="1" t="s">
        <v>422</v>
      </c>
      <c r="E1530" s="1" t="s">
        <v>1327</v>
      </c>
      <c r="F1530" s="1">
        <v>1</v>
      </c>
      <c r="G1530" s="1" t="s">
        <v>143</v>
      </c>
    </row>
    <row r="1531" spans="1:9" hidden="1" x14ac:dyDescent="0.3">
      <c r="A1531" s="1">
        <v>2636</v>
      </c>
      <c r="B1531" s="1" t="s">
        <v>3528</v>
      </c>
      <c r="C1531" s="1" t="s">
        <v>3529</v>
      </c>
      <c r="D1531" s="1" t="s">
        <v>323</v>
      </c>
      <c r="E1531" s="1" t="s">
        <v>122</v>
      </c>
      <c r="F1531" s="1">
        <v>0</v>
      </c>
      <c r="G1531" s="1" t="s">
        <v>82</v>
      </c>
      <c r="I1531" s="1" t="s">
        <v>123</v>
      </c>
    </row>
    <row r="1532" spans="1:9" hidden="1" x14ac:dyDescent="0.3">
      <c r="A1532" s="1">
        <v>2637</v>
      </c>
      <c r="B1532" s="1" t="s">
        <v>3530</v>
      </c>
      <c r="C1532" s="1" t="s">
        <v>3531</v>
      </c>
      <c r="D1532" s="1" t="s">
        <v>2189</v>
      </c>
      <c r="E1532" s="1" t="s">
        <v>1114</v>
      </c>
      <c r="F1532" s="1">
        <v>1</v>
      </c>
      <c r="G1532" s="1" t="s">
        <v>143</v>
      </c>
    </row>
    <row r="1533" spans="1:9" hidden="1" x14ac:dyDescent="0.3">
      <c r="A1533" s="1">
        <v>2638</v>
      </c>
      <c r="B1533" s="1" t="s">
        <v>3532</v>
      </c>
      <c r="C1533" s="1" t="s">
        <v>3533</v>
      </c>
      <c r="D1533" s="1" t="s">
        <v>336</v>
      </c>
      <c r="E1533" s="1" t="s">
        <v>331</v>
      </c>
      <c r="F1533" s="1">
        <v>0</v>
      </c>
      <c r="G1533" s="1" t="s">
        <v>82</v>
      </c>
      <c r="I1533" s="1" t="s">
        <v>188</v>
      </c>
    </row>
    <row r="1534" spans="1:9" x14ac:dyDescent="0.3">
      <c r="A1534" s="1">
        <v>2639</v>
      </c>
      <c r="B1534" s="1" t="s">
        <v>3534</v>
      </c>
      <c r="C1534" s="1" t="s">
        <v>3535</v>
      </c>
      <c r="D1534" s="1" t="s">
        <v>1634</v>
      </c>
      <c r="E1534" s="1" t="s">
        <v>215</v>
      </c>
      <c r="F1534" s="1">
        <v>0</v>
      </c>
      <c r="G1534" s="1" t="s">
        <v>82</v>
      </c>
      <c r="I1534" s="1" t="s">
        <v>123</v>
      </c>
    </row>
    <row r="1535" spans="1:9" hidden="1" x14ac:dyDescent="0.3">
      <c r="A1535" s="1">
        <v>2640</v>
      </c>
      <c r="B1535" s="1" t="s">
        <v>3536</v>
      </c>
      <c r="C1535" s="1" t="s">
        <v>3537</v>
      </c>
      <c r="D1535" s="1" t="s">
        <v>422</v>
      </c>
      <c r="E1535" s="1" t="s">
        <v>255</v>
      </c>
      <c r="F1535" s="1">
        <v>1</v>
      </c>
      <c r="G1535" s="1" t="s">
        <v>143</v>
      </c>
      <c r="I1535" s="1" t="s">
        <v>188</v>
      </c>
    </row>
    <row r="1536" spans="1:9" hidden="1" x14ac:dyDescent="0.3">
      <c r="A1536" s="1">
        <v>2641</v>
      </c>
      <c r="B1536" s="1" t="s">
        <v>3538</v>
      </c>
      <c r="C1536" s="1" t="s">
        <v>3539</v>
      </c>
      <c r="D1536" s="1" t="s">
        <v>2691</v>
      </c>
      <c r="E1536" s="1" t="s">
        <v>2692</v>
      </c>
      <c r="F1536" s="1">
        <v>0</v>
      </c>
      <c r="G1536" s="1" t="s">
        <v>82</v>
      </c>
      <c r="I1536" s="1" t="s">
        <v>123</v>
      </c>
    </row>
    <row r="1537" spans="1:9" hidden="1" x14ac:dyDescent="0.3">
      <c r="A1537" s="1">
        <v>2642</v>
      </c>
      <c r="B1537" s="1" t="s">
        <v>3540</v>
      </c>
      <c r="C1537" s="1" t="s">
        <v>3541</v>
      </c>
      <c r="D1537" s="1" t="s">
        <v>2691</v>
      </c>
      <c r="E1537" s="1" t="s">
        <v>2692</v>
      </c>
      <c r="F1537" s="1">
        <v>0</v>
      </c>
      <c r="G1537" s="1" t="s">
        <v>82</v>
      </c>
      <c r="I1537" s="1" t="s">
        <v>123</v>
      </c>
    </row>
    <row r="1538" spans="1:9" hidden="1" x14ac:dyDescent="0.3">
      <c r="A1538" s="1">
        <v>2643</v>
      </c>
      <c r="B1538" s="1" t="s">
        <v>3542</v>
      </c>
      <c r="C1538" s="1" t="s">
        <v>3543</v>
      </c>
      <c r="D1538" s="1" t="s">
        <v>278</v>
      </c>
      <c r="E1538" s="1" t="s">
        <v>331</v>
      </c>
      <c r="F1538" s="1">
        <v>0</v>
      </c>
      <c r="G1538" s="1" t="s">
        <v>82</v>
      </c>
      <c r="I1538" s="1" t="s">
        <v>188</v>
      </c>
    </row>
    <row r="1539" spans="1:9" hidden="1" x14ac:dyDescent="0.3">
      <c r="A1539" s="1">
        <v>2644</v>
      </c>
      <c r="B1539" s="1" t="s">
        <v>3544</v>
      </c>
      <c r="C1539" s="1" t="s">
        <v>3545</v>
      </c>
      <c r="D1539" s="1" t="s">
        <v>2189</v>
      </c>
      <c r="E1539" s="1" t="s">
        <v>1114</v>
      </c>
      <c r="F1539" s="1">
        <v>0</v>
      </c>
      <c r="G1539" s="1" t="s">
        <v>82</v>
      </c>
      <c r="I1539" s="1" t="s">
        <v>188</v>
      </c>
    </row>
    <row r="1540" spans="1:9" hidden="1" x14ac:dyDescent="0.3">
      <c r="A1540" s="1">
        <v>2645</v>
      </c>
      <c r="B1540" s="1" t="s">
        <v>3546</v>
      </c>
      <c r="C1540" s="1" t="s">
        <v>3547</v>
      </c>
      <c r="D1540" s="1" t="s">
        <v>345</v>
      </c>
      <c r="E1540" s="1" t="s">
        <v>331</v>
      </c>
      <c r="F1540" s="1">
        <v>1</v>
      </c>
      <c r="G1540" s="1" t="s">
        <v>143</v>
      </c>
    </row>
    <row r="1541" spans="1:9" hidden="1" x14ac:dyDescent="0.3">
      <c r="A1541" s="1">
        <v>2646</v>
      </c>
      <c r="B1541" s="1" t="s">
        <v>3548</v>
      </c>
      <c r="C1541" s="1" t="s">
        <v>3549</v>
      </c>
      <c r="D1541" s="1" t="s">
        <v>2327</v>
      </c>
      <c r="E1541" s="1" t="s">
        <v>170</v>
      </c>
      <c r="F1541" s="1">
        <v>0</v>
      </c>
      <c r="G1541" s="1" t="s">
        <v>82</v>
      </c>
      <c r="I1541" s="1" t="s">
        <v>84</v>
      </c>
    </row>
    <row r="1542" spans="1:9" hidden="1" x14ac:dyDescent="0.3">
      <c r="A1542" s="1">
        <v>2647</v>
      </c>
      <c r="B1542" s="1" t="s">
        <v>3550</v>
      </c>
      <c r="C1542" s="1" t="s">
        <v>3551</v>
      </c>
      <c r="D1542" s="1" t="s">
        <v>252</v>
      </c>
      <c r="E1542" s="1" t="s">
        <v>259</v>
      </c>
      <c r="F1542" s="1">
        <v>0</v>
      </c>
      <c r="G1542" s="1" t="s">
        <v>82</v>
      </c>
      <c r="I1542" s="1" t="s">
        <v>188</v>
      </c>
    </row>
    <row r="1543" spans="1:9" x14ac:dyDescent="0.3">
      <c r="A1543" s="1">
        <v>2648</v>
      </c>
      <c r="B1543" s="1" t="s">
        <v>3552</v>
      </c>
      <c r="C1543" s="1" t="s">
        <v>3553</v>
      </c>
      <c r="D1543" s="1" t="s">
        <v>1634</v>
      </c>
      <c r="E1543" s="1" t="s">
        <v>215</v>
      </c>
      <c r="F1543" s="1">
        <v>0</v>
      </c>
      <c r="G1543" s="1" t="s">
        <v>82</v>
      </c>
      <c r="I1543" s="1" t="s">
        <v>123</v>
      </c>
    </row>
    <row r="1544" spans="1:9" hidden="1" x14ac:dyDescent="0.3">
      <c r="A1544" s="1">
        <v>2649</v>
      </c>
      <c r="B1544" s="1" t="s">
        <v>3554</v>
      </c>
      <c r="C1544" s="1" t="s">
        <v>3555</v>
      </c>
      <c r="D1544" s="1" t="s">
        <v>278</v>
      </c>
      <c r="E1544" s="1" t="s">
        <v>1327</v>
      </c>
      <c r="F1544" s="1">
        <v>0</v>
      </c>
      <c r="G1544" s="1" t="s">
        <v>82</v>
      </c>
      <c r="I1544" s="1" t="s">
        <v>188</v>
      </c>
    </row>
    <row r="1545" spans="1:9" hidden="1" x14ac:dyDescent="0.3">
      <c r="A1545" s="1">
        <v>2650</v>
      </c>
      <c r="B1545" s="1" t="s">
        <v>3556</v>
      </c>
      <c r="C1545" s="1" t="s">
        <v>2652</v>
      </c>
      <c r="D1545" s="1" t="s">
        <v>422</v>
      </c>
      <c r="E1545" s="1" t="s">
        <v>1327</v>
      </c>
      <c r="F1545" s="1">
        <v>1</v>
      </c>
      <c r="G1545" s="1" t="s">
        <v>143</v>
      </c>
      <c r="I1545" s="1" t="s">
        <v>188</v>
      </c>
    </row>
    <row r="1546" spans="1:9" hidden="1" x14ac:dyDescent="0.3">
      <c r="A1546" s="1">
        <v>2651</v>
      </c>
      <c r="B1546" s="1" t="s">
        <v>3557</v>
      </c>
      <c r="C1546" s="1" t="s">
        <v>3558</v>
      </c>
      <c r="D1546" s="1" t="s">
        <v>278</v>
      </c>
      <c r="E1546" s="1" t="s">
        <v>331</v>
      </c>
      <c r="F1546" s="1">
        <v>0</v>
      </c>
      <c r="G1546" s="1" t="s">
        <v>82</v>
      </c>
      <c r="I1546" s="1" t="s">
        <v>188</v>
      </c>
    </row>
    <row r="1547" spans="1:9" hidden="1" x14ac:dyDescent="0.3">
      <c r="A1547" s="1">
        <v>2652</v>
      </c>
      <c r="B1547" s="1" t="s">
        <v>3559</v>
      </c>
      <c r="C1547" s="1" t="s">
        <v>3560</v>
      </c>
      <c r="D1547" s="1" t="s">
        <v>422</v>
      </c>
      <c r="E1547" s="1" t="s">
        <v>1327</v>
      </c>
      <c r="F1547" s="1">
        <v>1</v>
      </c>
      <c r="G1547" s="1" t="s">
        <v>143</v>
      </c>
    </row>
    <row r="1548" spans="1:9" x14ac:dyDescent="0.3">
      <c r="A1548" s="1">
        <v>2653</v>
      </c>
      <c r="B1548" s="1" t="s">
        <v>3561</v>
      </c>
      <c r="C1548" s="1" t="s">
        <v>3562</v>
      </c>
      <c r="D1548" s="1" t="s">
        <v>1634</v>
      </c>
      <c r="E1548" s="1" t="s">
        <v>215</v>
      </c>
      <c r="F1548" s="1">
        <v>0</v>
      </c>
      <c r="G1548" s="1" t="s">
        <v>82</v>
      </c>
      <c r="I1548" s="1" t="s">
        <v>123</v>
      </c>
    </row>
    <row r="1549" spans="1:9" hidden="1" x14ac:dyDescent="0.3">
      <c r="A1549" s="1">
        <v>2654</v>
      </c>
      <c r="B1549" s="1" t="s">
        <v>3563</v>
      </c>
      <c r="C1549" s="1" t="s">
        <v>3564</v>
      </c>
      <c r="D1549" s="1" t="s">
        <v>252</v>
      </c>
      <c r="E1549" s="1" t="s">
        <v>1327</v>
      </c>
      <c r="F1549" s="1">
        <v>1</v>
      </c>
      <c r="G1549" s="1" t="s">
        <v>143</v>
      </c>
      <c r="I1549" s="1" t="s">
        <v>188</v>
      </c>
    </row>
    <row r="1550" spans="1:9" hidden="1" x14ac:dyDescent="0.3">
      <c r="A1550" s="1">
        <v>2655</v>
      </c>
      <c r="B1550" s="1" t="s">
        <v>3565</v>
      </c>
      <c r="C1550" s="1" t="s">
        <v>3566</v>
      </c>
      <c r="D1550" s="1" t="s">
        <v>678</v>
      </c>
      <c r="E1550" s="1" t="s">
        <v>68</v>
      </c>
      <c r="F1550" s="1">
        <v>0</v>
      </c>
      <c r="G1550" s="1" t="s">
        <v>82</v>
      </c>
      <c r="I1550" s="1" t="s">
        <v>123</v>
      </c>
    </row>
    <row r="1551" spans="1:9" hidden="1" x14ac:dyDescent="0.3">
      <c r="A1551" s="1">
        <v>2656</v>
      </c>
      <c r="B1551" s="1" t="s">
        <v>3567</v>
      </c>
      <c r="C1551" s="1" t="s">
        <v>3568</v>
      </c>
      <c r="D1551" s="1" t="s">
        <v>422</v>
      </c>
      <c r="E1551" s="1" t="s">
        <v>255</v>
      </c>
      <c r="F1551" s="1">
        <v>1</v>
      </c>
      <c r="G1551" s="1" t="s">
        <v>143</v>
      </c>
      <c r="I1551" s="1" t="s">
        <v>188</v>
      </c>
    </row>
    <row r="1552" spans="1:9" hidden="1" x14ac:dyDescent="0.3">
      <c r="A1552" s="1">
        <v>2657</v>
      </c>
      <c r="B1552" s="1" t="s">
        <v>3569</v>
      </c>
      <c r="C1552" s="1" t="s">
        <v>3570</v>
      </c>
      <c r="D1552" s="1" t="s">
        <v>252</v>
      </c>
      <c r="E1552" s="1" t="s">
        <v>147</v>
      </c>
      <c r="F1552" s="1">
        <v>1</v>
      </c>
      <c r="G1552" s="1" t="s">
        <v>143</v>
      </c>
      <c r="I1552" s="1" t="s">
        <v>188</v>
      </c>
    </row>
    <row r="1553" spans="1:9" hidden="1" x14ac:dyDescent="0.3">
      <c r="A1553" s="1">
        <v>2658</v>
      </c>
      <c r="B1553" s="1" t="s">
        <v>3571</v>
      </c>
      <c r="C1553" s="1" t="s">
        <v>3572</v>
      </c>
      <c r="D1553" s="1" t="s">
        <v>323</v>
      </c>
      <c r="E1553" s="1" t="s">
        <v>122</v>
      </c>
      <c r="F1553" s="1">
        <v>0</v>
      </c>
      <c r="G1553" s="1" t="s">
        <v>82</v>
      </c>
      <c r="I1553" s="1" t="s">
        <v>84</v>
      </c>
    </row>
    <row r="1554" spans="1:9" hidden="1" x14ac:dyDescent="0.3">
      <c r="A1554" s="1">
        <v>2659</v>
      </c>
      <c r="B1554" s="1" t="s">
        <v>3573</v>
      </c>
      <c r="C1554" s="1" t="s">
        <v>3574</v>
      </c>
      <c r="D1554" s="1" t="s">
        <v>422</v>
      </c>
      <c r="E1554" s="1" t="s">
        <v>1327</v>
      </c>
      <c r="F1554" s="1">
        <v>1</v>
      </c>
      <c r="G1554" s="1" t="s">
        <v>143</v>
      </c>
    </row>
    <row r="1555" spans="1:9" hidden="1" x14ac:dyDescent="0.3">
      <c r="A1555" s="1">
        <v>2660</v>
      </c>
      <c r="B1555" s="1" t="s">
        <v>3575</v>
      </c>
      <c r="C1555" s="1" t="s">
        <v>3576</v>
      </c>
      <c r="D1555" s="1" t="s">
        <v>252</v>
      </c>
      <c r="E1555" s="1" t="s">
        <v>1327</v>
      </c>
      <c r="F1555" s="1">
        <v>0</v>
      </c>
      <c r="G1555" s="1" t="s">
        <v>82</v>
      </c>
      <c r="I1555" s="1" t="s">
        <v>188</v>
      </c>
    </row>
    <row r="1556" spans="1:9" hidden="1" x14ac:dyDescent="0.3">
      <c r="A1556" s="1">
        <v>2661</v>
      </c>
      <c r="B1556" s="1" t="s">
        <v>3577</v>
      </c>
      <c r="C1556" s="1" t="s">
        <v>3578</v>
      </c>
      <c r="D1556" s="1" t="s">
        <v>422</v>
      </c>
      <c r="E1556" s="1" t="s">
        <v>1327</v>
      </c>
      <c r="F1556" s="1">
        <v>1</v>
      </c>
      <c r="G1556" s="1" t="s">
        <v>143</v>
      </c>
    </row>
    <row r="1557" spans="1:9" hidden="1" x14ac:dyDescent="0.3">
      <c r="A1557" s="1">
        <v>2662</v>
      </c>
      <c r="B1557" s="1" t="s">
        <v>3579</v>
      </c>
      <c r="C1557" s="1" t="s">
        <v>3580</v>
      </c>
      <c r="D1557" s="1" t="s">
        <v>252</v>
      </c>
      <c r="E1557" s="1" t="s">
        <v>340</v>
      </c>
      <c r="F1557" s="1">
        <v>1</v>
      </c>
      <c r="G1557" s="1" t="s">
        <v>143</v>
      </c>
      <c r="I1557" s="1" t="s">
        <v>188</v>
      </c>
    </row>
    <row r="1558" spans="1:9" hidden="1" x14ac:dyDescent="0.3">
      <c r="A1558" s="1">
        <v>2663</v>
      </c>
      <c r="B1558" s="1" t="s">
        <v>3581</v>
      </c>
      <c r="C1558" s="1" t="s">
        <v>3582</v>
      </c>
      <c r="D1558" s="1" t="s">
        <v>422</v>
      </c>
      <c r="E1558" s="1" t="s">
        <v>255</v>
      </c>
      <c r="F1558" s="1">
        <v>1</v>
      </c>
      <c r="G1558" s="1" t="s">
        <v>143</v>
      </c>
      <c r="I1558" s="1" t="s">
        <v>188</v>
      </c>
    </row>
    <row r="1559" spans="1:9" hidden="1" x14ac:dyDescent="0.3">
      <c r="A1559" s="1">
        <v>2664</v>
      </c>
      <c r="B1559" s="1" t="s">
        <v>3583</v>
      </c>
      <c r="C1559" s="1" t="s">
        <v>3584</v>
      </c>
      <c r="D1559" s="1" t="s">
        <v>345</v>
      </c>
      <c r="E1559" s="1" t="s">
        <v>331</v>
      </c>
      <c r="F1559" s="1">
        <v>0</v>
      </c>
      <c r="G1559" s="1" t="s">
        <v>82</v>
      </c>
      <c r="I1559" s="1" t="s">
        <v>188</v>
      </c>
    </row>
    <row r="1560" spans="1:9" hidden="1" x14ac:dyDescent="0.3">
      <c r="A1560" s="1">
        <v>2665</v>
      </c>
      <c r="B1560" s="1" t="s">
        <v>3585</v>
      </c>
      <c r="C1560" s="1" t="s">
        <v>3586</v>
      </c>
      <c r="D1560" s="1" t="s">
        <v>422</v>
      </c>
      <c r="E1560" s="1" t="s">
        <v>1327</v>
      </c>
      <c r="F1560" s="1">
        <v>1</v>
      </c>
      <c r="G1560" s="1" t="s">
        <v>143</v>
      </c>
      <c r="I1560" s="1" t="s">
        <v>188</v>
      </c>
    </row>
    <row r="1561" spans="1:9" hidden="1" x14ac:dyDescent="0.3">
      <c r="A1561" s="1">
        <v>2666</v>
      </c>
      <c r="B1561" s="1" t="s">
        <v>3587</v>
      </c>
      <c r="C1561" s="1" t="s">
        <v>3588</v>
      </c>
      <c r="D1561" s="1" t="s">
        <v>422</v>
      </c>
      <c r="E1561" s="1" t="s">
        <v>255</v>
      </c>
      <c r="F1561" s="1">
        <v>1</v>
      </c>
      <c r="G1561" s="1" t="s">
        <v>143</v>
      </c>
      <c r="I1561" s="1" t="s">
        <v>188</v>
      </c>
    </row>
    <row r="1562" spans="1:9" hidden="1" x14ac:dyDescent="0.3">
      <c r="A1562" s="1">
        <v>2667</v>
      </c>
      <c r="B1562" s="1" t="s">
        <v>3589</v>
      </c>
      <c r="C1562" s="1" t="s">
        <v>3590</v>
      </c>
      <c r="D1562" s="1" t="s">
        <v>422</v>
      </c>
      <c r="E1562" s="1" t="s">
        <v>1327</v>
      </c>
      <c r="F1562" s="1">
        <v>1</v>
      </c>
      <c r="G1562" s="1" t="s">
        <v>143</v>
      </c>
    </row>
    <row r="1563" spans="1:9" hidden="1" x14ac:dyDescent="0.3">
      <c r="A1563" s="1">
        <v>2668</v>
      </c>
      <c r="B1563" s="1" t="s">
        <v>3591</v>
      </c>
      <c r="C1563" s="1" t="s">
        <v>3592</v>
      </c>
      <c r="D1563" s="1" t="s">
        <v>252</v>
      </c>
      <c r="E1563" s="1" t="s">
        <v>259</v>
      </c>
      <c r="F1563" s="1">
        <v>1</v>
      </c>
      <c r="G1563" s="1" t="s">
        <v>143</v>
      </c>
      <c r="I1563" s="1" t="s">
        <v>188</v>
      </c>
    </row>
    <row r="1564" spans="1:9" hidden="1" x14ac:dyDescent="0.3">
      <c r="A1564" s="1">
        <v>2669</v>
      </c>
      <c r="B1564" s="1" t="s">
        <v>3593</v>
      </c>
      <c r="C1564" s="1" t="s">
        <v>3594</v>
      </c>
      <c r="D1564" s="1" t="s">
        <v>591</v>
      </c>
      <c r="E1564" s="1" t="s">
        <v>111</v>
      </c>
      <c r="F1564" s="1">
        <v>0</v>
      </c>
      <c r="G1564" s="1" t="s">
        <v>82</v>
      </c>
      <c r="I1564" s="1" t="s">
        <v>123</v>
      </c>
    </row>
    <row r="1565" spans="1:9" hidden="1" x14ac:dyDescent="0.3">
      <c r="A1565" s="1">
        <v>2670</v>
      </c>
      <c r="B1565" s="1" t="s">
        <v>3595</v>
      </c>
      <c r="C1565" s="1" t="s">
        <v>3596</v>
      </c>
      <c r="D1565" s="1" t="s">
        <v>591</v>
      </c>
      <c r="E1565" s="1" t="s">
        <v>111</v>
      </c>
      <c r="F1565" s="1">
        <v>0</v>
      </c>
      <c r="G1565" s="1" t="s">
        <v>82</v>
      </c>
      <c r="I1565" s="1" t="s">
        <v>123</v>
      </c>
    </row>
    <row r="1566" spans="1:9" hidden="1" x14ac:dyDescent="0.3">
      <c r="A1566" s="1">
        <v>2671</v>
      </c>
      <c r="B1566" s="1" t="s">
        <v>3597</v>
      </c>
      <c r="C1566" s="1" t="s">
        <v>3598</v>
      </c>
      <c r="D1566" s="1" t="s">
        <v>1736</v>
      </c>
      <c r="E1566" s="1" t="s">
        <v>91</v>
      </c>
      <c r="F1566" s="1">
        <v>0</v>
      </c>
      <c r="G1566" s="1" t="s">
        <v>82</v>
      </c>
      <c r="I1566" s="1" t="s">
        <v>123</v>
      </c>
    </row>
    <row r="1567" spans="1:9" hidden="1" x14ac:dyDescent="0.3">
      <c r="A1567" s="1">
        <v>2672</v>
      </c>
      <c r="B1567" s="1" t="s">
        <v>3599</v>
      </c>
      <c r="C1567" s="1" t="s">
        <v>3600</v>
      </c>
      <c r="D1567" s="1" t="s">
        <v>422</v>
      </c>
      <c r="E1567" s="1" t="s">
        <v>340</v>
      </c>
      <c r="F1567" s="1">
        <v>1</v>
      </c>
      <c r="G1567" s="1" t="s">
        <v>143</v>
      </c>
    </row>
    <row r="1568" spans="1:9" hidden="1" x14ac:dyDescent="0.3">
      <c r="A1568" s="1">
        <v>2673</v>
      </c>
      <c r="B1568" s="1" t="s">
        <v>3601</v>
      </c>
      <c r="C1568" s="1" t="s">
        <v>3602</v>
      </c>
      <c r="D1568" s="1" t="s">
        <v>422</v>
      </c>
      <c r="E1568" s="1" t="s">
        <v>1327</v>
      </c>
      <c r="F1568" s="1">
        <v>0</v>
      </c>
      <c r="G1568" s="1" t="s">
        <v>82</v>
      </c>
      <c r="I1568" s="1" t="s">
        <v>188</v>
      </c>
    </row>
    <row r="1569" spans="1:9" hidden="1" x14ac:dyDescent="0.3">
      <c r="A1569" s="1">
        <v>2674</v>
      </c>
      <c r="B1569" s="1" t="s">
        <v>3603</v>
      </c>
      <c r="C1569" s="1" t="s">
        <v>3604</v>
      </c>
      <c r="D1569" s="1" t="s">
        <v>252</v>
      </c>
      <c r="E1569" s="1" t="s">
        <v>1327</v>
      </c>
      <c r="F1569" s="1">
        <v>1</v>
      </c>
      <c r="G1569" s="1" t="s">
        <v>143</v>
      </c>
    </row>
    <row r="1570" spans="1:9" hidden="1" x14ac:dyDescent="0.3">
      <c r="A1570" s="1">
        <v>2675</v>
      </c>
      <c r="B1570" s="1" t="s">
        <v>3605</v>
      </c>
      <c r="C1570" s="1" t="s">
        <v>3606</v>
      </c>
      <c r="D1570" s="1" t="s">
        <v>3149</v>
      </c>
      <c r="E1570" s="1" t="s">
        <v>142</v>
      </c>
      <c r="F1570" s="1">
        <v>0</v>
      </c>
      <c r="G1570" s="1" t="s">
        <v>82</v>
      </c>
      <c r="I1570" s="1" t="s">
        <v>123</v>
      </c>
    </row>
    <row r="1571" spans="1:9" hidden="1" x14ac:dyDescent="0.3">
      <c r="A1571" s="1">
        <v>2676</v>
      </c>
      <c r="B1571" s="1" t="s">
        <v>3607</v>
      </c>
      <c r="C1571" s="1" t="s">
        <v>3608</v>
      </c>
      <c r="D1571" s="1" t="s">
        <v>591</v>
      </c>
      <c r="E1571" s="1" t="s">
        <v>111</v>
      </c>
      <c r="F1571" s="1">
        <v>0</v>
      </c>
      <c r="G1571" s="1" t="s">
        <v>82</v>
      </c>
      <c r="I1571" s="1" t="s">
        <v>123</v>
      </c>
    </row>
    <row r="1572" spans="1:9" hidden="1" x14ac:dyDescent="0.3">
      <c r="A1572" s="1">
        <v>2677</v>
      </c>
      <c r="B1572" s="1" t="s">
        <v>3609</v>
      </c>
      <c r="C1572" s="1" t="s">
        <v>3610</v>
      </c>
      <c r="D1572" s="1" t="s">
        <v>345</v>
      </c>
      <c r="E1572" s="1" t="s">
        <v>331</v>
      </c>
      <c r="F1572" s="1">
        <v>0</v>
      </c>
      <c r="G1572" s="1" t="s">
        <v>82</v>
      </c>
      <c r="I1572" s="1" t="s">
        <v>188</v>
      </c>
    </row>
    <row r="1573" spans="1:9" hidden="1" x14ac:dyDescent="0.3">
      <c r="A1573" s="1">
        <v>2678</v>
      </c>
      <c r="B1573" s="1" t="s">
        <v>3611</v>
      </c>
      <c r="C1573" s="1" t="s">
        <v>3612</v>
      </c>
      <c r="D1573" s="1" t="s">
        <v>422</v>
      </c>
      <c r="E1573" s="1" t="s">
        <v>255</v>
      </c>
      <c r="F1573" s="1">
        <v>1</v>
      </c>
      <c r="G1573" s="1" t="s">
        <v>143</v>
      </c>
      <c r="I1573" s="1" t="s">
        <v>188</v>
      </c>
    </row>
    <row r="1574" spans="1:9" hidden="1" x14ac:dyDescent="0.3">
      <c r="A1574" s="1">
        <v>2679</v>
      </c>
      <c r="B1574" s="1" t="s">
        <v>3613</v>
      </c>
      <c r="C1574" s="1" t="s">
        <v>3614</v>
      </c>
      <c r="D1574" s="1" t="s">
        <v>278</v>
      </c>
      <c r="E1574" s="1" t="s">
        <v>1114</v>
      </c>
      <c r="F1574" s="1">
        <v>0</v>
      </c>
      <c r="G1574" s="1" t="s">
        <v>82</v>
      </c>
      <c r="I1574" s="1" t="s">
        <v>188</v>
      </c>
    </row>
    <row r="1575" spans="1:9" hidden="1" x14ac:dyDescent="0.3">
      <c r="A1575" s="1">
        <v>2680</v>
      </c>
      <c r="B1575" s="1" t="s">
        <v>3615</v>
      </c>
      <c r="C1575" s="1" t="s">
        <v>3616</v>
      </c>
      <c r="D1575" s="1" t="s">
        <v>2189</v>
      </c>
      <c r="E1575" s="1" t="s">
        <v>1114</v>
      </c>
      <c r="F1575" s="1">
        <v>1</v>
      </c>
      <c r="G1575" s="1" t="s">
        <v>143</v>
      </c>
    </row>
    <row r="1576" spans="1:9" hidden="1" x14ac:dyDescent="0.3">
      <c r="A1576" s="1">
        <v>2681</v>
      </c>
      <c r="B1576" s="1" t="s">
        <v>3617</v>
      </c>
      <c r="C1576" s="1" t="s">
        <v>3618</v>
      </c>
      <c r="D1576" s="1" t="s">
        <v>740</v>
      </c>
      <c r="E1576" s="1" t="s">
        <v>142</v>
      </c>
      <c r="F1576" s="1">
        <v>1</v>
      </c>
      <c r="G1576" s="1" t="s">
        <v>143</v>
      </c>
    </row>
    <row r="1577" spans="1:9" hidden="1" x14ac:dyDescent="0.3">
      <c r="A1577" s="1">
        <v>2682</v>
      </c>
      <c r="B1577" s="1" t="s">
        <v>3619</v>
      </c>
      <c r="C1577" s="1" t="s">
        <v>3620</v>
      </c>
      <c r="D1577" s="1" t="s">
        <v>3487</v>
      </c>
      <c r="E1577" s="1" t="s">
        <v>68</v>
      </c>
      <c r="F1577" s="1">
        <v>0</v>
      </c>
      <c r="G1577" s="1" t="s">
        <v>82</v>
      </c>
      <c r="I1577" s="1" t="s">
        <v>123</v>
      </c>
    </row>
    <row r="1578" spans="1:9" hidden="1" x14ac:dyDescent="0.3">
      <c r="A1578" s="1">
        <v>2683</v>
      </c>
      <c r="B1578" s="1" t="s">
        <v>3621</v>
      </c>
      <c r="C1578" s="1" t="s">
        <v>3622</v>
      </c>
      <c r="D1578" s="1" t="s">
        <v>270</v>
      </c>
      <c r="E1578" s="1" t="s">
        <v>147</v>
      </c>
      <c r="F1578" s="1">
        <v>1</v>
      </c>
      <c r="G1578" s="1" t="s">
        <v>143</v>
      </c>
    </row>
    <row r="1579" spans="1:9" hidden="1" x14ac:dyDescent="0.3">
      <c r="A1579" s="1">
        <v>2685</v>
      </c>
      <c r="B1579" s="1" t="s">
        <v>3623</v>
      </c>
      <c r="C1579" s="1" t="s">
        <v>3624</v>
      </c>
      <c r="D1579" s="1" t="s">
        <v>2184</v>
      </c>
      <c r="E1579" s="1" t="s">
        <v>1114</v>
      </c>
      <c r="F1579" s="1">
        <v>1</v>
      </c>
      <c r="G1579" s="1" t="s">
        <v>143</v>
      </c>
    </row>
    <row r="1580" spans="1:9" hidden="1" x14ac:dyDescent="0.3">
      <c r="A1580" s="1">
        <v>2686</v>
      </c>
      <c r="B1580" s="1" t="s">
        <v>3625</v>
      </c>
      <c r="C1580" s="1" t="s">
        <v>3626</v>
      </c>
      <c r="D1580" s="1" t="s">
        <v>252</v>
      </c>
      <c r="E1580" s="1" t="s">
        <v>1327</v>
      </c>
      <c r="F1580" s="1">
        <v>1</v>
      </c>
      <c r="G1580" s="1" t="s">
        <v>143</v>
      </c>
      <c r="I1580" s="1" t="s">
        <v>188</v>
      </c>
    </row>
    <row r="1581" spans="1:9" hidden="1" x14ac:dyDescent="0.3">
      <c r="A1581" s="1">
        <v>2687</v>
      </c>
      <c r="B1581" s="1" t="s">
        <v>3627</v>
      </c>
      <c r="C1581" s="1" t="s">
        <v>3628</v>
      </c>
      <c r="D1581" s="1" t="s">
        <v>252</v>
      </c>
      <c r="E1581" s="1" t="s">
        <v>259</v>
      </c>
      <c r="F1581" s="1">
        <v>1</v>
      </c>
      <c r="G1581" s="1" t="s">
        <v>143</v>
      </c>
      <c r="I1581" s="1" t="s">
        <v>188</v>
      </c>
    </row>
    <row r="1582" spans="1:9" hidden="1" x14ac:dyDescent="0.3">
      <c r="A1582" s="1">
        <v>2688</v>
      </c>
      <c r="B1582" s="1" t="s">
        <v>3629</v>
      </c>
      <c r="C1582" s="1" t="s">
        <v>3630</v>
      </c>
      <c r="D1582" s="1" t="s">
        <v>2890</v>
      </c>
      <c r="E1582" s="1" t="s">
        <v>1304</v>
      </c>
      <c r="F1582" s="1">
        <v>1</v>
      </c>
      <c r="G1582" s="1" t="s">
        <v>143</v>
      </c>
      <c r="I1582" s="1" t="s">
        <v>123</v>
      </c>
    </row>
    <row r="1583" spans="1:9" hidden="1" x14ac:dyDescent="0.3">
      <c r="A1583" s="1">
        <v>2689</v>
      </c>
      <c r="B1583" s="1" t="s">
        <v>3631</v>
      </c>
      <c r="C1583" s="1" t="s">
        <v>3632</v>
      </c>
      <c r="D1583" s="1" t="s">
        <v>3388</v>
      </c>
      <c r="E1583" s="1" t="s">
        <v>142</v>
      </c>
      <c r="F1583" s="1">
        <v>1</v>
      </c>
      <c r="G1583" s="1" t="s">
        <v>143</v>
      </c>
    </row>
    <row r="1584" spans="1:9" hidden="1" x14ac:dyDescent="0.3">
      <c r="A1584" s="1">
        <v>2690</v>
      </c>
      <c r="B1584" s="1" t="s">
        <v>3633</v>
      </c>
      <c r="C1584" s="1" t="s">
        <v>3634</v>
      </c>
      <c r="D1584" s="1" t="s">
        <v>278</v>
      </c>
      <c r="E1584" s="1" t="s">
        <v>147</v>
      </c>
      <c r="F1584" s="1">
        <v>1</v>
      </c>
      <c r="G1584" s="1" t="s">
        <v>143</v>
      </c>
      <c r="I1584" s="1" t="s">
        <v>188</v>
      </c>
    </row>
    <row r="1585" spans="1:9" hidden="1" x14ac:dyDescent="0.3">
      <c r="A1585" s="1">
        <v>2691</v>
      </c>
      <c r="B1585" s="1" t="s">
        <v>3635</v>
      </c>
      <c r="C1585" s="1" t="s">
        <v>3636</v>
      </c>
      <c r="D1585" s="1" t="s">
        <v>422</v>
      </c>
      <c r="E1585" s="1" t="s">
        <v>259</v>
      </c>
      <c r="F1585" s="1">
        <v>0</v>
      </c>
      <c r="G1585" s="1" t="s">
        <v>82</v>
      </c>
      <c r="I1585" s="1" t="s">
        <v>188</v>
      </c>
    </row>
    <row r="1586" spans="1:9" hidden="1" x14ac:dyDescent="0.3">
      <c r="A1586" s="1">
        <v>2692</v>
      </c>
      <c r="B1586" s="1" t="s">
        <v>3637</v>
      </c>
      <c r="C1586" s="1" t="s">
        <v>3638</v>
      </c>
      <c r="D1586" s="1" t="s">
        <v>252</v>
      </c>
      <c r="E1586" s="1" t="s">
        <v>1327</v>
      </c>
      <c r="F1586" s="1">
        <v>0</v>
      </c>
      <c r="G1586" s="1" t="s">
        <v>82</v>
      </c>
      <c r="I1586" s="1" t="s">
        <v>188</v>
      </c>
    </row>
    <row r="1587" spans="1:9" hidden="1" x14ac:dyDescent="0.3">
      <c r="A1587" s="1">
        <v>2693</v>
      </c>
      <c r="B1587" s="1" t="s">
        <v>3639</v>
      </c>
      <c r="C1587" s="1" t="s">
        <v>3640</v>
      </c>
      <c r="D1587" s="1" t="s">
        <v>422</v>
      </c>
      <c r="E1587" s="1" t="s">
        <v>1327</v>
      </c>
      <c r="F1587" s="1">
        <v>1</v>
      </c>
      <c r="G1587" s="1" t="s">
        <v>143</v>
      </c>
    </row>
    <row r="1588" spans="1:9" hidden="1" x14ac:dyDescent="0.3">
      <c r="A1588" s="1">
        <v>2695</v>
      </c>
      <c r="B1588" s="1" t="s">
        <v>3641</v>
      </c>
      <c r="C1588" s="1" t="s">
        <v>3642</v>
      </c>
      <c r="D1588" s="1" t="s">
        <v>3428</v>
      </c>
      <c r="E1588" s="1" t="s">
        <v>142</v>
      </c>
      <c r="F1588" s="1">
        <v>1</v>
      </c>
      <c r="G1588" s="1" t="s">
        <v>143</v>
      </c>
      <c r="I1588" s="1" t="s">
        <v>123</v>
      </c>
    </row>
    <row r="1589" spans="1:9" hidden="1" x14ac:dyDescent="0.3">
      <c r="A1589" s="1">
        <v>2696</v>
      </c>
      <c r="B1589" s="1" t="s">
        <v>3643</v>
      </c>
      <c r="C1589" s="1" t="s">
        <v>3644</v>
      </c>
      <c r="D1589" s="1" t="s">
        <v>3445</v>
      </c>
      <c r="E1589" s="1" t="s">
        <v>91</v>
      </c>
      <c r="F1589" s="1">
        <v>0</v>
      </c>
      <c r="G1589" s="1" t="s">
        <v>82</v>
      </c>
      <c r="I1589" s="1" t="s">
        <v>123</v>
      </c>
    </row>
    <row r="1590" spans="1:9" hidden="1" x14ac:dyDescent="0.3">
      <c r="A1590" s="1">
        <v>2697</v>
      </c>
      <c r="B1590" s="1" t="s">
        <v>3645</v>
      </c>
      <c r="C1590" s="1" t="s">
        <v>3646</v>
      </c>
      <c r="D1590" s="1" t="s">
        <v>278</v>
      </c>
      <c r="E1590" s="1" t="s">
        <v>1327</v>
      </c>
      <c r="F1590" s="1">
        <v>1</v>
      </c>
      <c r="G1590" s="1" t="s">
        <v>143</v>
      </c>
      <c r="I1590" s="1" t="s">
        <v>188</v>
      </c>
    </row>
    <row r="1591" spans="1:9" hidden="1" x14ac:dyDescent="0.3">
      <c r="A1591" s="1">
        <v>2698</v>
      </c>
      <c r="B1591" s="1" t="s">
        <v>3647</v>
      </c>
      <c r="C1591" s="1" t="s">
        <v>3648</v>
      </c>
      <c r="D1591" s="1" t="s">
        <v>283</v>
      </c>
      <c r="E1591" s="1" t="s">
        <v>197</v>
      </c>
      <c r="F1591" s="1">
        <v>1</v>
      </c>
      <c r="G1591" s="1" t="s">
        <v>143</v>
      </c>
      <c r="I1591" s="1" t="s">
        <v>123</v>
      </c>
    </row>
    <row r="1592" spans="1:9" hidden="1" x14ac:dyDescent="0.3">
      <c r="A1592" s="1">
        <v>2699</v>
      </c>
      <c r="B1592" s="1" t="s">
        <v>3649</v>
      </c>
      <c r="C1592" s="1" t="s">
        <v>3650</v>
      </c>
      <c r="D1592" s="1" t="s">
        <v>2304</v>
      </c>
      <c r="E1592" s="1" t="s">
        <v>505</v>
      </c>
      <c r="F1592" s="1">
        <v>1</v>
      </c>
      <c r="G1592" s="1" t="s">
        <v>143</v>
      </c>
      <c r="I1592" s="1" t="s">
        <v>123</v>
      </c>
    </row>
    <row r="1593" spans="1:9" hidden="1" x14ac:dyDescent="0.3">
      <c r="A1593" s="1">
        <v>2700</v>
      </c>
      <c r="B1593" s="1" t="s">
        <v>3651</v>
      </c>
      <c r="C1593" s="1" t="s">
        <v>3652</v>
      </c>
      <c r="D1593" s="1" t="s">
        <v>2959</v>
      </c>
      <c r="E1593" s="1" t="s">
        <v>1304</v>
      </c>
      <c r="F1593" s="1">
        <v>0</v>
      </c>
      <c r="G1593" s="1" t="s">
        <v>82</v>
      </c>
      <c r="I1593" s="1" t="s">
        <v>123</v>
      </c>
    </row>
    <row r="1594" spans="1:9" hidden="1" x14ac:dyDescent="0.3">
      <c r="A1594" s="1">
        <v>2701</v>
      </c>
      <c r="B1594" s="1" t="s">
        <v>3653</v>
      </c>
      <c r="C1594" s="1" t="s">
        <v>3654</v>
      </c>
      <c r="D1594" s="1" t="s">
        <v>422</v>
      </c>
      <c r="E1594" s="1" t="s">
        <v>147</v>
      </c>
      <c r="F1594" s="1">
        <v>1</v>
      </c>
      <c r="G1594" s="1" t="s">
        <v>143</v>
      </c>
      <c r="I1594" s="1" t="s">
        <v>188</v>
      </c>
    </row>
    <row r="1595" spans="1:9" hidden="1" x14ac:dyDescent="0.3">
      <c r="A1595" s="1">
        <v>2702</v>
      </c>
      <c r="B1595" s="1" t="s">
        <v>3655</v>
      </c>
      <c r="C1595" s="1" t="s">
        <v>3656</v>
      </c>
      <c r="D1595" s="1" t="s">
        <v>237</v>
      </c>
      <c r="E1595" s="1" t="s">
        <v>419</v>
      </c>
      <c r="F1595" s="1">
        <v>1</v>
      </c>
      <c r="G1595" s="1" t="s">
        <v>143</v>
      </c>
      <c r="I1595" s="1" t="s">
        <v>84</v>
      </c>
    </row>
    <row r="1596" spans="1:9" hidden="1" x14ac:dyDescent="0.3">
      <c r="A1596" s="1">
        <v>2703</v>
      </c>
      <c r="B1596" s="1" t="s">
        <v>3657</v>
      </c>
      <c r="C1596" s="1" t="s">
        <v>3658</v>
      </c>
      <c r="D1596" s="1" t="s">
        <v>2010</v>
      </c>
      <c r="E1596" s="1" t="s">
        <v>68</v>
      </c>
      <c r="F1596" s="1">
        <v>1</v>
      </c>
      <c r="G1596" s="1" t="s">
        <v>143</v>
      </c>
      <c r="I1596" s="1" t="s">
        <v>123</v>
      </c>
    </row>
    <row r="1597" spans="1:9" hidden="1" x14ac:dyDescent="0.3">
      <c r="A1597" s="1">
        <v>2704</v>
      </c>
      <c r="B1597" s="1" t="s">
        <v>3659</v>
      </c>
      <c r="C1597" s="1" t="s">
        <v>3660</v>
      </c>
      <c r="D1597" s="1" t="s">
        <v>847</v>
      </c>
      <c r="E1597" s="1" t="s">
        <v>111</v>
      </c>
      <c r="F1597" s="1">
        <v>1</v>
      </c>
      <c r="G1597" s="1" t="s">
        <v>143</v>
      </c>
      <c r="I1597" s="1" t="s">
        <v>123</v>
      </c>
    </row>
    <row r="1598" spans="1:9" hidden="1" x14ac:dyDescent="0.3">
      <c r="A1598" s="1">
        <v>2705</v>
      </c>
      <c r="B1598" s="1" t="s">
        <v>3661</v>
      </c>
      <c r="C1598" s="1" t="s">
        <v>3662</v>
      </c>
      <c r="D1598" s="1" t="s">
        <v>2189</v>
      </c>
      <c r="E1598" s="1" t="s">
        <v>1114</v>
      </c>
      <c r="F1598" s="1">
        <v>1</v>
      </c>
      <c r="G1598" s="1" t="s">
        <v>143</v>
      </c>
    </row>
    <row r="1599" spans="1:9" hidden="1" x14ac:dyDescent="0.3">
      <c r="A1599" s="1">
        <v>2706</v>
      </c>
      <c r="B1599" s="1" t="s">
        <v>3663</v>
      </c>
      <c r="C1599" s="1" t="s">
        <v>3664</v>
      </c>
      <c r="D1599" s="1" t="s">
        <v>278</v>
      </c>
      <c r="E1599" s="1" t="s">
        <v>255</v>
      </c>
      <c r="F1599" s="1">
        <v>1</v>
      </c>
      <c r="G1599" s="1" t="s">
        <v>143</v>
      </c>
      <c r="I1599" s="1" t="s">
        <v>188</v>
      </c>
    </row>
    <row r="1600" spans="1:9" hidden="1" x14ac:dyDescent="0.3">
      <c r="A1600" s="1">
        <v>2707</v>
      </c>
      <c r="B1600" s="1" t="s">
        <v>3665</v>
      </c>
      <c r="C1600" s="1" t="s">
        <v>3666</v>
      </c>
      <c r="D1600" s="1" t="s">
        <v>336</v>
      </c>
      <c r="E1600" s="1" t="s">
        <v>331</v>
      </c>
      <c r="F1600" s="1">
        <v>0</v>
      </c>
      <c r="G1600" s="1" t="s">
        <v>82</v>
      </c>
      <c r="I1600" s="1" t="s">
        <v>188</v>
      </c>
    </row>
    <row r="1601" spans="1:9" hidden="1" x14ac:dyDescent="0.3">
      <c r="A1601" s="1">
        <v>2708</v>
      </c>
      <c r="B1601" s="1" t="s">
        <v>3667</v>
      </c>
      <c r="C1601" s="1" t="s">
        <v>3668</v>
      </c>
      <c r="D1601" s="1" t="s">
        <v>2478</v>
      </c>
      <c r="E1601" s="1" t="s">
        <v>255</v>
      </c>
      <c r="F1601" s="1">
        <v>1</v>
      </c>
      <c r="G1601" s="1" t="s">
        <v>143</v>
      </c>
      <c r="I1601" s="1" t="s">
        <v>84</v>
      </c>
    </row>
    <row r="1602" spans="1:9" hidden="1" x14ac:dyDescent="0.3">
      <c r="A1602" s="1">
        <v>2709</v>
      </c>
      <c r="B1602" s="1" t="s">
        <v>3669</v>
      </c>
      <c r="C1602" s="1" t="s">
        <v>3670</v>
      </c>
      <c r="D1602" s="1" t="s">
        <v>422</v>
      </c>
      <c r="E1602" s="1" t="s">
        <v>147</v>
      </c>
      <c r="F1602" s="1">
        <v>0</v>
      </c>
      <c r="G1602" s="1" t="s">
        <v>82</v>
      </c>
      <c r="I1602" s="1" t="s">
        <v>188</v>
      </c>
    </row>
    <row r="1603" spans="1:9" hidden="1" x14ac:dyDescent="0.3">
      <c r="A1603" s="1">
        <v>2710</v>
      </c>
      <c r="B1603" s="1" t="s">
        <v>3671</v>
      </c>
      <c r="C1603" s="1" t="s">
        <v>3672</v>
      </c>
      <c r="D1603" s="1" t="s">
        <v>252</v>
      </c>
      <c r="E1603" s="1" t="s">
        <v>255</v>
      </c>
      <c r="F1603" s="1">
        <v>0</v>
      </c>
      <c r="G1603" s="1" t="s">
        <v>82</v>
      </c>
      <c r="I1603" s="1" t="s">
        <v>188</v>
      </c>
    </row>
    <row r="1604" spans="1:9" hidden="1" x14ac:dyDescent="0.3">
      <c r="A1604" s="1">
        <v>2711</v>
      </c>
      <c r="B1604" s="1" t="s">
        <v>3673</v>
      </c>
      <c r="C1604" s="1" t="s">
        <v>3674</v>
      </c>
      <c r="D1604" s="1" t="s">
        <v>2189</v>
      </c>
      <c r="E1604" s="1" t="s">
        <v>1114</v>
      </c>
      <c r="F1604" s="1">
        <v>1</v>
      </c>
      <c r="G1604" s="1" t="s">
        <v>143</v>
      </c>
      <c r="I1604" s="1" t="s">
        <v>188</v>
      </c>
    </row>
    <row r="1605" spans="1:9" hidden="1" x14ac:dyDescent="0.3">
      <c r="A1605" s="1">
        <v>2712</v>
      </c>
      <c r="B1605" s="1" t="s">
        <v>3675</v>
      </c>
      <c r="C1605" s="1" t="s">
        <v>3676</v>
      </c>
      <c r="D1605" s="1" t="s">
        <v>422</v>
      </c>
      <c r="E1605" s="1" t="s">
        <v>340</v>
      </c>
      <c r="F1605" s="1">
        <v>0</v>
      </c>
      <c r="G1605" s="1" t="s">
        <v>82</v>
      </c>
      <c r="I1605" s="1" t="s">
        <v>188</v>
      </c>
    </row>
    <row r="1606" spans="1:9" hidden="1" x14ac:dyDescent="0.3">
      <c r="A1606" s="1">
        <v>2713</v>
      </c>
      <c r="B1606" s="1" t="s">
        <v>3677</v>
      </c>
      <c r="C1606" s="1" t="s">
        <v>3678</v>
      </c>
      <c r="D1606" s="1" t="s">
        <v>230</v>
      </c>
      <c r="E1606" s="1" t="s">
        <v>197</v>
      </c>
      <c r="F1606" s="1">
        <v>1</v>
      </c>
      <c r="G1606" s="1" t="s">
        <v>143</v>
      </c>
      <c r="I1606" s="1" t="s">
        <v>123</v>
      </c>
    </row>
    <row r="1607" spans="1:9" hidden="1" x14ac:dyDescent="0.3">
      <c r="A1607" s="1">
        <v>2714</v>
      </c>
      <c r="B1607" s="1" t="s">
        <v>3679</v>
      </c>
      <c r="C1607" s="1" t="s">
        <v>3680</v>
      </c>
      <c r="D1607" s="1" t="s">
        <v>278</v>
      </c>
      <c r="E1607" s="1" t="s">
        <v>1327</v>
      </c>
      <c r="F1607" s="1">
        <v>1</v>
      </c>
      <c r="G1607" s="1" t="s">
        <v>143</v>
      </c>
      <c r="I1607" s="1" t="s">
        <v>188</v>
      </c>
    </row>
    <row r="1608" spans="1:9" hidden="1" x14ac:dyDescent="0.3">
      <c r="A1608" s="1">
        <v>2715</v>
      </c>
      <c r="B1608" s="1" t="s">
        <v>3681</v>
      </c>
      <c r="C1608" s="1" t="s">
        <v>3682</v>
      </c>
      <c r="D1608" s="1" t="s">
        <v>278</v>
      </c>
      <c r="E1608" s="1" t="s">
        <v>147</v>
      </c>
      <c r="F1608" s="1">
        <v>1</v>
      </c>
      <c r="G1608" s="1" t="s">
        <v>143</v>
      </c>
      <c r="I1608" s="1" t="s">
        <v>188</v>
      </c>
    </row>
    <row r="1609" spans="1:9" hidden="1" x14ac:dyDescent="0.3">
      <c r="A1609" s="1">
        <v>2716</v>
      </c>
      <c r="B1609" s="1" t="s">
        <v>3683</v>
      </c>
      <c r="C1609" s="1" t="s">
        <v>3684</v>
      </c>
      <c r="D1609" s="1" t="s">
        <v>986</v>
      </c>
      <c r="E1609" s="1" t="s">
        <v>142</v>
      </c>
      <c r="F1609" s="1">
        <v>0</v>
      </c>
      <c r="G1609" s="1" t="s">
        <v>82</v>
      </c>
      <c r="I1609" s="1" t="s">
        <v>123</v>
      </c>
    </row>
    <row r="1610" spans="1:9" hidden="1" x14ac:dyDescent="0.3">
      <c r="A1610" s="1">
        <v>2717</v>
      </c>
      <c r="B1610" s="1" t="s">
        <v>3685</v>
      </c>
      <c r="C1610" s="1" t="s">
        <v>3686</v>
      </c>
      <c r="D1610" s="1" t="s">
        <v>3149</v>
      </c>
      <c r="E1610" s="1" t="s">
        <v>142</v>
      </c>
      <c r="F1610" s="1">
        <v>1</v>
      </c>
      <c r="G1610" s="1" t="s">
        <v>143</v>
      </c>
      <c r="I1610" s="1" t="s">
        <v>123</v>
      </c>
    </row>
    <row r="1611" spans="1:9" hidden="1" x14ac:dyDescent="0.3">
      <c r="A1611" s="1">
        <v>2718</v>
      </c>
      <c r="B1611" s="1" t="s">
        <v>3687</v>
      </c>
      <c r="C1611" s="1" t="s">
        <v>3688</v>
      </c>
      <c r="D1611" s="1" t="s">
        <v>230</v>
      </c>
      <c r="E1611" s="1" t="s">
        <v>197</v>
      </c>
      <c r="F1611" s="1">
        <v>0</v>
      </c>
      <c r="G1611" s="1" t="s">
        <v>82</v>
      </c>
      <c r="I1611" s="1" t="s">
        <v>123</v>
      </c>
    </row>
    <row r="1612" spans="1:9" hidden="1" x14ac:dyDescent="0.3">
      <c r="A1612" s="1">
        <v>2720</v>
      </c>
      <c r="B1612" s="1" t="s">
        <v>3689</v>
      </c>
      <c r="C1612" s="1" t="s">
        <v>3690</v>
      </c>
      <c r="D1612" s="1" t="s">
        <v>422</v>
      </c>
      <c r="E1612" s="1" t="s">
        <v>1327</v>
      </c>
      <c r="F1612" s="1">
        <v>1</v>
      </c>
      <c r="G1612" s="1" t="s">
        <v>143</v>
      </c>
    </row>
    <row r="1613" spans="1:9" hidden="1" x14ac:dyDescent="0.3">
      <c r="A1613" s="1">
        <v>2721</v>
      </c>
      <c r="B1613" s="1" t="s">
        <v>3691</v>
      </c>
      <c r="C1613" s="1" t="s">
        <v>3692</v>
      </c>
      <c r="D1613" s="1" t="s">
        <v>252</v>
      </c>
      <c r="E1613" s="1" t="s">
        <v>1327</v>
      </c>
      <c r="F1613" s="1">
        <v>1</v>
      </c>
      <c r="G1613" s="1" t="s">
        <v>143</v>
      </c>
      <c r="I1613" s="1" t="s">
        <v>188</v>
      </c>
    </row>
    <row r="1614" spans="1:9" hidden="1" x14ac:dyDescent="0.3">
      <c r="A1614" s="1">
        <v>2722</v>
      </c>
      <c r="B1614" s="1" t="s">
        <v>3693</v>
      </c>
      <c r="C1614" s="1" t="s">
        <v>3694</v>
      </c>
      <c r="D1614" s="1" t="s">
        <v>3695</v>
      </c>
      <c r="E1614" s="1" t="s">
        <v>65</v>
      </c>
      <c r="F1614" s="1">
        <v>0</v>
      </c>
      <c r="G1614" s="1" t="s">
        <v>82</v>
      </c>
      <c r="I1614" s="1" t="s">
        <v>123</v>
      </c>
    </row>
    <row r="1615" spans="1:9" hidden="1" x14ac:dyDescent="0.3">
      <c r="A1615" s="1">
        <v>2724</v>
      </c>
      <c r="B1615" s="1" t="s">
        <v>3696</v>
      </c>
      <c r="C1615" s="1" t="s">
        <v>3697</v>
      </c>
      <c r="D1615" s="1" t="s">
        <v>2189</v>
      </c>
      <c r="E1615" s="1" t="s">
        <v>1114</v>
      </c>
      <c r="F1615" s="1">
        <v>1</v>
      </c>
      <c r="G1615" s="1" t="s">
        <v>143</v>
      </c>
      <c r="I1615" s="1" t="s">
        <v>188</v>
      </c>
    </row>
    <row r="1616" spans="1:9" hidden="1" x14ac:dyDescent="0.3">
      <c r="A1616" s="1">
        <v>2725</v>
      </c>
      <c r="B1616" s="1" t="s">
        <v>3698</v>
      </c>
      <c r="C1616" s="1" t="s">
        <v>3699</v>
      </c>
      <c r="D1616" s="1" t="s">
        <v>422</v>
      </c>
      <c r="E1616" s="1" t="s">
        <v>340</v>
      </c>
      <c r="F1616" s="1">
        <v>1</v>
      </c>
      <c r="G1616" s="1" t="s">
        <v>143</v>
      </c>
      <c r="I1616" s="1" t="s">
        <v>188</v>
      </c>
    </row>
    <row r="1617" spans="1:9" hidden="1" x14ac:dyDescent="0.3">
      <c r="A1617" s="1">
        <v>2726</v>
      </c>
      <c r="B1617" s="1" t="s">
        <v>3700</v>
      </c>
      <c r="C1617" s="1" t="s">
        <v>3701</v>
      </c>
      <c r="D1617" s="1" t="s">
        <v>422</v>
      </c>
      <c r="E1617" s="1" t="s">
        <v>259</v>
      </c>
      <c r="F1617" s="1">
        <v>1</v>
      </c>
      <c r="G1617" s="1" t="s">
        <v>143</v>
      </c>
      <c r="I1617" s="1" t="s">
        <v>188</v>
      </c>
    </row>
    <row r="1618" spans="1:9" hidden="1" x14ac:dyDescent="0.3">
      <c r="A1618" s="1">
        <v>2727</v>
      </c>
      <c r="B1618" s="1" t="s">
        <v>3702</v>
      </c>
      <c r="C1618" s="1" t="s">
        <v>3703</v>
      </c>
      <c r="D1618" s="1" t="s">
        <v>2944</v>
      </c>
      <c r="E1618" s="1" t="s">
        <v>91</v>
      </c>
      <c r="F1618" s="1">
        <v>1</v>
      </c>
      <c r="G1618" s="1" t="s">
        <v>143</v>
      </c>
      <c r="I1618" s="1" t="s">
        <v>123</v>
      </c>
    </row>
    <row r="1619" spans="1:9" hidden="1" x14ac:dyDescent="0.3">
      <c r="A1619" s="1">
        <v>2728</v>
      </c>
      <c r="B1619" s="1" t="s">
        <v>3704</v>
      </c>
      <c r="C1619" s="1" t="s">
        <v>3705</v>
      </c>
      <c r="D1619" s="1" t="s">
        <v>252</v>
      </c>
      <c r="E1619" s="1" t="s">
        <v>259</v>
      </c>
      <c r="F1619" s="1">
        <v>0</v>
      </c>
      <c r="G1619" s="1" t="s">
        <v>82</v>
      </c>
      <c r="I1619" s="1" t="s">
        <v>188</v>
      </c>
    </row>
    <row r="1620" spans="1:9" hidden="1" x14ac:dyDescent="0.3">
      <c r="A1620" s="1">
        <v>2729</v>
      </c>
      <c r="B1620" s="1" t="s">
        <v>3706</v>
      </c>
      <c r="C1620" s="1" t="s">
        <v>3707</v>
      </c>
      <c r="D1620" s="1" t="s">
        <v>252</v>
      </c>
      <c r="E1620" s="1" t="s">
        <v>340</v>
      </c>
      <c r="F1620" s="1">
        <v>0</v>
      </c>
      <c r="G1620" s="1" t="s">
        <v>82</v>
      </c>
      <c r="I1620" s="1" t="s">
        <v>188</v>
      </c>
    </row>
    <row r="1621" spans="1:9" hidden="1" x14ac:dyDescent="0.3">
      <c r="A1621" s="1">
        <v>2730</v>
      </c>
      <c r="B1621" s="1" t="s">
        <v>3708</v>
      </c>
      <c r="C1621" s="1" t="s">
        <v>3709</v>
      </c>
      <c r="D1621" s="1" t="s">
        <v>422</v>
      </c>
      <c r="E1621" s="1" t="s">
        <v>340</v>
      </c>
      <c r="F1621" s="1">
        <v>0</v>
      </c>
      <c r="G1621" s="1" t="s">
        <v>82</v>
      </c>
      <c r="I1621" s="1" t="s">
        <v>188</v>
      </c>
    </row>
    <row r="1622" spans="1:9" hidden="1" x14ac:dyDescent="0.3">
      <c r="A1622" s="1">
        <v>2731</v>
      </c>
      <c r="B1622" s="1" t="s">
        <v>3710</v>
      </c>
      <c r="C1622" s="1" t="s">
        <v>3711</v>
      </c>
      <c r="D1622" s="1" t="s">
        <v>422</v>
      </c>
      <c r="E1622" s="1" t="s">
        <v>340</v>
      </c>
      <c r="F1622" s="1">
        <v>0</v>
      </c>
      <c r="G1622" s="1" t="s">
        <v>82</v>
      </c>
      <c r="I1622" s="1" t="s">
        <v>188</v>
      </c>
    </row>
    <row r="1623" spans="1:9" hidden="1" x14ac:dyDescent="0.3">
      <c r="A1623" s="1">
        <v>2732</v>
      </c>
      <c r="B1623" s="1" t="s">
        <v>3712</v>
      </c>
      <c r="C1623" s="1" t="s">
        <v>3713</v>
      </c>
      <c r="D1623" s="1" t="s">
        <v>422</v>
      </c>
      <c r="E1623" s="1" t="s">
        <v>259</v>
      </c>
      <c r="F1623" s="1">
        <v>1</v>
      </c>
      <c r="G1623" s="1" t="s">
        <v>143</v>
      </c>
      <c r="I1623" s="1" t="s">
        <v>188</v>
      </c>
    </row>
    <row r="1624" spans="1:9" hidden="1" x14ac:dyDescent="0.3">
      <c r="A1624" s="1">
        <v>2733</v>
      </c>
      <c r="B1624" s="1" t="s">
        <v>3714</v>
      </c>
      <c r="C1624" s="1" t="s">
        <v>3715</v>
      </c>
      <c r="D1624" s="1" t="s">
        <v>422</v>
      </c>
      <c r="E1624" s="1" t="s">
        <v>340</v>
      </c>
      <c r="F1624" s="1">
        <v>1</v>
      </c>
      <c r="G1624" s="1" t="s">
        <v>143</v>
      </c>
      <c r="I1624" s="1" t="s">
        <v>188</v>
      </c>
    </row>
    <row r="1625" spans="1:9" hidden="1" x14ac:dyDescent="0.3">
      <c r="A1625" s="1">
        <v>2734</v>
      </c>
      <c r="B1625" s="1" t="s">
        <v>3716</v>
      </c>
      <c r="C1625" s="1" t="s">
        <v>3717</v>
      </c>
      <c r="D1625" s="1" t="s">
        <v>422</v>
      </c>
      <c r="E1625" s="1" t="s">
        <v>147</v>
      </c>
      <c r="F1625" s="1">
        <v>1</v>
      </c>
      <c r="G1625" s="1" t="s">
        <v>143</v>
      </c>
      <c r="I1625" s="1" t="s">
        <v>188</v>
      </c>
    </row>
    <row r="1626" spans="1:9" hidden="1" x14ac:dyDescent="0.3">
      <c r="A1626" s="1">
        <v>2735</v>
      </c>
      <c r="B1626" s="1" t="s">
        <v>3718</v>
      </c>
      <c r="C1626" s="1" t="s">
        <v>3719</v>
      </c>
      <c r="D1626" s="1" t="s">
        <v>278</v>
      </c>
      <c r="E1626" s="1" t="s">
        <v>255</v>
      </c>
      <c r="F1626" s="1">
        <v>0</v>
      </c>
      <c r="G1626" s="1" t="s">
        <v>82</v>
      </c>
      <c r="I1626" s="1" t="s">
        <v>188</v>
      </c>
    </row>
    <row r="1627" spans="1:9" hidden="1" x14ac:dyDescent="0.3">
      <c r="A1627" s="1">
        <v>2736</v>
      </c>
      <c r="B1627" s="1" t="s">
        <v>3720</v>
      </c>
      <c r="C1627" s="1" t="s">
        <v>3721</v>
      </c>
      <c r="D1627" s="1" t="s">
        <v>252</v>
      </c>
      <c r="E1627" s="1" t="s">
        <v>1327</v>
      </c>
      <c r="F1627" s="1">
        <v>1</v>
      </c>
      <c r="G1627" s="1" t="s">
        <v>143</v>
      </c>
      <c r="I1627" s="1" t="s">
        <v>188</v>
      </c>
    </row>
    <row r="1628" spans="1:9" hidden="1" x14ac:dyDescent="0.3">
      <c r="A1628" s="1">
        <v>2737</v>
      </c>
      <c r="B1628" s="1" t="s">
        <v>3722</v>
      </c>
      <c r="C1628" s="1" t="s">
        <v>3723</v>
      </c>
      <c r="D1628" s="1" t="s">
        <v>422</v>
      </c>
      <c r="E1628" s="1" t="s">
        <v>255</v>
      </c>
      <c r="F1628" s="1">
        <v>1</v>
      </c>
      <c r="G1628" s="1" t="s">
        <v>143</v>
      </c>
      <c r="I1628" s="1" t="s">
        <v>188</v>
      </c>
    </row>
    <row r="1629" spans="1:9" hidden="1" x14ac:dyDescent="0.3">
      <c r="A1629" s="1">
        <v>2738</v>
      </c>
      <c r="B1629" s="1" t="s">
        <v>3724</v>
      </c>
      <c r="C1629" s="1" t="s">
        <v>3725</v>
      </c>
      <c r="D1629" s="1" t="s">
        <v>345</v>
      </c>
      <c r="E1629" s="1" t="s">
        <v>331</v>
      </c>
      <c r="F1629" s="1">
        <v>0</v>
      </c>
      <c r="G1629" s="1" t="s">
        <v>82</v>
      </c>
      <c r="I1629" s="1" t="s">
        <v>188</v>
      </c>
    </row>
    <row r="1630" spans="1:9" hidden="1" x14ac:dyDescent="0.3">
      <c r="A1630" s="1">
        <v>2739</v>
      </c>
      <c r="B1630" s="1" t="s">
        <v>3726</v>
      </c>
      <c r="C1630" s="1" t="s">
        <v>3727</v>
      </c>
      <c r="D1630" s="1" t="s">
        <v>252</v>
      </c>
      <c r="E1630" s="1" t="s">
        <v>255</v>
      </c>
      <c r="F1630" s="1">
        <v>1</v>
      </c>
      <c r="G1630" s="1" t="s">
        <v>143</v>
      </c>
      <c r="I1630" s="1" t="s">
        <v>188</v>
      </c>
    </row>
    <row r="1631" spans="1:9" hidden="1" x14ac:dyDescent="0.3">
      <c r="A1631" s="1">
        <v>2740</v>
      </c>
      <c r="B1631" s="1" t="s">
        <v>3728</v>
      </c>
      <c r="C1631" s="1" t="s">
        <v>3729</v>
      </c>
      <c r="D1631" s="1" t="s">
        <v>345</v>
      </c>
      <c r="E1631" s="1" t="s">
        <v>331</v>
      </c>
      <c r="F1631" s="1">
        <v>1</v>
      </c>
      <c r="G1631" s="1" t="s">
        <v>143</v>
      </c>
    </row>
    <row r="1632" spans="1:9" hidden="1" x14ac:dyDescent="0.3">
      <c r="A1632" s="1">
        <v>2741</v>
      </c>
      <c r="B1632" s="1" t="s">
        <v>3730</v>
      </c>
      <c r="C1632" s="1" t="s">
        <v>3731</v>
      </c>
      <c r="D1632" s="1" t="s">
        <v>422</v>
      </c>
      <c r="E1632" s="1" t="s">
        <v>147</v>
      </c>
      <c r="F1632" s="1">
        <v>1</v>
      </c>
      <c r="G1632" s="1" t="s">
        <v>143</v>
      </c>
      <c r="I1632" s="1" t="s">
        <v>188</v>
      </c>
    </row>
    <row r="1633" spans="1:9" hidden="1" x14ac:dyDescent="0.3">
      <c r="A1633" s="1">
        <v>2742</v>
      </c>
      <c r="B1633" s="1" t="s">
        <v>3732</v>
      </c>
      <c r="C1633" s="1" t="s">
        <v>3733</v>
      </c>
      <c r="D1633" s="1" t="s">
        <v>3734</v>
      </c>
      <c r="E1633" s="1" t="s">
        <v>142</v>
      </c>
      <c r="F1633" s="1">
        <v>1</v>
      </c>
      <c r="G1633" s="1" t="s">
        <v>143</v>
      </c>
      <c r="I1633" s="1" t="s">
        <v>123</v>
      </c>
    </row>
    <row r="1634" spans="1:9" hidden="1" x14ac:dyDescent="0.3">
      <c r="A1634" s="1">
        <v>2743</v>
      </c>
      <c r="B1634" s="1" t="s">
        <v>3735</v>
      </c>
      <c r="C1634" s="1" t="s">
        <v>3736</v>
      </c>
      <c r="D1634" s="1" t="s">
        <v>422</v>
      </c>
      <c r="E1634" s="1" t="s">
        <v>259</v>
      </c>
      <c r="F1634" s="1">
        <v>1</v>
      </c>
      <c r="G1634" s="1" t="s">
        <v>143</v>
      </c>
      <c r="I1634" s="1" t="s">
        <v>188</v>
      </c>
    </row>
    <row r="1635" spans="1:9" hidden="1" x14ac:dyDescent="0.3">
      <c r="A1635" s="1">
        <v>2744</v>
      </c>
      <c r="B1635" s="1" t="s">
        <v>3737</v>
      </c>
      <c r="C1635" s="1" t="s">
        <v>3738</v>
      </c>
      <c r="D1635" s="1" t="s">
        <v>422</v>
      </c>
      <c r="E1635" s="1" t="s">
        <v>147</v>
      </c>
      <c r="F1635" s="1">
        <v>1</v>
      </c>
      <c r="G1635" s="1" t="s">
        <v>143</v>
      </c>
      <c r="I1635" s="1" t="s">
        <v>188</v>
      </c>
    </row>
    <row r="1636" spans="1:9" hidden="1" x14ac:dyDescent="0.3">
      <c r="A1636" s="1">
        <v>2745</v>
      </c>
      <c r="B1636" s="1" t="s">
        <v>3739</v>
      </c>
      <c r="C1636" s="1" t="s">
        <v>3740</v>
      </c>
      <c r="D1636" s="1" t="s">
        <v>252</v>
      </c>
      <c r="E1636" s="1" t="s">
        <v>1327</v>
      </c>
      <c r="F1636" s="1">
        <v>0</v>
      </c>
      <c r="G1636" s="1" t="s">
        <v>82</v>
      </c>
      <c r="I1636" s="1" t="s">
        <v>188</v>
      </c>
    </row>
    <row r="1637" spans="1:9" hidden="1" x14ac:dyDescent="0.3">
      <c r="A1637" s="1">
        <v>2746</v>
      </c>
      <c r="B1637" s="1" t="s">
        <v>3741</v>
      </c>
      <c r="C1637" s="1" t="s">
        <v>3742</v>
      </c>
      <c r="D1637" s="1" t="s">
        <v>422</v>
      </c>
      <c r="E1637" s="1" t="s">
        <v>259</v>
      </c>
      <c r="F1637" s="1">
        <v>1</v>
      </c>
      <c r="G1637" s="1" t="s">
        <v>143</v>
      </c>
      <c r="I1637" s="1" t="s">
        <v>188</v>
      </c>
    </row>
    <row r="1638" spans="1:9" hidden="1" x14ac:dyDescent="0.3">
      <c r="A1638" s="1">
        <v>2747</v>
      </c>
      <c r="B1638" s="1" t="s">
        <v>3743</v>
      </c>
      <c r="C1638" s="1" t="s">
        <v>3744</v>
      </c>
      <c r="D1638" s="1" t="s">
        <v>1047</v>
      </c>
      <c r="E1638" s="1" t="s">
        <v>142</v>
      </c>
      <c r="F1638" s="1">
        <v>0</v>
      </c>
      <c r="G1638" s="1" t="s">
        <v>82</v>
      </c>
      <c r="I1638" s="1" t="s">
        <v>123</v>
      </c>
    </row>
    <row r="1639" spans="1:9" hidden="1" x14ac:dyDescent="0.3">
      <c r="A1639" s="1">
        <v>2748</v>
      </c>
      <c r="B1639" s="1" t="s">
        <v>3745</v>
      </c>
      <c r="C1639" s="1" t="s">
        <v>3746</v>
      </c>
      <c r="D1639" s="1" t="s">
        <v>422</v>
      </c>
      <c r="E1639" s="1" t="s">
        <v>340</v>
      </c>
      <c r="F1639" s="1">
        <v>0</v>
      </c>
      <c r="G1639" s="1" t="s">
        <v>82</v>
      </c>
      <c r="I1639" s="1" t="s">
        <v>188</v>
      </c>
    </row>
    <row r="1640" spans="1:9" hidden="1" x14ac:dyDescent="0.3">
      <c r="A1640" s="1">
        <v>2749</v>
      </c>
      <c r="B1640" s="1" t="s">
        <v>3747</v>
      </c>
      <c r="C1640" s="1" t="s">
        <v>3748</v>
      </c>
      <c r="D1640" s="1" t="s">
        <v>422</v>
      </c>
      <c r="E1640" s="1" t="s">
        <v>147</v>
      </c>
      <c r="F1640" s="1">
        <v>0</v>
      </c>
      <c r="G1640" s="1" t="s">
        <v>82</v>
      </c>
      <c r="I1640" s="1" t="s">
        <v>188</v>
      </c>
    </row>
    <row r="1641" spans="1:9" hidden="1" x14ac:dyDescent="0.3">
      <c r="A1641" s="1">
        <v>2750</v>
      </c>
      <c r="B1641" s="1" t="s">
        <v>3749</v>
      </c>
      <c r="C1641" s="1" t="s">
        <v>3750</v>
      </c>
      <c r="D1641" s="1" t="s">
        <v>422</v>
      </c>
      <c r="E1641" s="1" t="s">
        <v>1327</v>
      </c>
      <c r="F1641" s="1">
        <v>0</v>
      </c>
      <c r="G1641" s="1" t="s">
        <v>82</v>
      </c>
      <c r="I1641" s="1" t="s">
        <v>188</v>
      </c>
    </row>
    <row r="1642" spans="1:9" hidden="1" x14ac:dyDescent="0.3">
      <c r="A1642" s="1">
        <v>2751</v>
      </c>
      <c r="B1642" s="1" t="s">
        <v>3751</v>
      </c>
      <c r="C1642" s="1" t="s">
        <v>3752</v>
      </c>
      <c r="D1642" s="1" t="s">
        <v>422</v>
      </c>
      <c r="E1642" s="1" t="s">
        <v>1327</v>
      </c>
      <c r="F1642" s="1">
        <v>1</v>
      </c>
      <c r="G1642" s="1" t="s">
        <v>143</v>
      </c>
      <c r="I1642" s="1" t="s">
        <v>188</v>
      </c>
    </row>
    <row r="1643" spans="1:9" x14ac:dyDescent="0.3">
      <c r="A1643" s="1">
        <v>2752</v>
      </c>
      <c r="B1643" s="1" t="s">
        <v>3753</v>
      </c>
      <c r="C1643" s="1" t="s">
        <v>3754</v>
      </c>
      <c r="D1643" s="1" t="s">
        <v>1608</v>
      </c>
      <c r="E1643" s="1" t="s">
        <v>215</v>
      </c>
      <c r="F1643" s="1">
        <v>0</v>
      </c>
      <c r="G1643" s="1" t="s">
        <v>82</v>
      </c>
      <c r="I1643" s="1" t="s">
        <v>123</v>
      </c>
    </row>
    <row r="1644" spans="1:9" hidden="1" x14ac:dyDescent="0.3">
      <c r="A1644" s="1">
        <v>2753</v>
      </c>
      <c r="B1644" s="1" t="s">
        <v>3755</v>
      </c>
      <c r="C1644" s="1" t="s">
        <v>3756</v>
      </c>
      <c r="D1644" s="1" t="s">
        <v>3757</v>
      </c>
      <c r="E1644" s="1" t="s">
        <v>419</v>
      </c>
      <c r="F1644" s="1">
        <v>0</v>
      </c>
      <c r="G1644" s="1" t="s">
        <v>82</v>
      </c>
      <c r="I1644" s="1" t="s">
        <v>123</v>
      </c>
    </row>
    <row r="1645" spans="1:9" hidden="1" x14ac:dyDescent="0.3">
      <c r="A1645" s="1">
        <v>2754</v>
      </c>
      <c r="B1645" s="1" t="s">
        <v>3758</v>
      </c>
      <c r="C1645" s="1" t="s">
        <v>3759</v>
      </c>
      <c r="D1645" s="1" t="s">
        <v>278</v>
      </c>
      <c r="E1645" s="1" t="s">
        <v>1114</v>
      </c>
      <c r="F1645" s="1">
        <v>0</v>
      </c>
      <c r="G1645" s="1" t="s">
        <v>82</v>
      </c>
      <c r="I1645" s="1" t="s">
        <v>188</v>
      </c>
    </row>
    <row r="1646" spans="1:9" hidden="1" x14ac:dyDescent="0.3">
      <c r="A1646" s="1">
        <v>2755</v>
      </c>
      <c r="B1646" s="1" t="s">
        <v>3760</v>
      </c>
      <c r="C1646" s="1" t="s">
        <v>3761</v>
      </c>
      <c r="D1646" s="1" t="s">
        <v>2189</v>
      </c>
      <c r="E1646" s="1" t="s">
        <v>1114</v>
      </c>
      <c r="F1646" s="1">
        <v>1</v>
      </c>
      <c r="G1646" s="1" t="s">
        <v>143</v>
      </c>
      <c r="I1646" s="1" t="s">
        <v>188</v>
      </c>
    </row>
    <row r="1647" spans="1:9" hidden="1" x14ac:dyDescent="0.3">
      <c r="A1647" s="1">
        <v>2756</v>
      </c>
      <c r="B1647" s="1" t="s">
        <v>3762</v>
      </c>
      <c r="C1647" s="1" t="s">
        <v>3763</v>
      </c>
      <c r="D1647" s="1" t="s">
        <v>2184</v>
      </c>
      <c r="E1647" s="1" t="s">
        <v>1114</v>
      </c>
      <c r="F1647" s="1">
        <v>0</v>
      </c>
      <c r="G1647" s="1" t="s">
        <v>82</v>
      </c>
      <c r="I1647" s="1" t="s">
        <v>188</v>
      </c>
    </row>
    <row r="1648" spans="1:9" hidden="1" x14ac:dyDescent="0.3">
      <c r="A1648" s="1">
        <v>2757</v>
      </c>
      <c r="B1648" s="1" t="s">
        <v>3764</v>
      </c>
      <c r="C1648" s="1" t="s">
        <v>3765</v>
      </c>
      <c r="D1648" s="1" t="s">
        <v>422</v>
      </c>
      <c r="E1648" s="1" t="s">
        <v>1327</v>
      </c>
      <c r="F1648" s="1">
        <v>1</v>
      </c>
      <c r="G1648" s="1" t="s">
        <v>143</v>
      </c>
      <c r="I1648" s="1" t="s">
        <v>188</v>
      </c>
    </row>
    <row r="1649" spans="1:9" hidden="1" x14ac:dyDescent="0.3">
      <c r="A1649" s="1">
        <v>2758</v>
      </c>
      <c r="B1649" s="1" t="s">
        <v>3766</v>
      </c>
      <c r="C1649" s="1" t="s">
        <v>3767</v>
      </c>
      <c r="D1649" s="1" t="s">
        <v>2304</v>
      </c>
      <c r="E1649" s="1" t="s">
        <v>505</v>
      </c>
      <c r="F1649" s="1">
        <v>1</v>
      </c>
      <c r="G1649" s="1" t="s">
        <v>143</v>
      </c>
    </row>
    <row r="1650" spans="1:9" hidden="1" x14ac:dyDescent="0.3">
      <c r="A1650" s="1">
        <v>2759</v>
      </c>
      <c r="B1650" s="1" t="s">
        <v>3768</v>
      </c>
      <c r="C1650" s="1" t="s">
        <v>3769</v>
      </c>
      <c r="D1650" s="1" t="s">
        <v>422</v>
      </c>
      <c r="E1650" s="1" t="s">
        <v>340</v>
      </c>
      <c r="F1650" s="1">
        <v>1</v>
      </c>
      <c r="G1650" s="1" t="s">
        <v>143</v>
      </c>
      <c r="I1650" s="1" t="s">
        <v>188</v>
      </c>
    </row>
    <row r="1651" spans="1:9" hidden="1" x14ac:dyDescent="0.3">
      <c r="A1651" s="1">
        <v>2760</v>
      </c>
      <c r="B1651" s="1" t="s">
        <v>3770</v>
      </c>
      <c r="C1651" s="1" t="s">
        <v>3771</v>
      </c>
      <c r="D1651" s="1" t="s">
        <v>126</v>
      </c>
      <c r="E1651" s="1" t="s">
        <v>645</v>
      </c>
      <c r="F1651" s="1">
        <v>0</v>
      </c>
      <c r="G1651" s="1" t="s">
        <v>82</v>
      </c>
      <c r="I1651" s="1" t="s">
        <v>84</v>
      </c>
    </row>
    <row r="1652" spans="1:9" hidden="1" x14ac:dyDescent="0.3">
      <c r="A1652" s="1">
        <v>2761</v>
      </c>
      <c r="B1652" s="1" t="s">
        <v>3772</v>
      </c>
      <c r="C1652" s="1" t="s">
        <v>3773</v>
      </c>
      <c r="D1652" s="1" t="s">
        <v>252</v>
      </c>
      <c r="E1652" s="1" t="s">
        <v>147</v>
      </c>
      <c r="F1652" s="1">
        <v>1</v>
      </c>
      <c r="G1652" s="1" t="s">
        <v>143</v>
      </c>
      <c r="I1652" s="1" t="s">
        <v>188</v>
      </c>
    </row>
    <row r="1653" spans="1:9" hidden="1" x14ac:dyDescent="0.3">
      <c r="A1653" s="1">
        <v>2762</v>
      </c>
      <c r="B1653" s="1" t="s">
        <v>3774</v>
      </c>
      <c r="C1653" s="1" t="s">
        <v>3775</v>
      </c>
      <c r="D1653" s="1" t="s">
        <v>422</v>
      </c>
      <c r="E1653" s="1" t="s">
        <v>1327</v>
      </c>
      <c r="F1653" s="1">
        <v>1</v>
      </c>
      <c r="G1653" s="1" t="s">
        <v>143</v>
      </c>
    </row>
    <row r="1654" spans="1:9" hidden="1" x14ac:dyDescent="0.3">
      <c r="A1654" s="1">
        <v>2763</v>
      </c>
      <c r="B1654" s="1" t="s">
        <v>3776</v>
      </c>
      <c r="C1654" s="1" t="s">
        <v>3777</v>
      </c>
      <c r="D1654" s="1" t="s">
        <v>345</v>
      </c>
      <c r="E1654" s="1" t="s">
        <v>331</v>
      </c>
      <c r="F1654" s="1">
        <v>1</v>
      </c>
      <c r="G1654" s="1" t="s">
        <v>143</v>
      </c>
      <c r="I1654" s="1" t="s">
        <v>188</v>
      </c>
    </row>
    <row r="1655" spans="1:9" hidden="1" x14ac:dyDescent="0.3">
      <c r="A1655" s="1">
        <v>2764</v>
      </c>
      <c r="B1655" s="1" t="s">
        <v>3778</v>
      </c>
      <c r="C1655" s="1" t="s">
        <v>3779</v>
      </c>
      <c r="D1655" s="1" t="s">
        <v>2184</v>
      </c>
      <c r="E1655" s="1" t="s">
        <v>1114</v>
      </c>
      <c r="F1655" s="1">
        <v>0</v>
      </c>
      <c r="G1655" s="1" t="s">
        <v>82</v>
      </c>
      <c r="I1655" s="1" t="s">
        <v>188</v>
      </c>
    </row>
    <row r="1656" spans="1:9" hidden="1" x14ac:dyDescent="0.3">
      <c r="A1656" s="1">
        <v>2765</v>
      </c>
      <c r="B1656" s="1" t="s">
        <v>3780</v>
      </c>
      <c r="C1656" s="1" t="s">
        <v>3781</v>
      </c>
      <c r="D1656" s="1" t="s">
        <v>422</v>
      </c>
      <c r="E1656" s="1" t="s">
        <v>1327</v>
      </c>
      <c r="F1656" s="1">
        <v>1</v>
      </c>
      <c r="G1656" s="1" t="s">
        <v>143</v>
      </c>
      <c r="I1656" s="1" t="s">
        <v>188</v>
      </c>
    </row>
    <row r="1657" spans="1:9" hidden="1" x14ac:dyDescent="0.3">
      <c r="A1657" s="1">
        <v>2766</v>
      </c>
      <c r="B1657" s="1" t="s">
        <v>3782</v>
      </c>
      <c r="C1657" s="1" t="s">
        <v>3783</v>
      </c>
      <c r="D1657" s="1" t="s">
        <v>252</v>
      </c>
      <c r="E1657" s="1" t="s">
        <v>259</v>
      </c>
      <c r="F1657" s="1">
        <v>0</v>
      </c>
      <c r="G1657" s="1" t="s">
        <v>82</v>
      </c>
      <c r="I1657" s="1" t="s">
        <v>188</v>
      </c>
    </row>
    <row r="1658" spans="1:9" hidden="1" x14ac:dyDescent="0.3">
      <c r="A1658" s="1">
        <v>2767</v>
      </c>
      <c r="B1658" s="1" t="s">
        <v>3784</v>
      </c>
      <c r="C1658" s="1" t="s">
        <v>3785</v>
      </c>
      <c r="D1658" s="1" t="s">
        <v>422</v>
      </c>
      <c r="E1658" s="1" t="s">
        <v>1327</v>
      </c>
      <c r="F1658" s="1">
        <v>1</v>
      </c>
      <c r="G1658" s="1" t="s">
        <v>143</v>
      </c>
      <c r="I1658" s="1" t="s">
        <v>188</v>
      </c>
    </row>
    <row r="1659" spans="1:9" x14ac:dyDescent="0.3">
      <c r="A1659" s="1">
        <v>2768</v>
      </c>
      <c r="B1659" s="1" t="s">
        <v>3786</v>
      </c>
      <c r="C1659" s="1" t="s">
        <v>3787</v>
      </c>
      <c r="D1659" s="1" t="s">
        <v>1634</v>
      </c>
      <c r="E1659" s="1" t="s">
        <v>215</v>
      </c>
      <c r="F1659" s="1">
        <v>0</v>
      </c>
      <c r="G1659" s="1" t="s">
        <v>82</v>
      </c>
      <c r="I1659" s="1" t="s">
        <v>123</v>
      </c>
    </row>
    <row r="1660" spans="1:9" hidden="1" x14ac:dyDescent="0.3">
      <c r="A1660" s="1">
        <v>2769</v>
      </c>
      <c r="B1660" s="1" t="s">
        <v>3788</v>
      </c>
      <c r="C1660" s="1" t="s">
        <v>3789</v>
      </c>
      <c r="D1660" s="1" t="s">
        <v>278</v>
      </c>
      <c r="E1660" s="1" t="s">
        <v>147</v>
      </c>
      <c r="F1660" s="1">
        <v>1</v>
      </c>
      <c r="G1660" s="1" t="s">
        <v>143</v>
      </c>
      <c r="I1660" s="1" t="s">
        <v>188</v>
      </c>
    </row>
    <row r="1661" spans="1:9" hidden="1" x14ac:dyDescent="0.3">
      <c r="A1661" s="1">
        <v>2770</v>
      </c>
      <c r="B1661" s="1" t="s">
        <v>3790</v>
      </c>
      <c r="C1661" s="1" t="s">
        <v>3791</v>
      </c>
      <c r="D1661" s="1" t="s">
        <v>278</v>
      </c>
      <c r="E1661" s="1" t="s">
        <v>147</v>
      </c>
      <c r="F1661" s="1">
        <v>1</v>
      </c>
      <c r="G1661" s="1" t="s">
        <v>143</v>
      </c>
      <c r="I1661" s="1" t="s">
        <v>188</v>
      </c>
    </row>
    <row r="1662" spans="1:9" hidden="1" x14ac:dyDescent="0.3">
      <c r="A1662" s="1">
        <v>2771</v>
      </c>
      <c r="B1662" s="1" t="s">
        <v>3792</v>
      </c>
      <c r="C1662" s="1" t="s">
        <v>3793</v>
      </c>
      <c r="D1662" s="1" t="s">
        <v>345</v>
      </c>
      <c r="E1662" s="1" t="s">
        <v>331</v>
      </c>
      <c r="F1662" s="1">
        <v>1</v>
      </c>
      <c r="G1662" s="1" t="s">
        <v>143</v>
      </c>
      <c r="I1662" s="1" t="s">
        <v>188</v>
      </c>
    </row>
    <row r="1663" spans="1:9" hidden="1" x14ac:dyDescent="0.3">
      <c r="A1663" s="1">
        <v>2772</v>
      </c>
      <c r="B1663" s="1" t="s">
        <v>3794</v>
      </c>
      <c r="C1663" s="1" t="s">
        <v>3795</v>
      </c>
      <c r="D1663" s="1" t="s">
        <v>278</v>
      </c>
      <c r="E1663" s="1" t="s">
        <v>331</v>
      </c>
      <c r="F1663" s="1">
        <v>1</v>
      </c>
      <c r="G1663" s="1" t="s">
        <v>143</v>
      </c>
      <c r="I1663" s="1" t="s">
        <v>188</v>
      </c>
    </row>
    <row r="1664" spans="1:9" hidden="1" x14ac:dyDescent="0.3">
      <c r="A1664" s="1">
        <v>2773</v>
      </c>
      <c r="B1664" s="1" t="s">
        <v>3796</v>
      </c>
      <c r="C1664" s="1" t="s">
        <v>3797</v>
      </c>
      <c r="D1664" s="1" t="s">
        <v>422</v>
      </c>
      <c r="E1664" s="1" t="s">
        <v>1327</v>
      </c>
      <c r="F1664" s="1">
        <v>0</v>
      </c>
      <c r="G1664" s="1" t="s">
        <v>82</v>
      </c>
      <c r="I1664" s="1" t="s">
        <v>188</v>
      </c>
    </row>
    <row r="1665" spans="1:9" hidden="1" x14ac:dyDescent="0.3">
      <c r="A1665" s="1">
        <v>2774</v>
      </c>
      <c r="B1665" s="1" t="s">
        <v>3798</v>
      </c>
      <c r="C1665" s="1" t="s">
        <v>3799</v>
      </c>
      <c r="D1665" s="1" t="s">
        <v>252</v>
      </c>
      <c r="E1665" s="1" t="s">
        <v>1327</v>
      </c>
      <c r="F1665" s="1">
        <v>1</v>
      </c>
      <c r="G1665" s="1" t="s">
        <v>143</v>
      </c>
      <c r="I1665" s="1" t="s">
        <v>188</v>
      </c>
    </row>
    <row r="1666" spans="1:9" hidden="1" x14ac:dyDescent="0.3">
      <c r="A1666" s="1">
        <v>2775</v>
      </c>
      <c r="B1666" s="1" t="s">
        <v>3800</v>
      </c>
      <c r="C1666" s="1" t="s">
        <v>3801</v>
      </c>
      <c r="D1666" s="1" t="s">
        <v>278</v>
      </c>
      <c r="E1666" s="1" t="s">
        <v>1327</v>
      </c>
      <c r="F1666" s="1">
        <v>1</v>
      </c>
      <c r="G1666" s="1" t="s">
        <v>143</v>
      </c>
      <c r="I1666" s="1" t="s">
        <v>188</v>
      </c>
    </row>
    <row r="1667" spans="1:9" hidden="1" x14ac:dyDescent="0.3">
      <c r="A1667" s="1">
        <v>2776</v>
      </c>
      <c r="B1667" s="1" t="s">
        <v>3802</v>
      </c>
      <c r="C1667" s="1" t="s">
        <v>3803</v>
      </c>
      <c r="D1667" s="1" t="s">
        <v>252</v>
      </c>
      <c r="E1667" s="1" t="s">
        <v>255</v>
      </c>
      <c r="F1667" s="1">
        <v>1</v>
      </c>
      <c r="G1667" s="1" t="s">
        <v>143</v>
      </c>
      <c r="I1667" s="1" t="s">
        <v>188</v>
      </c>
    </row>
    <row r="1668" spans="1:9" hidden="1" x14ac:dyDescent="0.3">
      <c r="A1668" s="1">
        <v>2777</v>
      </c>
      <c r="B1668" s="1" t="s">
        <v>3804</v>
      </c>
      <c r="C1668" s="1" t="s">
        <v>3805</v>
      </c>
      <c r="D1668" s="1" t="s">
        <v>422</v>
      </c>
      <c r="E1668" s="1" t="s">
        <v>1327</v>
      </c>
      <c r="F1668" s="1">
        <v>1</v>
      </c>
      <c r="G1668" s="1" t="s">
        <v>143</v>
      </c>
      <c r="I1668" s="1" t="s">
        <v>188</v>
      </c>
    </row>
    <row r="1669" spans="1:9" hidden="1" x14ac:dyDescent="0.3">
      <c r="A1669" s="1">
        <v>2778</v>
      </c>
      <c r="B1669" s="1" t="s">
        <v>3806</v>
      </c>
      <c r="C1669" s="1" t="s">
        <v>3807</v>
      </c>
      <c r="D1669" s="1" t="s">
        <v>2373</v>
      </c>
      <c r="E1669" s="1" t="s">
        <v>68</v>
      </c>
      <c r="F1669" s="1">
        <v>0</v>
      </c>
      <c r="G1669" s="1" t="s">
        <v>82</v>
      </c>
      <c r="I1669" s="1" t="s">
        <v>123</v>
      </c>
    </row>
    <row r="1670" spans="1:9" hidden="1" x14ac:dyDescent="0.3">
      <c r="A1670" s="1">
        <v>2779</v>
      </c>
      <c r="B1670" s="1" t="s">
        <v>3808</v>
      </c>
      <c r="C1670" s="1" t="s">
        <v>3809</v>
      </c>
      <c r="D1670" s="1" t="s">
        <v>2189</v>
      </c>
      <c r="E1670" s="1" t="s">
        <v>1114</v>
      </c>
      <c r="F1670" s="1">
        <v>0</v>
      </c>
      <c r="G1670" s="1" t="s">
        <v>82</v>
      </c>
      <c r="I1670" s="1" t="s">
        <v>188</v>
      </c>
    </row>
    <row r="1671" spans="1:9" hidden="1" x14ac:dyDescent="0.3">
      <c r="A1671" s="1">
        <v>2780</v>
      </c>
      <c r="B1671" s="1" t="s">
        <v>3810</v>
      </c>
      <c r="C1671" s="1" t="s">
        <v>3811</v>
      </c>
      <c r="D1671" s="1" t="s">
        <v>422</v>
      </c>
      <c r="E1671" s="1" t="s">
        <v>147</v>
      </c>
      <c r="F1671" s="1">
        <v>1</v>
      </c>
      <c r="G1671" s="1" t="s">
        <v>143</v>
      </c>
      <c r="I1671" s="1" t="s">
        <v>188</v>
      </c>
    </row>
    <row r="1672" spans="1:9" hidden="1" x14ac:dyDescent="0.3">
      <c r="A1672" s="1">
        <v>2781</v>
      </c>
      <c r="B1672" s="1" t="s">
        <v>3812</v>
      </c>
      <c r="C1672" s="1" t="s">
        <v>3813</v>
      </c>
      <c r="D1672" s="1" t="s">
        <v>422</v>
      </c>
      <c r="E1672" s="1" t="s">
        <v>147</v>
      </c>
      <c r="F1672" s="1">
        <v>0</v>
      </c>
      <c r="G1672" s="1" t="s">
        <v>82</v>
      </c>
      <c r="I1672" s="1" t="s">
        <v>123</v>
      </c>
    </row>
    <row r="1673" spans="1:9" hidden="1" x14ac:dyDescent="0.3">
      <c r="A1673" s="1">
        <v>2782</v>
      </c>
      <c r="B1673" s="1" t="s">
        <v>3814</v>
      </c>
      <c r="C1673" s="1" t="s">
        <v>3815</v>
      </c>
      <c r="D1673" s="1" t="s">
        <v>422</v>
      </c>
      <c r="E1673" s="1" t="s">
        <v>1327</v>
      </c>
      <c r="F1673" s="1">
        <v>0</v>
      </c>
      <c r="G1673" s="1" t="s">
        <v>82</v>
      </c>
      <c r="I1673" s="1" t="s">
        <v>188</v>
      </c>
    </row>
    <row r="1674" spans="1:9" hidden="1" x14ac:dyDescent="0.3">
      <c r="A1674" s="1">
        <v>2783</v>
      </c>
      <c r="B1674" s="1" t="s">
        <v>3816</v>
      </c>
      <c r="C1674" s="1" t="s">
        <v>3817</v>
      </c>
      <c r="D1674" s="1" t="s">
        <v>345</v>
      </c>
      <c r="E1674" s="1" t="s">
        <v>331</v>
      </c>
      <c r="F1674" s="1">
        <v>0</v>
      </c>
      <c r="G1674" s="1" t="s">
        <v>82</v>
      </c>
      <c r="I1674" s="1" t="s">
        <v>188</v>
      </c>
    </row>
    <row r="1675" spans="1:9" hidden="1" x14ac:dyDescent="0.3">
      <c r="A1675" s="1">
        <v>2784</v>
      </c>
      <c r="B1675" s="1" t="s">
        <v>3818</v>
      </c>
      <c r="C1675" s="1" t="s">
        <v>3819</v>
      </c>
      <c r="D1675" s="1" t="s">
        <v>986</v>
      </c>
      <c r="E1675" s="1" t="s">
        <v>142</v>
      </c>
      <c r="F1675" s="1">
        <v>0</v>
      </c>
      <c r="G1675" s="1" t="s">
        <v>82</v>
      </c>
      <c r="I1675" s="1" t="s">
        <v>123</v>
      </c>
    </row>
    <row r="1676" spans="1:9" hidden="1" x14ac:dyDescent="0.3">
      <c r="A1676" s="1">
        <v>2785</v>
      </c>
      <c r="B1676" s="1" t="s">
        <v>3820</v>
      </c>
      <c r="C1676" s="1" t="s">
        <v>3821</v>
      </c>
      <c r="D1676" s="1" t="s">
        <v>2189</v>
      </c>
      <c r="E1676" s="1" t="s">
        <v>1114</v>
      </c>
      <c r="F1676" s="1">
        <v>1</v>
      </c>
      <c r="G1676" s="1" t="s">
        <v>143</v>
      </c>
      <c r="I1676" s="1" t="s">
        <v>188</v>
      </c>
    </row>
    <row r="1677" spans="1:9" hidden="1" x14ac:dyDescent="0.3">
      <c r="A1677" s="1">
        <v>2786</v>
      </c>
      <c r="B1677" s="1" t="s">
        <v>3822</v>
      </c>
      <c r="C1677" s="1" t="s">
        <v>3823</v>
      </c>
      <c r="D1677" s="1" t="s">
        <v>693</v>
      </c>
      <c r="E1677" s="1" t="s">
        <v>130</v>
      </c>
      <c r="F1677" s="1">
        <v>0</v>
      </c>
      <c r="G1677" s="1" t="s">
        <v>82</v>
      </c>
      <c r="I1677" s="1" t="s">
        <v>123</v>
      </c>
    </row>
    <row r="1678" spans="1:9" hidden="1" x14ac:dyDescent="0.3">
      <c r="A1678" s="1">
        <v>2787</v>
      </c>
      <c r="B1678" s="1" t="s">
        <v>3824</v>
      </c>
      <c r="C1678" s="1" t="s">
        <v>3825</v>
      </c>
      <c r="D1678" s="1" t="s">
        <v>3826</v>
      </c>
      <c r="E1678" s="1" t="s">
        <v>197</v>
      </c>
      <c r="F1678" s="1">
        <v>0</v>
      </c>
      <c r="G1678" s="1" t="s">
        <v>82</v>
      </c>
      <c r="I1678" s="1" t="s">
        <v>123</v>
      </c>
    </row>
    <row r="1679" spans="1:9" hidden="1" x14ac:dyDescent="0.3">
      <c r="A1679" s="1">
        <v>2788</v>
      </c>
      <c r="B1679" s="1" t="s">
        <v>3827</v>
      </c>
      <c r="C1679" s="1" t="s">
        <v>3828</v>
      </c>
      <c r="D1679" s="1" t="s">
        <v>1608</v>
      </c>
      <c r="E1679" s="1" t="s">
        <v>215</v>
      </c>
      <c r="F1679" s="1">
        <v>1</v>
      </c>
      <c r="G1679" s="1" t="s">
        <v>143</v>
      </c>
      <c r="I1679" s="1" t="s">
        <v>123</v>
      </c>
    </row>
    <row r="1680" spans="1:9" hidden="1" x14ac:dyDescent="0.3">
      <c r="A1680" s="1">
        <v>2789</v>
      </c>
      <c r="B1680" s="1" t="s">
        <v>3829</v>
      </c>
      <c r="C1680" s="1" t="s">
        <v>3830</v>
      </c>
      <c r="D1680" s="1" t="s">
        <v>447</v>
      </c>
      <c r="E1680" s="1" t="s">
        <v>65</v>
      </c>
      <c r="F1680" s="1">
        <v>0</v>
      </c>
      <c r="G1680" s="1" t="s">
        <v>82</v>
      </c>
      <c r="I1680" s="1" t="s">
        <v>123</v>
      </c>
    </row>
    <row r="1681" spans="1:9" hidden="1" x14ac:dyDescent="0.3">
      <c r="A1681" s="1">
        <v>2790</v>
      </c>
      <c r="B1681" s="1" t="s">
        <v>3831</v>
      </c>
      <c r="C1681" s="1" t="s">
        <v>3832</v>
      </c>
      <c r="D1681" s="1" t="s">
        <v>270</v>
      </c>
      <c r="E1681" s="1" t="s">
        <v>147</v>
      </c>
      <c r="F1681" s="1">
        <v>1</v>
      </c>
      <c r="G1681" s="1" t="s">
        <v>143</v>
      </c>
      <c r="I1681" s="1" t="s">
        <v>188</v>
      </c>
    </row>
    <row r="1682" spans="1:9" hidden="1" x14ac:dyDescent="0.3">
      <c r="A1682" s="1">
        <v>2791</v>
      </c>
      <c r="B1682" s="1" t="s">
        <v>3833</v>
      </c>
      <c r="C1682" s="1" t="s">
        <v>3834</v>
      </c>
      <c r="D1682" s="1" t="s">
        <v>422</v>
      </c>
      <c r="E1682" s="1" t="s">
        <v>147</v>
      </c>
      <c r="F1682" s="1">
        <v>1</v>
      </c>
      <c r="G1682" s="1" t="s">
        <v>143</v>
      </c>
      <c r="I1682" s="1" t="s">
        <v>188</v>
      </c>
    </row>
    <row r="1683" spans="1:9" hidden="1" x14ac:dyDescent="0.3">
      <c r="A1683" s="1">
        <v>2792</v>
      </c>
      <c r="B1683" s="1" t="s">
        <v>3835</v>
      </c>
      <c r="C1683" s="1" t="s">
        <v>3836</v>
      </c>
      <c r="D1683" s="1" t="s">
        <v>345</v>
      </c>
      <c r="E1683" s="1" t="s">
        <v>331</v>
      </c>
      <c r="F1683" s="1">
        <v>0</v>
      </c>
      <c r="G1683" s="1" t="s">
        <v>82</v>
      </c>
      <c r="I1683" s="1" t="s">
        <v>188</v>
      </c>
    </row>
    <row r="1684" spans="1:9" hidden="1" x14ac:dyDescent="0.3">
      <c r="A1684" s="1">
        <v>2793</v>
      </c>
      <c r="B1684" s="1" t="s">
        <v>3837</v>
      </c>
      <c r="C1684" s="1" t="s">
        <v>3838</v>
      </c>
      <c r="D1684" s="1" t="s">
        <v>422</v>
      </c>
      <c r="E1684" s="1" t="s">
        <v>147</v>
      </c>
      <c r="F1684" s="1">
        <v>0</v>
      </c>
      <c r="G1684" s="1" t="s">
        <v>82</v>
      </c>
      <c r="I1684" s="1" t="s">
        <v>188</v>
      </c>
    </row>
    <row r="1685" spans="1:9" hidden="1" x14ac:dyDescent="0.3">
      <c r="A1685" s="1">
        <v>2794</v>
      </c>
      <c r="B1685" s="1" t="s">
        <v>3839</v>
      </c>
      <c r="C1685" s="1" t="s">
        <v>3840</v>
      </c>
      <c r="D1685" s="1" t="s">
        <v>345</v>
      </c>
      <c r="E1685" s="1" t="s">
        <v>331</v>
      </c>
      <c r="F1685" s="1">
        <v>0</v>
      </c>
      <c r="G1685" s="1" t="s">
        <v>82</v>
      </c>
      <c r="I1685" s="1" t="s">
        <v>188</v>
      </c>
    </row>
    <row r="1686" spans="1:9" hidden="1" x14ac:dyDescent="0.3">
      <c r="A1686" s="1">
        <v>2795</v>
      </c>
      <c r="B1686" s="1" t="s">
        <v>3841</v>
      </c>
      <c r="C1686" s="1" t="s">
        <v>3842</v>
      </c>
      <c r="D1686" s="1" t="s">
        <v>422</v>
      </c>
      <c r="E1686" s="1" t="s">
        <v>1327</v>
      </c>
      <c r="F1686" s="1">
        <v>1</v>
      </c>
      <c r="G1686" s="1" t="s">
        <v>143</v>
      </c>
      <c r="I1686" s="1" t="s">
        <v>188</v>
      </c>
    </row>
    <row r="1687" spans="1:9" hidden="1" x14ac:dyDescent="0.3">
      <c r="A1687" s="1">
        <v>2797</v>
      </c>
      <c r="B1687" s="1" t="s">
        <v>3843</v>
      </c>
      <c r="C1687" s="1" t="s">
        <v>3844</v>
      </c>
      <c r="D1687" s="1" t="s">
        <v>2189</v>
      </c>
      <c r="E1687" s="1" t="s">
        <v>1114</v>
      </c>
      <c r="F1687" s="1">
        <v>1</v>
      </c>
      <c r="G1687" s="1" t="s">
        <v>143</v>
      </c>
      <c r="I1687" s="1" t="s">
        <v>188</v>
      </c>
    </row>
    <row r="1688" spans="1:9" hidden="1" x14ac:dyDescent="0.3">
      <c r="A1688" s="1">
        <v>2798</v>
      </c>
      <c r="B1688" s="1" t="s">
        <v>3845</v>
      </c>
      <c r="C1688" s="1" t="s">
        <v>3846</v>
      </c>
      <c r="D1688" s="1" t="s">
        <v>422</v>
      </c>
      <c r="E1688" s="1" t="s">
        <v>147</v>
      </c>
      <c r="F1688" s="1">
        <v>1</v>
      </c>
      <c r="G1688" s="1" t="s">
        <v>143</v>
      </c>
      <c r="I1688" s="1" t="s">
        <v>188</v>
      </c>
    </row>
    <row r="1689" spans="1:9" hidden="1" x14ac:dyDescent="0.3">
      <c r="A1689" s="1">
        <v>2799</v>
      </c>
      <c r="B1689" s="1" t="s">
        <v>3847</v>
      </c>
      <c r="C1689" s="1" t="s">
        <v>3848</v>
      </c>
      <c r="D1689" s="1" t="s">
        <v>252</v>
      </c>
      <c r="E1689" s="1" t="s">
        <v>1327</v>
      </c>
      <c r="F1689" s="1">
        <v>1</v>
      </c>
      <c r="G1689" s="1" t="s">
        <v>143</v>
      </c>
      <c r="I1689" s="1" t="s">
        <v>188</v>
      </c>
    </row>
    <row r="1690" spans="1:9" x14ac:dyDescent="0.3">
      <c r="A1690" s="1">
        <v>2800</v>
      </c>
      <c r="B1690" s="1" t="s">
        <v>3849</v>
      </c>
      <c r="C1690" s="1" t="s">
        <v>3850</v>
      </c>
      <c r="D1690" s="1" t="s">
        <v>1914</v>
      </c>
      <c r="E1690" s="1" t="s">
        <v>215</v>
      </c>
      <c r="F1690" s="1">
        <v>0</v>
      </c>
      <c r="G1690" s="1" t="s">
        <v>82</v>
      </c>
      <c r="I1690" s="1" t="s">
        <v>123</v>
      </c>
    </row>
    <row r="1691" spans="1:9" hidden="1" x14ac:dyDescent="0.3">
      <c r="A1691" s="1">
        <v>2801</v>
      </c>
      <c r="B1691" s="1" t="s">
        <v>3851</v>
      </c>
      <c r="C1691" s="1" t="s">
        <v>3852</v>
      </c>
      <c r="D1691" s="1" t="s">
        <v>422</v>
      </c>
      <c r="E1691" s="1" t="s">
        <v>340</v>
      </c>
      <c r="F1691" s="1">
        <v>1</v>
      </c>
      <c r="G1691" s="1" t="s">
        <v>143</v>
      </c>
      <c r="I1691" s="1" t="s">
        <v>123</v>
      </c>
    </row>
    <row r="1692" spans="1:9" hidden="1" x14ac:dyDescent="0.3">
      <c r="A1692" s="1">
        <v>2802</v>
      </c>
      <c r="B1692" s="1" t="s">
        <v>3853</v>
      </c>
      <c r="C1692" s="1" t="s">
        <v>3854</v>
      </c>
      <c r="D1692" s="1" t="s">
        <v>422</v>
      </c>
      <c r="E1692" s="1" t="s">
        <v>147</v>
      </c>
      <c r="F1692" s="1">
        <v>0</v>
      </c>
      <c r="G1692" s="1" t="s">
        <v>82</v>
      </c>
      <c r="I1692" s="1" t="s">
        <v>188</v>
      </c>
    </row>
    <row r="1693" spans="1:9" hidden="1" x14ac:dyDescent="0.3">
      <c r="A1693" s="1">
        <v>2803</v>
      </c>
      <c r="B1693" s="1" t="s">
        <v>3855</v>
      </c>
      <c r="C1693" s="1" t="s">
        <v>3856</v>
      </c>
      <c r="D1693" s="1" t="s">
        <v>252</v>
      </c>
      <c r="E1693" s="1" t="s">
        <v>340</v>
      </c>
      <c r="F1693" s="1">
        <v>0</v>
      </c>
      <c r="G1693" s="1" t="s">
        <v>82</v>
      </c>
      <c r="I1693" s="1" t="s">
        <v>188</v>
      </c>
    </row>
    <row r="1694" spans="1:9" hidden="1" x14ac:dyDescent="0.3">
      <c r="A1694" s="1">
        <v>2804</v>
      </c>
      <c r="B1694" s="1" t="s">
        <v>3857</v>
      </c>
      <c r="C1694" s="1" t="s">
        <v>3858</v>
      </c>
      <c r="D1694" s="1" t="s">
        <v>422</v>
      </c>
      <c r="E1694" s="1" t="s">
        <v>1327</v>
      </c>
      <c r="F1694" s="1">
        <v>1</v>
      </c>
      <c r="G1694" s="1" t="s">
        <v>143</v>
      </c>
      <c r="I1694" s="1" t="s">
        <v>188</v>
      </c>
    </row>
    <row r="1695" spans="1:9" hidden="1" x14ac:dyDescent="0.3">
      <c r="A1695" s="1">
        <v>2805</v>
      </c>
      <c r="B1695" s="1" t="s">
        <v>3859</v>
      </c>
      <c r="C1695" s="1" t="s">
        <v>3860</v>
      </c>
      <c r="D1695" s="1" t="s">
        <v>422</v>
      </c>
      <c r="E1695" s="1" t="s">
        <v>259</v>
      </c>
      <c r="F1695" s="1">
        <v>1</v>
      </c>
      <c r="G1695" s="1" t="s">
        <v>143</v>
      </c>
      <c r="I1695" s="1" t="s">
        <v>188</v>
      </c>
    </row>
    <row r="1696" spans="1:9" hidden="1" x14ac:dyDescent="0.3">
      <c r="A1696" s="1">
        <v>2806</v>
      </c>
      <c r="B1696" s="1" t="s">
        <v>3861</v>
      </c>
      <c r="C1696" s="1" t="s">
        <v>3862</v>
      </c>
      <c r="D1696" s="1" t="s">
        <v>252</v>
      </c>
      <c r="E1696" s="1" t="s">
        <v>340</v>
      </c>
      <c r="F1696" s="1">
        <v>0</v>
      </c>
      <c r="G1696" s="1" t="s">
        <v>82</v>
      </c>
      <c r="I1696" s="1" t="s">
        <v>188</v>
      </c>
    </row>
    <row r="1697" spans="1:9" hidden="1" x14ac:dyDescent="0.3">
      <c r="A1697" s="1">
        <v>2807</v>
      </c>
      <c r="B1697" s="1" t="s">
        <v>3863</v>
      </c>
      <c r="C1697" s="1" t="s">
        <v>3864</v>
      </c>
      <c r="D1697" s="1" t="s">
        <v>1608</v>
      </c>
      <c r="E1697" s="1" t="s">
        <v>215</v>
      </c>
      <c r="F1697" s="1">
        <v>1</v>
      </c>
      <c r="G1697" s="1" t="s">
        <v>143</v>
      </c>
      <c r="I1697" s="1" t="s">
        <v>123</v>
      </c>
    </row>
    <row r="1698" spans="1:9" hidden="1" x14ac:dyDescent="0.3">
      <c r="A1698" s="1">
        <v>2808</v>
      </c>
      <c r="B1698" s="1" t="s">
        <v>3865</v>
      </c>
      <c r="C1698" s="1" t="s">
        <v>3866</v>
      </c>
      <c r="D1698" s="1" t="s">
        <v>1498</v>
      </c>
      <c r="E1698" s="1" t="s">
        <v>289</v>
      </c>
      <c r="F1698" s="1">
        <v>1</v>
      </c>
      <c r="G1698" s="1" t="s">
        <v>143</v>
      </c>
      <c r="I1698" s="1" t="s">
        <v>84</v>
      </c>
    </row>
    <row r="1699" spans="1:9" hidden="1" x14ac:dyDescent="0.3">
      <c r="A1699" s="1">
        <v>2809</v>
      </c>
      <c r="B1699" s="1" t="s">
        <v>3867</v>
      </c>
      <c r="C1699" s="1" t="s">
        <v>3868</v>
      </c>
      <c r="D1699" s="1" t="s">
        <v>345</v>
      </c>
      <c r="E1699" s="1" t="s">
        <v>331</v>
      </c>
      <c r="F1699" s="1">
        <v>0</v>
      </c>
      <c r="G1699" s="1" t="s">
        <v>82</v>
      </c>
      <c r="I1699" s="1" t="s">
        <v>188</v>
      </c>
    </row>
    <row r="1700" spans="1:9" hidden="1" x14ac:dyDescent="0.3">
      <c r="A1700" s="1">
        <v>2810</v>
      </c>
      <c r="B1700" s="1" t="s">
        <v>3869</v>
      </c>
      <c r="C1700" s="1" t="s">
        <v>3870</v>
      </c>
      <c r="D1700" s="1" t="s">
        <v>278</v>
      </c>
      <c r="E1700" s="1" t="s">
        <v>1114</v>
      </c>
      <c r="F1700" s="1">
        <v>1</v>
      </c>
      <c r="G1700" s="1" t="s">
        <v>143</v>
      </c>
      <c r="I1700" s="1" t="s">
        <v>188</v>
      </c>
    </row>
    <row r="1701" spans="1:9" hidden="1" x14ac:dyDescent="0.3">
      <c r="A1701" s="1">
        <v>2811</v>
      </c>
      <c r="B1701" s="1" t="s">
        <v>3871</v>
      </c>
      <c r="C1701" s="1" t="s">
        <v>3872</v>
      </c>
      <c r="D1701" s="1" t="s">
        <v>422</v>
      </c>
      <c r="E1701" s="1" t="s">
        <v>259</v>
      </c>
      <c r="F1701" s="1">
        <v>1</v>
      </c>
      <c r="G1701" s="1" t="s">
        <v>143</v>
      </c>
      <c r="I1701" s="1" t="s">
        <v>188</v>
      </c>
    </row>
    <row r="1702" spans="1:9" hidden="1" x14ac:dyDescent="0.3">
      <c r="A1702" s="1">
        <v>2812</v>
      </c>
      <c r="B1702" s="1" t="s">
        <v>3873</v>
      </c>
      <c r="C1702" s="1" t="s">
        <v>3874</v>
      </c>
      <c r="D1702" s="1" t="s">
        <v>252</v>
      </c>
      <c r="E1702" s="1" t="s">
        <v>1327</v>
      </c>
      <c r="F1702" s="1">
        <v>1</v>
      </c>
      <c r="G1702" s="1" t="s">
        <v>143</v>
      </c>
      <c r="I1702" s="1" t="s">
        <v>188</v>
      </c>
    </row>
    <row r="1703" spans="1:9" hidden="1" x14ac:dyDescent="0.3">
      <c r="A1703" s="1">
        <v>2813</v>
      </c>
      <c r="B1703" s="1" t="s">
        <v>3875</v>
      </c>
      <c r="C1703" s="1" t="s">
        <v>3876</v>
      </c>
      <c r="D1703" s="1" t="s">
        <v>422</v>
      </c>
      <c r="E1703" s="1" t="s">
        <v>340</v>
      </c>
      <c r="F1703" s="1">
        <v>0</v>
      </c>
      <c r="G1703" s="1" t="s">
        <v>82</v>
      </c>
      <c r="I1703" s="1" t="s">
        <v>188</v>
      </c>
    </row>
    <row r="1704" spans="1:9" hidden="1" x14ac:dyDescent="0.3">
      <c r="A1704" s="1">
        <v>2814</v>
      </c>
      <c r="B1704" s="1" t="s">
        <v>3877</v>
      </c>
      <c r="C1704" s="1" t="s">
        <v>3878</v>
      </c>
      <c r="D1704" s="1" t="s">
        <v>422</v>
      </c>
      <c r="E1704" s="1" t="s">
        <v>1327</v>
      </c>
      <c r="F1704" s="1">
        <v>0</v>
      </c>
      <c r="G1704" s="1" t="s">
        <v>82</v>
      </c>
      <c r="I1704" s="1" t="s">
        <v>188</v>
      </c>
    </row>
    <row r="1705" spans="1:9" hidden="1" x14ac:dyDescent="0.3">
      <c r="A1705" s="1">
        <v>2816</v>
      </c>
      <c r="B1705" s="1" t="s">
        <v>3879</v>
      </c>
      <c r="C1705" s="1" t="s">
        <v>3880</v>
      </c>
      <c r="D1705" s="1" t="s">
        <v>278</v>
      </c>
      <c r="E1705" s="1" t="s">
        <v>1114</v>
      </c>
      <c r="F1705" s="1">
        <v>0</v>
      </c>
      <c r="G1705" s="1" t="s">
        <v>82</v>
      </c>
      <c r="I1705" s="1" t="s">
        <v>188</v>
      </c>
    </row>
    <row r="1706" spans="1:9" hidden="1" x14ac:dyDescent="0.3">
      <c r="A1706" s="1">
        <v>2817</v>
      </c>
      <c r="B1706" s="1" t="s">
        <v>3881</v>
      </c>
      <c r="C1706" s="1" t="s">
        <v>3882</v>
      </c>
      <c r="D1706" s="1" t="s">
        <v>3883</v>
      </c>
      <c r="E1706" s="1" t="s">
        <v>68</v>
      </c>
      <c r="F1706" s="1">
        <v>0</v>
      </c>
      <c r="G1706" s="1" t="s">
        <v>82</v>
      </c>
      <c r="H1706" s="1" t="s">
        <v>3884</v>
      </c>
      <c r="I1706" s="1" t="s">
        <v>123</v>
      </c>
    </row>
    <row r="1707" spans="1:9" hidden="1" x14ac:dyDescent="0.3">
      <c r="A1707" s="1">
        <v>2818</v>
      </c>
      <c r="B1707" s="1" t="s">
        <v>3885</v>
      </c>
      <c r="C1707" s="1" t="s">
        <v>3886</v>
      </c>
      <c r="D1707" s="1" t="s">
        <v>3887</v>
      </c>
      <c r="E1707" s="1" t="s">
        <v>142</v>
      </c>
      <c r="F1707" s="1">
        <v>0</v>
      </c>
      <c r="G1707" s="1" t="s">
        <v>82</v>
      </c>
      <c r="I1707" s="1" t="s">
        <v>123</v>
      </c>
    </row>
    <row r="1708" spans="1:9" hidden="1" x14ac:dyDescent="0.3">
      <c r="A1708" s="1">
        <v>2819</v>
      </c>
      <c r="B1708" s="1" t="s">
        <v>3888</v>
      </c>
      <c r="C1708" s="1" t="s">
        <v>3889</v>
      </c>
      <c r="D1708" s="1" t="s">
        <v>841</v>
      </c>
      <c r="E1708" s="1" t="s">
        <v>289</v>
      </c>
      <c r="F1708" s="1">
        <v>0</v>
      </c>
      <c r="G1708" s="1" t="s">
        <v>82</v>
      </c>
      <c r="I1708" s="1" t="s">
        <v>84</v>
      </c>
    </row>
    <row r="1709" spans="1:9" hidden="1" x14ac:dyDescent="0.3">
      <c r="A1709" s="1">
        <v>2820</v>
      </c>
      <c r="B1709" s="1" t="s">
        <v>3890</v>
      </c>
      <c r="C1709" s="1" t="s">
        <v>3891</v>
      </c>
      <c r="D1709" s="1" t="s">
        <v>2189</v>
      </c>
      <c r="E1709" s="1" t="s">
        <v>1114</v>
      </c>
      <c r="F1709" s="1">
        <v>0</v>
      </c>
      <c r="G1709" s="1" t="s">
        <v>82</v>
      </c>
      <c r="I1709" s="1" t="s">
        <v>188</v>
      </c>
    </row>
    <row r="1710" spans="1:9" hidden="1" x14ac:dyDescent="0.3">
      <c r="A1710" s="1">
        <v>2821</v>
      </c>
      <c r="B1710" s="1" t="s">
        <v>3892</v>
      </c>
      <c r="C1710" s="1" t="s">
        <v>3893</v>
      </c>
      <c r="D1710" s="1" t="s">
        <v>3894</v>
      </c>
      <c r="E1710" s="1" t="s">
        <v>134</v>
      </c>
      <c r="F1710" s="1">
        <v>0</v>
      </c>
      <c r="G1710" s="1" t="s">
        <v>82</v>
      </c>
      <c r="I1710" s="1" t="s">
        <v>123</v>
      </c>
    </row>
    <row r="1711" spans="1:9" hidden="1" x14ac:dyDescent="0.3">
      <c r="A1711" s="1">
        <v>2822</v>
      </c>
      <c r="B1711" s="1" t="s">
        <v>3895</v>
      </c>
      <c r="C1711" s="1" t="s">
        <v>3896</v>
      </c>
      <c r="D1711" s="1" t="s">
        <v>2189</v>
      </c>
      <c r="E1711" s="1" t="s">
        <v>1114</v>
      </c>
      <c r="F1711" s="1">
        <v>0</v>
      </c>
      <c r="G1711" s="1" t="s">
        <v>82</v>
      </c>
      <c r="I1711" s="1" t="s">
        <v>188</v>
      </c>
    </row>
    <row r="1712" spans="1:9" hidden="1" x14ac:dyDescent="0.3">
      <c r="A1712" s="1">
        <v>2823</v>
      </c>
      <c r="B1712" s="1" t="s">
        <v>3897</v>
      </c>
      <c r="C1712" s="1" t="s">
        <v>3898</v>
      </c>
      <c r="D1712" s="1" t="s">
        <v>2189</v>
      </c>
      <c r="E1712" s="1" t="s">
        <v>1114</v>
      </c>
      <c r="F1712" s="1">
        <v>0</v>
      </c>
      <c r="G1712" s="1" t="s">
        <v>82</v>
      </c>
      <c r="I1712" s="1" t="s">
        <v>188</v>
      </c>
    </row>
    <row r="1713" spans="1:9" hidden="1" x14ac:dyDescent="0.3">
      <c r="A1713" s="1">
        <v>2824</v>
      </c>
      <c r="B1713" s="1" t="s">
        <v>3899</v>
      </c>
      <c r="C1713" s="1" t="s">
        <v>3900</v>
      </c>
      <c r="D1713" s="1" t="s">
        <v>156</v>
      </c>
      <c r="E1713" s="1" t="s">
        <v>111</v>
      </c>
      <c r="F1713" s="1">
        <v>0</v>
      </c>
      <c r="G1713" s="1" t="s">
        <v>82</v>
      </c>
      <c r="I1713" s="1" t="s">
        <v>123</v>
      </c>
    </row>
    <row r="1714" spans="1:9" hidden="1" x14ac:dyDescent="0.3">
      <c r="A1714" s="1">
        <v>2825</v>
      </c>
      <c r="B1714" s="1" t="s">
        <v>3901</v>
      </c>
      <c r="C1714" s="1" t="s">
        <v>3902</v>
      </c>
      <c r="D1714" s="1" t="s">
        <v>336</v>
      </c>
      <c r="E1714" s="1" t="s">
        <v>331</v>
      </c>
      <c r="F1714" s="1">
        <v>1</v>
      </c>
      <c r="G1714" s="1" t="s">
        <v>143</v>
      </c>
      <c r="I1714" s="1" t="s">
        <v>188</v>
      </c>
    </row>
    <row r="1715" spans="1:9" hidden="1" x14ac:dyDescent="0.3">
      <c r="A1715" s="1">
        <v>2827</v>
      </c>
      <c r="B1715" s="1" t="s">
        <v>3903</v>
      </c>
      <c r="C1715" s="1" t="s">
        <v>3904</v>
      </c>
      <c r="D1715" s="1" t="s">
        <v>2189</v>
      </c>
      <c r="E1715" s="1" t="s">
        <v>1114</v>
      </c>
      <c r="F1715" s="1">
        <v>0</v>
      </c>
      <c r="G1715" s="1" t="s">
        <v>82</v>
      </c>
      <c r="I1715" s="1" t="s">
        <v>188</v>
      </c>
    </row>
    <row r="1716" spans="1:9" hidden="1" x14ac:dyDescent="0.3">
      <c r="A1716" s="1">
        <v>2828</v>
      </c>
      <c r="B1716" s="1" t="s">
        <v>3905</v>
      </c>
      <c r="C1716" s="1" t="s">
        <v>3906</v>
      </c>
      <c r="D1716" s="1" t="s">
        <v>252</v>
      </c>
      <c r="E1716" s="1" t="s">
        <v>1327</v>
      </c>
      <c r="F1716" s="1">
        <v>0</v>
      </c>
      <c r="G1716" s="1" t="s">
        <v>82</v>
      </c>
      <c r="I1716" s="1" t="s">
        <v>188</v>
      </c>
    </row>
    <row r="1717" spans="1:9" hidden="1" x14ac:dyDescent="0.3">
      <c r="A1717" s="1">
        <v>2829</v>
      </c>
      <c r="B1717" s="1" t="s">
        <v>3907</v>
      </c>
      <c r="C1717" s="1" t="s">
        <v>3908</v>
      </c>
      <c r="D1717" s="1" t="s">
        <v>345</v>
      </c>
      <c r="E1717" s="1" t="s">
        <v>331</v>
      </c>
      <c r="F1717" s="1">
        <v>1</v>
      </c>
      <c r="G1717" s="1" t="s">
        <v>143</v>
      </c>
      <c r="I1717" s="1" t="s">
        <v>188</v>
      </c>
    </row>
    <row r="1718" spans="1:9" hidden="1" x14ac:dyDescent="0.3">
      <c r="A1718" s="1">
        <v>2831</v>
      </c>
      <c r="B1718" s="1" t="s">
        <v>3909</v>
      </c>
      <c r="C1718" s="1" t="s">
        <v>3910</v>
      </c>
      <c r="D1718" s="1" t="s">
        <v>252</v>
      </c>
      <c r="E1718" s="1" t="s">
        <v>1327</v>
      </c>
      <c r="F1718" s="1">
        <v>0</v>
      </c>
      <c r="G1718" s="1" t="s">
        <v>82</v>
      </c>
      <c r="I1718" s="1" t="s">
        <v>188</v>
      </c>
    </row>
    <row r="1719" spans="1:9" hidden="1" x14ac:dyDescent="0.3">
      <c r="A1719" s="1">
        <v>2832</v>
      </c>
      <c r="B1719" s="1" t="s">
        <v>3911</v>
      </c>
      <c r="C1719" s="1" t="s">
        <v>3912</v>
      </c>
      <c r="D1719" s="1" t="s">
        <v>2010</v>
      </c>
      <c r="E1719" s="1" t="s">
        <v>68</v>
      </c>
      <c r="F1719" s="1">
        <v>0</v>
      </c>
      <c r="G1719" s="1" t="s">
        <v>82</v>
      </c>
      <c r="I1719" s="1" t="s">
        <v>123</v>
      </c>
    </row>
    <row r="1720" spans="1:9" hidden="1" x14ac:dyDescent="0.3">
      <c r="A1720" s="1">
        <v>2833</v>
      </c>
      <c r="B1720" s="1" t="s">
        <v>3913</v>
      </c>
      <c r="C1720" s="1" t="s">
        <v>3914</v>
      </c>
      <c r="D1720" s="1" t="s">
        <v>422</v>
      </c>
      <c r="E1720" s="1" t="s">
        <v>1327</v>
      </c>
      <c r="F1720" s="1">
        <v>1</v>
      </c>
      <c r="G1720" s="1" t="s">
        <v>143</v>
      </c>
      <c r="I1720" s="1" t="s">
        <v>188</v>
      </c>
    </row>
    <row r="1721" spans="1:9" hidden="1" x14ac:dyDescent="0.3">
      <c r="A1721" s="1">
        <v>2834</v>
      </c>
      <c r="B1721" s="1" t="s">
        <v>3915</v>
      </c>
      <c r="C1721" s="1" t="s">
        <v>3916</v>
      </c>
      <c r="D1721" s="1" t="s">
        <v>252</v>
      </c>
      <c r="E1721" s="1" t="s">
        <v>255</v>
      </c>
      <c r="F1721" s="1">
        <v>0</v>
      </c>
      <c r="G1721" s="1" t="s">
        <v>82</v>
      </c>
      <c r="I1721" s="1" t="s">
        <v>188</v>
      </c>
    </row>
    <row r="1722" spans="1:9" hidden="1" x14ac:dyDescent="0.3">
      <c r="A1722" s="1">
        <v>2835</v>
      </c>
      <c r="B1722" s="1" t="s">
        <v>3917</v>
      </c>
      <c r="C1722" s="1" t="s">
        <v>3918</v>
      </c>
      <c r="D1722" s="1" t="s">
        <v>2189</v>
      </c>
      <c r="E1722" s="1" t="s">
        <v>1114</v>
      </c>
      <c r="F1722" s="1">
        <v>1</v>
      </c>
      <c r="G1722" s="1" t="s">
        <v>143</v>
      </c>
      <c r="I1722" s="1" t="s">
        <v>188</v>
      </c>
    </row>
    <row r="1723" spans="1:9" hidden="1" x14ac:dyDescent="0.3">
      <c r="A1723" s="1">
        <v>2837</v>
      </c>
      <c r="B1723" s="1" t="s">
        <v>3919</v>
      </c>
      <c r="C1723" s="1" t="s">
        <v>3920</v>
      </c>
      <c r="D1723" s="1" t="s">
        <v>3894</v>
      </c>
      <c r="E1723" s="1" t="s">
        <v>118</v>
      </c>
      <c r="F1723" s="1">
        <v>0</v>
      </c>
      <c r="G1723" s="1" t="s">
        <v>82</v>
      </c>
    </row>
    <row r="1724" spans="1:9" hidden="1" x14ac:dyDescent="0.3">
      <c r="A1724" s="1">
        <v>2838</v>
      </c>
      <c r="B1724" s="1" t="s">
        <v>3921</v>
      </c>
      <c r="C1724" s="1" t="s">
        <v>3922</v>
      </c>
      <c r="D1724" s="1" t="s">
        <v>2184</v>
      </c>
      <c r="E1724" s="1" t="s">
        <v>1114</v>
      </c>
      <c r="F1724" s="1">
        <v>0</v>
      </c>
      <c r="G1724" s="1" t="s">
        <v>82</v>
      </c>
    </row>
    <row r="1725" spans="1:9" hidden="1" x14ac:dyDescent="0.3">
      <c r="A1725" s="1">
        <v>2840</v>
      </c>
      <c r="B1725" s="1" t="s">
        <v>3923</v>
      </c>
      <c r="C1725" s="1" t="s">
        <v>3924</v>
      </c>
      <c r="D1725" s="1" t="s">
        <v>2478</v>
      </c>
      <c r="E1725" s="1" t="s">
        <v>147</v>
      </c>
      <c r="F1725" s="1">
        <v>0</v>
      </c>
      <c r="G1725" s="1" t="s">
        <v>82</v>
      </c>
    </row>
    <row r="1726" spans="1:9" x14ac:dyDescent="0.3">
      <c r="A1726" s="1">
        <v>2843</v>
      </c>
      <c r="B1726" s="1" t="s">
        <v>3925</v>
      </c>
      <c r="C1726" s="1" t="s">
        <v>3926</v>
      </c>
      <c r="D1726" s="1" t="s">
        <v>1295</v>
      </c>
      <c r="E1726" s="1" t="s">
        <v>215</v>
      </c>
      <c r="F1726" s="1">
        <v>0</v>
      </c>
      <c r="G1726" s="1" t="s">
        <v>82</v>
      </c>
    </row>
    <row r="1727" spans="1:9" hidden="1" x14ac:dyDescent="0.3">
      <c r="A1727" s="1">
        <v>2847</v>
      </c>
      <c r="B1727" s="1" t="s">
        <v>3927</v>
      </c>
      <c r="C1727" s="1" t="s">
        <v>3928</v>
      </c>
      <c r="D1727" s="1" t="s">
        <v>252</v>
      </c>
      <c r="E1727" s="1" t="s">
        <v>340</v>
      </c>
      <c r="F1727" s="1">
        <v>0</v>
      </c>
      <c r="G1727" s="1" t="s">
        <v>82</v>
      </c>
    </row>
    <row r="1728" spans="1:9" hidden="1" x14ac:dyDescent="0.3">
      <c r="A1728" s="1">
        <v>2848</v>
      </c>
      <c r="B1728" s="1" t="s">
        <v>3929</v>
      </c>
      <c r="C1728" s="1" t="s">
        <v>3930</v>
      </c>
      <c r="D1728" s="1" t="s">
        <v>345</v>
      </c>
      <c r="E1728" s="1" t="s">
        <v>331</v>
      </c>
      <c r="F1728" s="1">
        <v>0</v>
      </c>
      <c r="G1728" s="1" t="s">
        <v>82</v>
      </c>
    </row>
    <row r="1729" spans="1:7" hidden="1" x14ac:dyDescent="0.3">
      <c r="A1729" s="1">
        <v>2849</v>
      </c>
      <c r="B1729" s="1" t="s">
        <v>3931</v>
      </c>
      <c r="C1729" s="1" t="s">
        <v>3932</v>
      </c>
      <c r="D1729" s="1" t="s">
        <v>345</v>
      </c>
      <c r="E1729" s="1" t="s">
        <v>331</v>
      </c>
      <c r="F1729" s="1">
        <v>0</v>
      </c>
      <c r="G1729" s="1" t="s">
        <v>82</v>
      </c>
    </row>
    <row r="1730" spans="1:7" hidden="1" x14ac:dyDescent="0.3">
      <c r="A1730" s="1">
        <v>2857</v>
      </c>
      <c r="B1730" s="1" t="s">
        <v>3933</v>
      </c>
      <c r="C1730" s="1" t="s">
        <v>3934</v>
      </c>
      <c r="D1730" s="1" t="s">
        <v>345</v>
      </c>
      <c r="E1730" s="1" t="s">
        <v>331</v>
      </c>
      <c r="F1730" s="1">
        <v>0</v>
      </c>
      <c r="G1730" s="1" t="s">
        <v>82</v>
      </c>
    </row>
    <row r="1731" spans="1:7" hidden="1" x14ac:dyDescent="0.3">
      <c r="A1731" s="1">
        <v>2858</v>
      </c>
      <c r="B1731" s="1" t="s">
        <v>3935</v>
      </c>
      <c r="C1731" s="1" t="s">
        <v>3936</v>
      </c>
      <c r="D1731" s="1" t="s">
        <v>422</v>
      </c>
      <c r="E1731" s="1" t="s">
        <v>340</v>
      </c>
      <c r="F1731" s="1">
        <v>0</v>
      </c>
      <c r="G1731" s="1" t="s">
        <v>82</v>
      </c>
    </row>
    <row r="1732" spans="1:7" hidden="1" x14ac:dyDescent="0.3">
      <c r="A1732" s="1">
        <v>2861</v>
      </c>
      <c r="B1732" s="1" t="s">
        <v>3937</v>
      </c>
      <c r="C1732" s="1" t="s">
        <v>2224</v>
      </c>
      <c r="D1732" s="1" t="s">
        <v>422</v>
      </c>
      <c r="E1732" s="1" t="s">
        <v>340</v>
      </c>
      <c r="F1732" s="1">
        <v>0</v>
      </c>
      <c r="G1732" s="1" t="s">
        <v>82</v>
      </c>
    </row>
    <row r="1733" spans="1:7" hidden="1" x14ac:dyDescent="0.3">
      <c r="A1733" s="1">
        <v>2862</v>
      </c>
      <c r="B1733" s="1" t="s">
        <v>3938</v>
      </c>
      <c r="C1733" s="1" t="s">
        <v>3939</v>
      </c>
      <c r="D1733" s="1" t="s">
        <v>3940</v>
      </c>
      <c r="E1733" s="1" t="s">
        <v>245</v>
      </c>
      <c r="F1733" s="1">
        <v>0</v>
      </c>
      <c r="G1733" s="1" t="s">
        <v>82</v>
      </c>
    </row>
    <row r="1734" spans="1:7" hidden="1" x14ac:dyDescent="0.3">
      <c r="A1734" s="1">
        <v>2863</v>
      </c>
      <c r="B1734" s="1" t="s">
        <v>3941</v>
      </c>
      <c r="C1734" s="1" t="s">
        <v>3942</v>
      </c>
      <c r="D1734" s="1" t="s">
        <v>278</v>
      </c>
      <c r="E1734" s="1" t="s">
        <v>1327</v>
      </c>
      <c r="F1734" s="1">
        <v>0</v>
      </c>
      <c r="G1734" s="1" t="s">
        <v>82</v>
      </c>
    </row>
    <row r="1735" spans="1:7" hidden="1" x14ac:dyDescent="0.3">
      <c r="A1735" s="1">
        <v>2867</v>
      </c>
      <c r="B1735" s="1" t="s">
        <v>3943</v>
      </c>
      <c r="C1735" s="1" t="s">
        <v>3944</v>
      </c>
      <c r="D1735" s="1" t="s">
        <v>422</v>
      </c>
      <c r="E1735" s="1" t="s">
        <v>259</v>
      </c>
      <c r="F1735" s="1">
        <v>0</v>
      </c>
      <c r="G1735" s="1" t="s">
        <v>82</v>
      </c>
    </row>
    <row r="1736" spans="1:7" hidden="1" x14ac:dyDescent="0.3">
      <c r="A1736" s="1">
        <v>2868</v>
      </c>
      <c r="B1736" s="1" t="s">
        <v>3945</v>
      </c>
      <c r="C1736" s="1" t="s">
        <v>3946</v>
      </c>
      <c r="D1736" s="1" t="s">
        <v>422</v>
      </c>
      <c r="E1736" s="1" t="s">
        <v>259</v>
      </c>
      <c r="F1736" s="1">
        <v>0</v>
      </c>
      <c r="G1736" s="1" t="s">
        <v>82</v>
      </c>
    </row>
    <row r="1737" spans="1:7" hidden="1" x14ac:dyDescent="0.3">
      <c r="A1737" s="1">
        <v>2869</v>
      </c>
      <c r="B1737" s="1" t="s">
        <v>3947</v>
      </c>
      <c r="C1737" s="1" t="s">
        <v>3948</v>
      </c>
      <c r="D1737" s="1" t="s">
        <v>252</v>
      </c>
      <c r="E1737" s="1" t="s">
        <v>1327</v>
      </c>
      <c r="F1737" s="1">
        <v>1</v>
      </c>
      <c r="G1737" s="1" t="s">
        <v>143</v>
      </c>
    </row>
    <row r="1738" spans="1:7" hidden="1" x14ac:dyDescent="0.3">
      <c r="A1738" s="1">
        <v>2871</v>
      </c>
      <c r="B1738" s="1" t="s">
        <v>3949</v>
      </c>
      <c r="C1738" s="1" t="s">
        <v>3950</v>
      </c>
      <c r="D1738" s="1" t="s">
        <v>2189</v>
      </c>
      <c r="E1738" s="1" t="s">
        <v>1114</v>
      </c>
      <c r="F1738" s="1">
        <v>0</v>
      </c>
      <c r="G1738" s="1" t="s">
        <v>82</v>
      </c>
    </row>
    <row r="1739" spans="1:7" hidden="1" x14ac:dyDescent="0.3">
      <c r="A1739" s="1">
        <v>2872</v>
      </c>
      <c r="B1739" s="1" t="s">
        <v>3951</v>
      </c>
      <c r="C1739" s="1" t="s">
        <v>3952</v>
      </c>
      <c r="D1739" s="1" t="s">
        <v>2189</v>
      </c>
      <c r="E1739" s="1" t="s">
        <v>1114</v>
      </c>
      <c r="F1739" s="1">
        <v>0</v>
      </c>
      <c r="G1739" s="1" t="s">
        <v>82</v>
      </c>
    </row>
    <row r="1740" spans="1:7" hidden="1" x14ac:dyDescent="0.3">
      <c r="A1740" s="1">
        <v>2873</v>
      </c>
      <c r="B1740" s="1" t="s">
        <v>3953</v>
      </c>
      <c r="C1740" s="1" t="s">
        <v>3954</v>
      </c>
      <c r="D1740" s="1" t="s">
        <v>422</v>
      </c>
      <c r="E1740" s="1" t="s">
        <v>1327</v>
      </c>
      <c r="F1740" s="1">
        <v>0</v>
      </c>
      <c r="G1740" s="1" t="s">
        <v>82</v>
      </c>
    </row>
    <row r="1741" spans="1:7" hidden="1" x14ac:dyDescent="0.3">
      <c r="A1741" s="1">
        <v>2874</v>
      </c>
      <c r="B1741" s="1" t="s">
        <v>3955</v>
      </c>
      <c r="C1741" s="1" t="s">
        <v>3956</v>
      </c>
      <c r="D1741" s="1" t="s">
        <v>422</v>
      </c>
      <c r="E1741" s="1" t="s">
        <v>1327</v>
      </c>
      <c r="F1741" s="1">
        <v>0</v>
      </c>
      <c r="G1741" s="1" t="s">
        <v>82</v>
      </c>
    </row>
    <row r="1742" spans="1:7" hidden="1" x14ac:dyDescent="0.3">
      <c r="A1742" s="1">
        <v>2877</v>
      </c>
      <c r="B1742" s="1" t="s">
        <v>3957</v>
      </c>
      <c r="C1742" s="1" t="s">
        <v>3958</v>
      </c>
      <c r="D1742" s="1" t="s">
        <v>2189</v>
      </c>
      <c r="E1742" s="1" t="s">
        <v>1114</v>
      </c>
      <c r="F1742" s="1">
        <v>0</v>
      </c>
      <c r="G1742" s="1" t="s">
        <v>82</v>
      </c>
    </row>
    <row r="1743" spans="1:7" hidden="1" x14ac:dyDescent="0.3">
      <c r="A1743" s="1">
        <v>2878</v>
      </c>
      <c r="B1743" s="1" t="s">
        <v>3959</v>
      </c>
      <c r="C1743" s="1" t="s">
        <v>3960</v>
      </c>
      <c r="D1743" s="1" t="s">
        <v>779</v>
      </c>
      <c r="E1743" s="1" t="s">
        <v>340</v>
      </c>
      <c r="F1743" s="1">
        <v>0</v>
      </c>
      <c r="G1743" s="1" t="s">
        <v>82</v>
      </c>
    </row>
    <row r="1744" spans="1:7" hidden="1" x14ac:dyDescent="0.3">
      <c r="A1744" s="1">
        <v>2879</v>
      </c>
      <c r="B1744" s="1" t="s">
        <v>3961</v>
      </c>
      <c r="C1744" s="1" t="s">
        <v>3962</v>
      </c>
      <c r="D1744" s="1" t="s">
        <v>422</v>
      </c>
      <c r="E1744" s="1" t="s">
        <v>340</v>
      </c>
      <c r="F1744" s="1">
        <v>0</v>
      </c>
      <c r="G1744" s="1" t="s">
        <v>82</v>
      </c>
    </row>
    <row r="1745" spans="1:7" hidden="1" x14ac:dyDescent="0.3">
      <c r="A1745" s="1">
        <v>2880</v>
      </c>
      <c r="B1745" s="1" t="s">
        <v>3963</v>
      </c>
      <c r="C1745" s="1" t="s">
        <v>3964</v>
      </c>
      <c r="D1745" s="1" t="s">
        <v>237</v>
      </c>
      <c r="E1745" s="1" t="s">
        <v>419</v>
      </c>
      <c r="F1745" s="1">
        <v>0</v>
      </c>
      <c r="G1745" s="1" t="s">
        <v>82</v>
      </c>
    </row>
    <row r="1746" spans="1:7" hidden="1" x14ac:dyDescent="0.3">
      <c r="A1746" s="1">
        <v>2881</v>
      </c>
      <c r="B1746" s="1" t="s">
        <v>3965</v>
      </c>
      <c r="C1746" s="1" t="s">
        <v>3966</v>
      </c>
      <c r="D1746" s="1" t="s">
        <v>422</v>
      </c>
      <c r="E1746" s="1" t="s">
        <v>1327</v>
      </c>
      <c r="F1746" s="1">
        <v>0</v>
      </c>
      <c r="G1746" s="1" t="s">
        <v>82</v>
      </c>
    </row>
    <row r="1747" spans="1:7" hidden="1" x14ac:dyDescent="0.3">
      <c r="A1747" s="1">
        <v>2885</v>
      </c>
      <c r="B1747" s="1" t="s">
        <v>3967</v>
      </c>
      <c r="C1747" s="1" t="s">
        <v>3968</v>
      </c>
      <c r="D1747" s="1" t="s">
        <v>779</v>
      </c>
      <c r="E1747" s="1" t="s">
        <v>147</v>
      </c>
      <c r="F1747" s="1">
        <v>1</v>
      </c>
      <c r="G1747" s="1" t="s">
        <v>143</v>
      </c>
    </row>
    <row r="1748" spans="1:7" hidden="1" x14ac:dyDescent="0.3">
      <c r="A1748" s="1">
        <v>2886</v>
      </c>
      <c r="B1748" s="1" t="s">
        <v>3969</v>
      </c>
      <c r="C1748" s="1" t="s">
        <v>3970</v>
      </c>
      <c r="D1748" s="1" t="s">
        <v>252</v>
      </c>
      <c r="E1748" s="1" t="s">
        <v>259</v>
      </c>
      <c r="F1748" s="1">
        <v>1</v>
      </c>
      <c r="G1748" s="1" t="s">
        <v>143</v>
      </c>
    </row>
    <row r="1749" spans="1:7" hidden="1" x14ac:dyDescent="0.3">
      <c r="A1749" s="1">
        <v>2889</v>
      </c>
      <c r="B1749" s="1" t="s">
        <v>3971</v>
      </c>
      <c r="C1749" s="1" t="s">
        <v>3972</v>
      </c>
      <c r="D1749" s="1" t="s">
        <v>252</v>
      </c>
      <c r="E1749" s="1" t="s">
        <v>1327</v>
      </c>
      <c r="F1749" s="1">
        <v>0</v>
      </c>
      <c r="G1749" s="1" t="s">
        <v>82</v>
      </c>
    </row>
    <row r="1750" spans="1:7" hidden="1" x14ac:dyDescent="0.3">
      <c r="A1750" s="1">
        <v>2893</v>
      </c>
      <c r="B1750" s="1" t="s">
        <v>3973</v>
      </c>
      <c r="C1750" s="1" t="s">
        <v>3974</v>
      </c>
      <c r="D1750" s="1" t="s">
        <v>365</v>
      </c>
      <c r="E1750" s="1" t="s">
        <v>1327</v>
      </c>
      <c r="F1750" s="1">
        <v>0</v>
      </c>
      <c r="G1750" s="1" t="s">
        <v>82</v>
      </c>
    </row>
    <row r="1751" spans="1:7" hidden="1" x14ac:dyDescent="0.3">
      <c r="A1751" s="1">
        <v>2895</v>
      </c>
      <c r="B1751" s="1" t="s">
        <v>3975</v>
      </c>
      <c r="C1751" s="1" t="s">
        <v>3976</v>
      </c>
      <c r="D1751" s="1" t="s">
        <v>345</v>
      </c>
      <c r="E1751" s="1" t="s">
        <v>331</v>
      </c>
      <c r="F1751" s="1">
        <v>1</v>
      </c>
      <c r="G1751" s="1" t="s">
        <v>143</v>
      </c>
    </row>
    <row r="1752" spans="1:7" hidden="1" x14ac:dyDescent="0.3">
      <c r="A1752" s="1">
        <v>2896</v>
      </c>
      <c r="B1752" s="1" t="s">
        <v>3977</v>
      </c>
      <c r="C1752" s="1" t="s">
        <v>3978</v>
      </c>
      <c r="D1752" s="1" t="s">
        <v>422</v>
      </c>
      <c r="E1752" s="1" t="s">
        <v>259</v>
      </c>
      <c r="F1752" s="1">
        <v>0</v>
      </c>
      <c r="G1752" s="1" t="s">
        <v>82</v>
      </c>
    </row>
    <row r="1753" spans="1:7" hidden="1" x14ac:dyDescent="0.3">
      <c r="A1753" s="1">
        <v>2900</v>
      </c>
      <c r="B1753" s="1" t="s">
        <v>3979</v>
      </c>
      <c r="C1753" s="1" t="s">
        <v>3980</v>
      </c>
      <c r="D1753" s="1" t="s">
        <v>422</v>
      </c>
      <c r="E1753" s="1" t="s">
        <v>147</v>
      </c>
      <c r="F1753" s="1">
        <v>0</v>
      </c>
      <c r="G1753" s="1" t="s">
        <v>82</v>
      </c>
    </row>
    <row r="1754" spans="1:7" hidden="1" x14ac:dyDescent="0.3">
      <c r="A1754" s="1">
        <v>2901</v>
      </c>
      <c r="B1754" s="1" t="s">
        <v>3981</v>
      </c>
      <c r="C1754" s="1" t="s">
        <v>3982</v>
      </c>
      <c r="D1754" s="1" t="s">
        <v>422</v>
      </c>
      <c r="E1754" s="1" t="s">
        <v>1327</v>
      </c>
      <c r="F1754" s="1">
        <v>0</v>
      </c>
      <c r="G1754" s="1" t="s">
        <v>82</v>
      </c>
    </row>
    <row r="1755" spans="1:7" hidden="1" x14ac:dyDescent="0.3">
      <c r="A1755" s="1">
        <v>2902</v>
      </c>
      <c r="B1755" s="1" t="s">
        <v>3983</v>
      </c>
      <c r="C1755" s="1" t="s">
        <v>3984</v>
      </c>
      <c r="D1755" s="1" t="s">
        <v>422</v>
      </c>
      <c r="E1755" s="1" t="s">
        <v>259</v>
      </c>
      <c r="F1755" s="1">
        <v>0</v>
      </c>
      <c r="G1755" s="1" t="s">
        <v>82</v>
      </c>
    </row>
    <row r="1756" spans="1:7" hidden="1" x14ac:dyDescent="0.3">
      <c r="A1756" s="1">
        <v>2905</v>
      </c>
      <c r="B1756" s="1" t="s">
        <v>3985</v>
      </c>
      <c r="C1756" s="1" t="s">
        <v>3986</v>
      </c>
      <c r="D1756" s="1" t="s">
        <v>2439</v>
      </c>
      <c r="E1756" s="1" t="s">
        <v>142</v>
      </c>
      <c r="F1756" s="1">
        <v>0</v>
      </c>
      <c r="G1756" s="1" t="s">
        <v>82</v>
      </c>
    </row>
    <row r="1757" spans="1:7" hidden="1" x14ac:dyDescent="0.3">
      <c r="A1757" s="1">
        <v>2909</v>
      </c>
      <c r="B1757" s="1" t="s">
        <v>3987</v>
      </c>
      <c r="C1757" s="1" t="s">
        <v>3988</v>
      </c>
      <c r="D1757" s="1" t="s">
        <v>422</v>
      </c>
      <c r="E1757" s="1" t="s">
        <v>255</v>
      </c>
      <c r="F1757" s="1">
        <v>0</v>
      </c>
      <c r="G1757" s="1" t="s">
        <v>82</v>
      </c>
    </row>
    <row r="1758" spans="1:7" hidden="1" x14ac:dyDescent="0.3">
      <c r="A1758" s="1">
        <v>2912</v>
      </c>
      <c r="B1758" s="1" t="s">
        <v>3989</v>
      </c>
      <c r="C1758" s="1" t="s">
        <v>3990</v>
      </c>
      <c r="D1758" s="1" t="s">
        <v>278</v>
      </c>
      <c r="E1758" s="1" t="s">
        <v>331</v>
      </c>
      <c r="F1758" s="1">
        <v>0</v>
      </c>
      <c r="G1758" s="1" t="s">
        <v>82</v>
      </c>
    </row>
    <row r="1759" spans="1:7" hidden="1" x14ac:dyDescent="0.3">
      <c r="A1759" s="1">
        <v>2913</v>
      </c>
      <c r="B1759" s="1" t="s">
        <v>3991</v>
      </c>
      <c r="C1759" s="1" t="s">
        <v>3992</v>
      </c>
      <c r="D1759" s="1" t="s">
        <v>252</v>
      </c>
      <c r="E1759" s="1" t="s">
        <v>259</v>
      </c>
      <c r="F1759" s="1">
        <v>0</v>
      </c>
      <c r="G1759" s="1" t="s">
        <v>82</v>
      </c>
    </row>
    <row r="1760" spans="1:7" hidden="1" x14ac:dyDescent="0.3">
      <c r="A1760" s="1">
        <v>2914</v>
      </c>
      <c r="B1760" s="1" t="s">
        <v>3993</v>
      </c>
      <c r="C1760" s="1" t="s">
        <v>3994</v>
      </c>
      <c r="D1760" s="1" t="s">
        <v>2184</v>
      </c>
      <c r="E1760" s="1" t="s">
        <v>1114</v>
      </c>
      <c r="F1760" s="1">
        <v>0</v>
      </c>
      <c r="G1760" s="1" t="s">
        <v>82</v>
      </c>
    </row>
    <row r="1761" spans="1:7" hidden="1" x14ac:dyDescent="0.3">
      <c r="A1761" s="1">
        <v>2918</v>
      </c>
      <c r="B1761" s="1" t="s">
        <v>3995</v>
      </c>
      <c r="C1761" s="1" t="s">
        <v>3996</v>
      </c>
      <c r="D1761" s="1" t="s">
        <v>2189</v>
      </c>
      <c r="E1761" s="1" t="s">
        <v>1114</v>
      </c>
      <c r="F1761" s="1">
        <v>1</v>
      </c>
      <c r="G1761" s="1" t="s">
        <v>143</v>
      </c>
    </row>
    <row r="1762" spans="1:7" hidden="1" x14ac:dyDescent="0.3">
      <c r="A1762" s="1">
        <v>2919</v>
      </c>
      <c r="B1762" s="1" t="s">
        <v>3997</v>
      </c>
      <c r="C1762" s="1" t="s">
        <v>3998</v>
      </c>
      <c r="D1762" s="1" t="s">
        <v>2184</v>
      </c>
      <c r="E1762" s="1" t="s">
        <v>1114</v>
      </c>
      <c r="F1762" s="1">
        <v>0</v>
      </c>
      <c r="G1762" s="1" t="s">
        <v>82</v>
      </c>
    </row>
    <row r="1763" spans="1:7" hidden="1" x14ac:dyDescent="0.3">
      <c r="A1763" s="1">
        <v>2920</v>
      </c>
      <c r="B1763" s="1" t="s">
        <v>3999</v>
      </c>
      <c r="C1763" s="1" t="s">
        <v>4000</v>
      </c>
      <c r="D1763" s="1" t="s">
        <v>252</v>
      </c>
      <c r="E1763" s="1" t="s">
        <v>1327</v>
      </c>
      <c r="F1763" s="1">
        <v>1</v>
      </c>
      <c r="G1763" s="1" t="s">
        <v>143</v>
      </c>
    </row>
    <row r="1764" spans="1:7" hidden="1" x14ac:dyDescent="0.3">
      <c r="A1764" s="1">
        <v>2921</v>
      </c>
      <c r="B1764" s="1" t="s">
        <v>4001</v>
      </c>
      <c r="C1764" s="1" t="s">
        <v>4002</v>
      </c>
      <c r="D1764" s="1" t="s">
        <v>1583</v>
      </c>
      <c r="E1764" s="1" t="s">
        <v>91</v>
      </c>
      <c r="F1764" s="1">
        <v>0</v>
      </c>
      <c r="G1764" s="1" t="s">
        <v>82</v>
      </c>
    </row>
    <row r="1765" spans="1:7" hidden="1" x14ac:dyDescent="0.3">
      <c r="A1765" s="1">
        <v>2923</v>
      </c>
      <c r="B1765" s="1" t="s">
        <v>4003</v>
      </c>
      <c r="C1765" s="1" t="s">
        <v>4004</v>
      </c>
      <c r="D1765" s="1" t="s">
        <v>65</v>
      </c>
      <c r="E1765" s="1" t="s">
        <v>91</v>
      </c>
      <c r="F1765" s="1">
        <v>0</v>
      </c>
      <c r="G1765" s="1" t="s">
        <v>82</v>
      </c>
    </row>
    <row r="1766" spans="1:7" hidden="1" x14ac:dyDescent="0.3">
      <c r="A1766" s="1">
        <v>2924</v>
      </c>
      <c r="B1766" s="1" t="s">
        <v>4005</v>
      </c>
      <c r="C1766" s="1" t="s">
        <v>4006</v>
      </c>
      <c r="D1766" s="1" t="s">
        <v>2189</v>
      </c>
      <c r="E1766" s="1" t="s">
        <v>1114</v>
      </c>
      <c r="F1766" s="1">
        <v>0</v>
      </c>
      <c r="G1766" s="1" t="s">
        <v>82</v>
      </c>
    </row>
    <row r="1767" spans="1:7" hidden="1" x14ac:dyDescent="0.3">
      <c r="A1767" s="1">
        <v>2925</v>
      </c>
      <c r="B1767" s="1" t="s">
        <v>4007</v>
      </c>
      <c r="C1767" s="1" t="s">
        <v>4008</v>
      </c>
      <c r="D1767" s="1" t="s">
        <v>422</v>
      </c>
      <c r="E1767" s="1" t="s">
        <v>1327</v>
      </c>
      <c r="F1767" s="1">
        <v>0</v>
      </c>
      <c r="G1767" s="1" t="s">
        <v>82</v>
      </c>
    </row>
    <row r="1768" spans="1:7" hidden="1" x14ac:dyDescent="0.3">
      <c r="A1768" s="1">
        <v>2927</v>
      </c>
      <c r="B1768" s="1" t="s">
        <v>4009</v>
      </c>
      <c r="C1768" s="1" t="s">
        <v>4010</v>
      </c>
      <c r="D1768" s="1" t="s">
        <v>345</v>
      </c>
      <c r="E1768" s="1" t="s">
        <v>331</v>
      </c>
      <c r="F1768" s="1">
        <v>0</v>
      </c>
      <c r="G1768" s="1" t="s">
        <v>82</v>
      </c>
    </row>
    <row r="1769" spans="1:7" hidden="1" x14ac:dyDescent="0.3">
      <c r="A1769" s="1">
        <v>2929</v>
      </c>
      <c r="B1769" s="1" t="s">
        <v>4011</v>
      </c>
      <c r="C1769" s="1" t="s">
        <v>4012</v>
      </c>
      <c r="D1769" s="1" t="s">
        <v>422</v>
      </c>
      <c r="E1769" s="1" t="s">
        <v>147</v>
      </c>
      <c r="F1769" s="1">
        <v>0</v>
      </c>
      <c r="G1769" s="1" t="s">
        <v>82</v>
      </c>
    </row>
    <row r="1770" spans="1:7" hidden="1" x14ac:dyDescent="0.3">
      <c r="A1770" s="1">
        <v>2930</v>
      </c>
      <c r="B1770" s="1" t="s">
        <v>4013</v>
      </c>
      <c r="C1770" s="1" t="s">
        <v>4014</v>
      </c>
      <c r="D1770" s="1" t="s">
        <v>4015</v>
      </c>
      <c r="E1770" s="1" t="s">
        <v>95</v>
      </c>
      <c r="F1770" s="1">
        <v>0</v>
      </c>
      <c r="G1770" s="1" t="s">
        <v>82</v>
      </c>
    </row>
    <row r="1771" spans="1:7" hidden="1" x14ac:dyDescent="0.3">
      <c r="A1771" s="1">
        <v>2931</v>
      </c>
      <c r="B1771" s="1" t="s">
        <v>4016</v>
      </c>
      <c r="C1771" s="1" t="s">
        <v>4017</v>
      </c>
      <c r="D1771" s="1" t="s">
        <v>4018</v>
      </c>
      <c r="E1771" s="1" t="s">
        <v>95</v>
      </c>
      <c r="F1771" s="1">
        <v>0</v>
      </c>
      <c r="G1771" s="1" t="s">
        <v>82</v>
      </c>
    </row>
    <row r="1772" spans="1:7" hidden="1" x14ac:dyDescent="0.3">
      <c r="A1772" s="1">
        <v>2932</v>
      </c>
      <c r="B1772" s="1" t="s">
        <v>4019</v>
      </c>
      <c r="C1772" s="1" t="s">
        <v>4020</v>
      </c>
      <c r="D1772" s="1" t="s">
        <v>422</v>
      </c>
      <c r="E1772" s="1" t="s">
        <v>259</v>
      </c>
      <c r="F1772" s="1">
        <v>0</v>
      </c>
      <c r="G1772" s="1" t="s">
        <v>82</v>
      </c>
    </row>
    <row r="1773" spans="1:7" hidden="1" x14ac:dyDescent="0.3">
      <c r="A1773" s="1">
        <v>2933</v>
      </c>
      <c r="B1773" s="1" t="s">
        <v>4021</v>
      </c>
      <c r="C1773" s="1" t="s">
        <v>4022</v>
      </c>
      <c r="D1773" s="1" t="s">
        <v>278</v>
      </c>
      <c r="E1773" s="1" t="s">
        <v>255</v>
      </c>
      <c r="F1773" s="1">
        <v>0</v>
      </c>
      <c r="G1773" s="1" t="s">
        <v>82</v>
      </c>
    </row>
    <row r="1774" spans="1:7" hidden="1" x14ac:dyDescent="0.3">
      <c r="A1774" s="1">
        <v>2934</v>
      </c>
      <c r="B1774" s="1" t="s">
        <v>4023</v>
      </c>
      <c r="C1774" s="1" t="s">
        <v>4024</v>
      </c>
      <c r="D1774" s="1" t="s">
        <v>278</v>
      </c>
      <c r="E1774" s="1" t="s">
        <v>259</v>
      </c>
      <c r="F1774" s="1">
        <v>0</v>
      </c>
      <c r="G1774" s="1" t="s">
        <v>82</v>
      </c>
    </row>
    <row r="1775" spans="1:7" hidden="1" x14ac:dyDescent="0.3">
      <c r="A1775" s="1">
        <v>2935</v>
      </c>
      <c r="B1775" s="1" t="s">
        <v>4025</v>
      </c>
      <c r="C1775" s="1" t="s">
        <v>4026</v>
      </c>
      <c r="D1775" s="1" t="s">
        <v>422</v>
      </c>
      <c r="E1775" s="1" t="s">
        <v>1327</v>
      </c>
      <c r="F1775" s="1">
        <v>1</v>
      </c>
      <c r="G1775" s="1" t="s">
        <v>143</v>
      </c>
    </row>
    <row r="1776" spans="1:7" hidden="1" x14ac:dyDescent="0.3">
      <c r="A1776" s="1">
        <v>2938</v>
      </c>
      <c r="B1776" s="1" t="s">
        <v>4027</v>
      </c>
      <c r="C1776" s="1" t="s">
        <v>4028</v>
      </c>
      <c r="D1776" s="1" t="s">
        <v>2189</v>
      </c>
      <c r="E1776" s="1" t="s">
        <v>1114</v>
      </c>
      <c r="F1776" s="1">
        <v>0</v>
      </c>
      <c r="G1776" s="1" t="s">
        <v>82</v>
      </c>
    </row>
    <row r="1777" spans="1:8" hidden="1" x14ac:dyDescent="0.3">
      <c r="A1777" s="1">
        <v>2939</v>
      </c>
      <c r="B1777" s="1" t="s">
        <v>4029</v>
      </c>
      <c r="C1777" s="1" t="s">
        <v>4030</v>
      </c>
      <c r="D1777" s="1" t="s">
        <v>3388</v>
      </c>
      <c r="E1777" s="1" t="s">
        <v>142</v>
      </c>
      <c r="F1777" s="1">
        <v>0</v>
      </c>
      <c r="G1777" s="1" t="s">
        <v>82</v>
      </c>
    </row>
    <row r="1778" spans="1:8" hidden="1" x14ac:dyDescent="0.3">
      <c r="A1778" s="1">
        <v>2940</v>
      </c>
      <c r="B1778" s="1" t="s">
        <v>4031</v>
      </c>
      <c r="C1778" s="1" t="s">
        <v>4032</v>
      </c>
      <c r="D1778" s="1" t="s">
        <v>793</v>
      </c>
      <c r="E1778" s="1" t="s">
        <v>111</v>
      </c>
      <c r="F1778" s="1">
        <v>0</v>
      </c>
      <c r="G1778" s="1" t="s">
        <v>82</v>
      </c>
      <c r="H1778" s="1" t="s">
        <v>4033</v>
      </c>
    </row>
    <row r="1779" spans="1:8" hidden="1" x14ac:dyDescent="0.3">
      <c r="A1779" s="1">
        <v>2941</v>
      </c>
      <c r="B1779" s="1" t="s">
        <v>4034</v>
      </c>
      <c r="C1779" s="1" t="s">
        <v>4035</v>
      </c>
      <c r="D1779" s="1" t="s">
        <v>2010</v>
      </c>
      <c r="E1779" s="1" t="s">
        <v>68</v>
      </c>
      <c r="F1779" s="1">
        <v>0</v>
      </c>
      <c r="G1779" s="1" t="s">
        <v>82</v>
      </c>
    </row>
    <row r="1780" spans="1:8" hidden="1" x14ac:dyDescent="0.3">
      <c r="A1780" s="1">
        <v>2943</v>
      </c>
      <c r="B1780" s="1" t="s">
        <v>4036</v>
      </c>
      <c r="C1780" s="1" t="s">
        <v>4037</v>
      </c>
      <c r="D1780" s="1" t="s">
        <v>2010</v>
      </c>
      <c r="E1780" s="1" t="s">
        <v>68</v>
      </c>
      <c r="F1780" s="1">
        <v>0</v>
      </c>
      <c r="G1780" s="1" t="s">
        <v>82</v>
      </c>
    </row>
    <row r="1781" spans="1:8" hidden="1" x14ac:dyDescent="0.3">
      <c r="A1781" s="1">
        <v>2944</v>
      </c>
      <c r="B1781" s="1" t="s">
        <v>4038</v>
      </c>
      <c r="C1781" s="1" t="s">
        <v>4039</v>
      </c>
      <c r="D1781" s="1" t="s">
        <v>922</v>
      </c>
      <c r="E1781" s="1" t="s">
        <v>645</v>
      </c>
      <c r="F1781" s="1">
        <v>0</v>
      </c>
      <c r="G1781" s="1" t="s">
        <v>82</v>
      </c>
    </row>
    <row r="1782" spans="1:8" hidden="1" x14ac:dyDescent="0.3">
      <c r="A1782" s="1">
        <v>2945</v>
      </c>
      <c r="B1782" s="1" t="s">
        <v>4040</v>
      </c>
      <c r="C1782" s="1" t="s">
        <v>4041</v>
      </c>
      <c r="D1782" s="1" t="s">
        <v>2478</v>
      </c>
      <c r="E1782" s="1" t="s">
        <v>1327</v>
      </c>
      <c r="F1782" s="1">
        <v>0</v>
      </c>
      <c r="G1782" s="1" t="s">
        <v>82</v>
      </c>
    </row>
    <row r="1783" spans="1:8" hidden="1" x14ac:dyDescent="0.3">
      <c r="A1783" s="1">
        <v>2946</v>
      </c>
      <c r="B1783" s="1" t="s">
        <v>4042</v>
      </c>
      <c r="C1783" s="1" t="s">
        <v>4043</v>
      </c>
      <c r="D1783" s="1" t="s">
        <v>4044</v>
      </c>
      <c r="E1783" s="1" t="s">
        <v>68</v>
      </c>
      <c r="F1783" s="1">
        <v>0</v>
      </c>
      <c r="G1783" s="1" t="s">
        <v>82</v>
      </c>
    </row>
    <row r="1784" spans="1:8" hidden="1" x14ac:dyDescent="0.3">
      <c r="A1784" s="1">
        <v>2947</v>
      </c>
      <c r="B1784" s="1" t="s">
        <v>4045</v>
      </c>
      <c r="C1784" s="1" t="s">
        <v>4046</v>
      </c>
      <c r="D1784" s="1" t="s">
        <v>3428</v>
      </c>
      <c r="E1784" s="1" t="s">
        <v>142</v>
      </c>
      <c r="F1784" s="1">
        <v>0</v>
      </c>
      <c r="G1784" s="1" t="s">
        <v>82</v>
      </c>
    </row>
    <row r="1785" spans="1:8" hidden="1" x14ac:dyDescent="0.3">
      <c r="A1785" s="1">
        <v>2948</v>
      </c>
      <c r="B1785" s="1" t="s">
        <v>4047</v>
      </c>
      <c r="C1785" s="1" t="s">
        <v>4048</v>
      </c>
      <c r="D1785" s="1" t="s">
        <v>2439</v>
      </c>
      <c r="E1785" s="1" t="s">
        <v>142</v>
      </c>
      <c r="F1785" s="1">
        <v>0</v>
      </c>
      <c r="G1785" s="1" t="s">
        <v>82</v>
      </c>
    </row>
    <row r="1786" spans="1:8" hidden="1" x14ac:dyDescent="0.3">
      <c r="A1786" s="1">
        <v>2949</v>
      </c>
      <c r="B1786" s="1" t="s">
        <v>4049</v>
      </c>
      <c r="C1786" s="1" t="s">
        <v>4050</v>
      </c>
      <c r="D1786" s="1" t="s">
        <v>345</v>
      </c>
      <c r="E1786" s="1" t="s">
        <v>331</v>
      </c>
      <c r="F1786" s="1">
        <v>0</v>
      </c>
      <c r="G1786" s="1" t="s">
        <v>82</v>
      </c>
    </row>
    <row r="1787" spans="1:8" hidden="1" x14ac:dyDescent="0.3">
      <c r="A1787" s="1">
        <v>2950</v>
      </c>
      <c r="B1787" s="1" t="s">
        <v>4051</v>
      </c>
      <c r="C1787" s="1" t="s">
        <v>4052</v>
      </c>
      <c r="D1787" s="1" t="s">
        <v>422</v>
      </c>
      <c r="E1787" s="1" t="s">
        <v>340</v>
      </c>
      <c r="F1787" s="1">
        <v>0</v>
      </c>
      <c r="G1787" s="1" t="s">
        <v>82</v>
      </c>
    </row>
    <row r="1788" spans="1:8" hidden="1" x14ac:dyDescent="0.3">
      <c r="A1788" s="1">
        <v>2951</v>
      </c>
      <c r="B1788" s="1" t="s">
        <v>4053</v>
      </c>
      <c r="C1788" s="1" t="s">
        <v>4054</v>
      </c>
      <c r="D1788" s="1" t="s">
        <v>2478</v>
      </c>
      <c r="E1788" s="1" t="s">
        <v>4055</v>
      </c>
      <c r="F1788" s="1">
        <v>0</v>
      </c>
      <c r="G1788" s="1" t="s">
        <v>82</v>
      </c>
    </row>
    <row r="1789" spans="1:8" hidden="1" x14ac:dyDescent="0.3">
      <c r="A1789" s="1">
        <v>2952</v>
      </c>
      <c r="B1789" s="1" t="s">
        <v>4056</v>
      </c>
      <c r="C1789" s="1" t="s">
        <v>4057</v>
      </c>
      <c r="D1789" s="1" t="s">
        <v>779</v>
      </c>
      <c r="E1789" s="1" t="s">
        <v>1327</v>
      </c>
      <c r="F1789" s="1">
        <v>0</v>
      </c>
      <c r="G1789" s="1" t="s">
        <v>82</v>
      </c>
    </row>
    <row r="1790" spans="1:8" hidden="1" x14ac:dyDescent="0.3">
      <c r="A1790" s="1">
        <v>2953</v>
      </c>
      <c r="B1790" s="1" t="s">
        <v>4058</v>
      </c>
      <c r="C1790" s="1" t="s">
        <v>4059</v>
      </c>
      <c r="D1790" s="1" t="s">
        <v>4060</v>
      </c>
      <c r="E1790" s="1" t="s">
        <v>505</v>
      </c>
      <c r="F1790" s="1">
        <v>0</v>
      </c>
      <c r="G1790" s="1" t="s">
        <v>82</v>
      </c>
    </row>
    <row r="1791" spans="1:8" x14ac:dyDescent="0.3">
      <c r="A1791" s="1">
        <v>2954</v>
      </c>
      <c r="B1791" s="1" t="s">
        <v>4061</v>
      </c>
      <c r="C1791" s="1" t="s">
        <v>4062</v>
      </c>
      <c r="D1791" s="1" t="s">
        <v>1914</v>
      </c>
      <c r="E1791" s="1" t="s">
        <v>215</v>
      </c>
      <c r="F1791" s="1">
        <v>0</v>
      </c>
      <c r="G1791" s="1" t="s">
        <v>82</v>
      </c>
    </row>
    <row r="1792" spans="1:8" hidden="1" x14ac:dyDescent="0.3">
      <c r="A1792" s="1">
        <v>2955</v>
      </c>
      <c r="B1792" s="1" t="s">
        <v>4063</v>
      </c>
      <c r="C1792" s="1" t="s">
        <v>4064</v>
      </c>
      <c r="D1792" s="1" t="s">
        <v>2327</v>
      </c>
      <c r="E1792" s="1" t="s">
        <v>170</v>
      </c>
      <c r="F1792" s="1">
        <v>0</v>
      </c>
      <c r="G1792" s="1" t="s">
        <v>82</v>
      </c>
    </row>
    <row r="1793" spans="1:7" hidden="1" x14ac:dyDescent="0.3">
      <c r="A1793" s="1">
        <v>2956</v>
      </c>
      <c r="B1793" s="1" t="s">
        <v>4065</v>
      </c>
      <c r="C1793" s="1" t="s">
        <v>4066</v>
      </c>
      <c r="D1793" s="1" t="s">
        <v>422</v>
      </c>
      <c r="E1793" s="1" t="s">
        <v>259</v>
      </c>
      <c r="F1793" s="1">
        <v>0</v>
      </c>
      <c r="G1793" s="1" t="s">
        <v>82</v>
      </c>
    </row>
    <row r="1794" spans="1:7" hidden="1" x14ac:dyDescent="0.3">
      <c r="A1794" s="1">
        <v>2957</v>
      </c>
      <c r="B1794" s="1" t="s">
        <v>4067</v>
      </c>
      <c r="C1794" s="1" t="s">
        <v>4068</v>
      </c>
      <c r="D1794" s="1" t="s">
        <v>365</v>
      </c>
      <c r="E1794" s="1" t="s">
        <v>1327</v>
      </c>
      <c r="F1794" s="1">
        <v>0</v>
      </c>
      <c r="G1794" s="1" t="s">
        <v>82</v>
      </c>
    </row>
    <row r="1795" spans="1:7" hidden="1" x14ac:dyDescent="0.3">
      <c r="A1795" s="1">
        <v>2958</v>
      </c>
      <c r="B1795" s="1" t="s">
        <v>4069</v>
      </c>
      <c r="C1795" s="1" t="s">
        <v>4070</v>
      </c>
      <c r="D1795" s="1" t="s">
        <v>422</v>
      </c>
      <c r="E1795" s="1" t="s">
        <v>340</v>
      </c>
      <c r="F1795" s="1">
        <v>0</v>
      </c>
      <c r="G1795" s="1" t="s">
        <v>82</v>
      </c>
    </row>
    <row r="1796" spans="1:7" hidden="1" x14ac:dyDescent="0.3">
      <c r="A1796" s="1">
        <v>2961</v>
      </c>
      <c r="B1796" s="1" t="s">
        <v>4071</v>
      </c>
      <c r="C1796" s="1" t="s">
        <v>4072</v>
      </c>
      <c r="D1796" s="1" t="s">
        <v>2304</v>
      </c>
      <c r="E1796" s="1" t="s">
        <v>505</v>
      </c>
      <c r="F1796" s="1">
        <v>0</v>
      </c>
      <c r="G1796" s="1" t="s">
        <v>82</v>
      </c>
    </row>
    <row r="1797" spans="1:7" hidden="1" x14ac:dyDescent="0.3">
      <c r="A1797" s="1">
        <v>2962</v>
      </c>
      <c r="B1797" s="1" t="s">
        <v>4073</v>
      </c>
      <c r="C1797" s="1" t="s">
        <v>4074</v>
      </c>
      <c r="D1797" s="1" t="s">
        <v>2304</v>
      </c>
      <c r="E1797" s="1" t="s">
        <v>505</v>
      </c>
      <c r="F1797" s="1">
        <v>0</v>
      </c>
      <c r="G1797" s="1" t="s">
        <v>82</v>
      </c>
    </row>
    <row r="1798" spans="1:7" x14ac:dyDescent="0.3">
      <c r="A1798" s="1">
        <v>2966</v>
      </c>
      <c r="B1798" s="1" t="s">
        <v>4075</v>
      </c>
      <c r="C1798" s="1" t="s">
        <v>4076</v>
      </c>
      <c r="D1798" s="1" t="s">
        <v>1608</v>
      </c>
      <c r="E1798" s="1" t="s">
        <v>215</v>
      </c>
      <c r="F1798" s="1">
        <v>0</v>
      </c>
      <c r="G1798" s="1" t="s">
        <v>82</v>
      </c>
    </row>
    <row r="1799" spans="1:7" hidden="1" x14ac:dyDescent="0.3">
      <c r="A1799" s="1">
        <v>2967</v>
      </c>
      <c r="B1799" s="1" t="s">
        <v>4077</v>
      </c>
      <c r="C1799" s="1" t="s">
        <v>4078</v>
      </c>
      <c r="D1799" s="1" t="s">
        <v>2944</v>
      </c>
      <c r="E1799" s="1" t="s">
        <v>91</v>
      </c>
      <c r="F1799" s="1">
        <v>0</v>
      </c>
      <c r="G1799" s="1" t="s">
        <v>82</v>
      </c>
    </row>
    <row r="1800" spans="1:7" hidden="1" x14ac:dyDescent="0.3">
      <c r="A1800" s="1">
        <v>2968</v>
      </c>
      <c r="B1800" s="1" t="s">
        <v>4079</v>
      </c>
      <c r="C1800" s="1" t="s">
        <v>4080</v>
      </c>
      <c r="D1800" s="1" t="s">
        <v>252</v>
      </c>
      <c r="E1800" s="1" t="s">
        <v>1327</v>
      </c>
      <c r="F1800" s="1">
        <v>0</v>
      </c>
      <c r="G1800" s="1" t="s">
        <v>82</v>
      </c>
    </row>
    <row r="1801" spans="1:7" hidden="1" x14ac:dyDescent="0.3">
      <c r="A1801" s="1">
        <v>2969</v>
      </c>
      <c r="B1801" s="1" t="s">
        <v>4081</v>
      </c>
      <c r="C1801" s="1" t="s">
        <v>4082</v>
      </c>
      <c r="D1801" s="1" t="s">
        <v>4083</v>
      </c>
      <c r="E1801" s="1" t="s">
        <v>4055</v>
      </c>
      <c r="F1801" s="1">
        <v>0</v>
      </c>
      <c r="G1801" s="1" t="s">
        <v>82</v>
      </c>
    </row>
    <row r="1802" spans="1:7" hidden="1" x14ac:dyDescent="0.3">
      <c r="A1802" s="1">
        <v>2970</v>
      </c>
      <c r="B1802" s="1" t="s">
        <v>4084</v>
      </c>
      <c r="C1802" s="1" t="s">
        <v>4085</v>
      </c>
      <c r="D1802" s="1" t="s">
        <v>278</v>
      </c>
      <c r="E1802" s="1" t="s">
        <v>147</v>
      </c>
      <c r="F1802" s="1">
        <v>0</v>
      </c>
      <c r="G1802" s="1" t="s">
        <v>82</v>
      </c>
    </row>
    <row r="1803" spans="1:7" hidden="1" x14ac:dyDescent="0.3">
      <c r="A1803" s="1">
        <v>2971</v>
      </c>
      <c r="B1803" s="1" t="s">
        <v>4086</v>
      </c>
      <c r="C1803" s="1" t="s">
        <v>4087</v>
      </c>
      <c r="D1803" s="1" t="s">
        <v>3894</v>
      </c>
      <c r="E1803" s="1" t="s">
        <v>134</v>
      </c>
      <c r="F1803" s="1">
        <v>0</v>
      </c>
      <c r="G1803" s="1" t="s">
        <v>82</v>
      </c>
    </row>
    <row r="1804" spans="1:7" hidden="1" x14ac:dyDescent="0.3">
      <c r="A1804" s="1">
        <v>2972</v>
      </c>
      <c r="B1804" s="1" t="s">
        <v>4088</v>
      </c>
      <c r="C1804" s="1" t="s">
        <v>4089</v>
      </c>
      <c r="D1804" s="1" t="s">
        <v>693</v>
      </c>
      <c r="E1804" s="1" t="s">
        <v>134</v>
      </c>
      <c r="F1804" s="1">
        <v>0</v>
      </c>
      <c r="G1804" s="1" t="s">
        <v>82</v>
      </c>
    </row>
    <row r="1805" spans="1:7" hidden="1" x14ac:dyDescent="0.3">
      <c r="A1805" s="1">
        <v>2973</v>
      </c>
      <c r="B1805" s="1" t="s">
        <v>4090</v>
      </c>
      <c r="C1805" s="1" t="s">
        <v>4091</v>
      </c>
      <c r="D1805" s="1" t="s">
        <v>4092</v>
      </c>
      <c r="E1805" s="1" t="s">
        <v>170</v>
      </c>
      <c r="F1805" s="1">
        <v>0</v>
      </c>
      <c r="G1805" s="1" t="s">
        <v>82</v>
      </c>
    </row>
    <row r="1806" spans="1:7" hidden="1" x14ac:dyDescent="0.3">
      <c r="A1806" s="1">
        <v>2974</v>
      </c>
      <c r="B1806" s="1" t="s">
        <v>4093</v>
      </c>
      <c r="C1806" s="1" t="s">
        <v>4094</v>
      </c>
      <c r="D1806" s="1" t="s">
        <v>4095</v>
      </c>
      <c r="E1806" s="1" t="s">
        <v>91</v>
      </c>
      <c r="F1806" s="1">
        <v>0</v>
      </c>
      <c r="G1806" s="1" t="s">
        <v>82</v>
      </c>
    </row>
    <row r="1807" spans="1:7" hidden="1" x14ac:dyDescent="0.3">
      <c r="A1807" s="1">
        <v>2975</v>
      </c>
      <c r="B1807" s="1" t="s">
        <v>4096</v>
      </c>
      <c r="C1807" s="1" t="s">
        <v>4097</v>
      </c>
      <c r="D1807" s="1" t="s">
        <v>1616</v>
      </c>
      <c r="E1807" s="1" t="s">
        <v>111</v>
      </c>
      <c r="F1807" s="1">
        <v>0</v>
      </c>
      <c r="G1807" s="1" t="s">
        <v>82</v>
      </c>
    </row>
    <row r="1808" spans="1:7" hidden="1" x14ac:dyDescent="0.3">
      <c r="A1808" s="1">
        <v>2976</v>
      </c>
      <c r="B1808" s="1" t="s">
        <v>4098</v>
      </c>
      <c r="C1808" s="1" t="s">
        <v>4099</v>
      </c>
      <c r="D1808" s="1" t="s">
        <v>830</v>
      </c>
      <c r="E1808" s="1" t="s">
        <v>91</v>
      </c>
      <c r="F1808" s="1">
        <v>0</v>
      </c>
      <c r="G1808" s="1" t="s">
        <v>82</v>
      </c>
    </row>
    <row r="1809" spans="1:7" hidden="1" x14ac:dyDescent="0.3">
      <c r="A1809" s="1">
        <v>2977</v>
      </c>
      <c r="B1809" s="1" t="s">
        <v>4100</v>
      </c>
      <c r="C1809" s="1" t="s">
        <v>4101</v>
      </c>
      <c r="D1809" s="1" t="s">
        <v>252</v>
      </c>
      <c r="E1809" s="1" t="s">
        <v>255</v>
      </c>
      <c r="F1809" s="1">
        <v>0</v>
      </c>
      <c r="G1809" s="1" t="s">
        <v>82</v>
      </c>
    </row>
    <row r="1810" spans="1:7" hidden="1" x14ac:dyDescent="0.3">
      <c r="A1810" s="1">
        <v>2979</v>
      </c>
      <c r="B1810" s="1" t="s">
        <v>4102</v>
      </c>
      <c r="C1810" s="1" t="s">
        <v>4103</v>
      </c>
      <c r="D1810" s="1" t="s">
        <v>4104</v>
      </c>
      <c r="E1810" s="1" t="s">
        <v>645</v>
      </c>
      <c r="F1810" s="1">
        <v>0</v>
      </c>
      <c r="G1810" s="1" t="s">
        <v>82</v>
      </c>
    </row>
    <row r="1811" spans="1:7" hidden="1" x14ac:dyDescent="0.3">
      <c r="A1811" s="1">
        <v>2980</v>
      </c>
      <c r="B1811" s="1" t="s">
        <v>4105</v>
      </c>
      <c r="C1811" s="1" t="s">
        <v>4106</v>
      </c>
      <c r="D1811" s="1" t="s">
        <v>779</v>
      </c>
      <c r="E1811" s="1" t="s">
        <v>331</v>
      </c>
      <c r="F1811" s="1">
        <v>0</v>
      </c>
      <c r="G1811" s="1" t="s">
        <v>82</v>
      </c>
    </row>
    <row r="1812" spans="1:7" x14ac:dyDescent="0.3">
      <c r="A1812" s="1">
        <v>2981</v>
      </c>
      <c r="B1812" s="1" t="s">
        <v>4107</v>
      </c>
      <c r="C1812" s="1" t="s">
        <v>4108</v>
      </c>
      <c r="D1812" s="1" t="s">
        <v>1608</v>
      </c>
      <c r="E1812" s="1" t="s">
        <v>215</v>
      </c>
      <c r="F1812" s="1">
        <v>0</v>
      </c>
      <c r="G1812" s="1" t="s">
        <v>82</v>
      </c>
    </row>
    <row r="1813" spans="1:7" hidden="1" x14ac:dyDescent="0.3">
      <c r="A1813" s="1">
        <v>2982</v>
      </c>
      <c r="B1813" s="1" t="s">
        <v>4109</v>
      </c>
      <c r="C1813" s="1" t="s">
        <v>4110</v>
      </c>
      <c r="D1813" s="1" t="s">
        <v>230</v>
      </c>
      <c r="E1813" s="1" t="s">
        <v>197</v>
      </c>
      <c r="F1813" s="1">
        <v>0</v>
      </c>
      <c r="G1813" s="1" t="s">
        <v>82</v>
      </c>
    </row>
    <row r="1814" spans="1:7" hidden="1" x14ac:dyDescent="0.3">
      <c r="A1814" s="1">
        <v>2984</v>
      </c>
      <c r="B1814" s="1" t="s">
        <v>4111</v>
      </c>
      <c r="C1814" s="1" t="s">
        <v>4112</v>
      </c>
      <c r="D1814" s="1" t="s">
        <v>444</v>
      </c>
      <c r="E1814" s="1" t="s">
        <v>142</v>
      </c>
      <c r="F1814" s="1">
        <v>0</v>
      </c>
      <c r="G1814" s="1" t="s">
        <v>82</v>
      </c>
    </row>
    <row r="1815" spans="1:7" hidden="1" x14ac:dyDescent="0.3">
      <c r="A1815" s="1">
        <v>2986</v>
      </c>
      <c r="B1815" s="1" t="s">
        <v>4113</v>
      </c>
      <c r="C1815" s="1" t="s">
        <v>4114</v>
      </c>
      <c r="D1815" s="1" t="s">
        <v>422</v>
      </c>
      <c r="E1815" s="1" t="s">
        <v>147</v>
      </c>
      <c r="F1815" s="1">
        <v>1</v>
      </c>
      <c r="G1815" s="1" t="s">
        <v>143</v>
      </c>
    </row>
    <row r="1816" spans="1:7" hidden="1" x14ac:dyDescent="0.3">
      <c r="A1816" s="1">
        <v>2988</v>
      </c>
      <c r="B1816" s="1" t="s">
        <v>4115</v>
      </c>
      <c r="C1816" s="1" t="s">
        <v>4116</v>
      </c>
      <c r="D1816" s="1" t="s">
        <v>422</v>
      </c>
      <c r="E1816" s="1" t="s">
        <v>147</v>
      </c>
      <c r="F1816" s="1">
        <v>0</v>
      </c>
      <c r="G1816" s="1" t="s">
        <v>82</v>
      </c>
    </row>
    <row r="1817" spans="1:7" hidden="1" x14ac:dyDescent="0.3">
      <c r="A1817" s="1">
        <v>2989</v>
      </c>
      <c r="B1817" s="1" t="s">
        <v>4117</v>
      </c>
      <c r="C1817" s="1" t="s">
        <v>4118</v>
      </c>
      <c r="D1817" s="1" t="s">
        <v>3044</v>
      </c>
      <c r="E1817" s="1" t="s">
        <v>111</v>
      </c>
      <c r="F1817" s="1">
        <v>0</v>
      </c>
      <c r="G1817" s="1" t="s">
        <v>82</v>
      </c>
    </row>
    <row r="1818" spans="1:7" hidden="1" x14ac:dyDescent="0.3">
      <c r="A1818" s="1">
        <v>2990</v>
      </c>
      <c r="B1818" s="1" t="s">
        <v>4119</v>
      </c>
      <c r="C1818" s="1" t="s">
        <v>4120</v>
      </c>
      <c r="D1818" s="1" t="s">
        <v>252</v>
      </c>
      <c r="E1818" s="1" t="s">
        <v>259</v>
      </c>
      <c r="F1818" s="1">
        <v>0</v>
      </c>
      <c r="G1818" s="1" t="s">
        <v>82</v>
      </c>
    </row>
    <row r="1819" spans="1:7" hidden="1" x14ac:dyDescent="0.3">
      <c r="A1819" s="1">
        <v>2991</v>
      </c>
      <c r="B1819" s="1" t="s">
        <v>4121</v>
      </c>
      <c r="C1819" s="1" t="s">
        <v>4122</v>
      </c>
      <c r="D1819" s="1" t="s">
        <v>345</v>
      </c>
      <c r="E1819" s="1" t="s">
        <v>331</v>
      </c>
      <c r="F1819" s="1">
        <v>0</v>
      </c>
      <c r="G1819" s="1" t="s">
        <v>82</v>
      </c>
    </row>
    <row r="1820" spans="1:7" hidden="1" x14ac:dyDescent="0.3">
      <c r="A1820" s="1">
        <v>2992</v>
      </c>
      <c r="B1820" s="1" t="s">
        <v>4123</v>
      </c>
      <c r="C1820" s="1" t="s">
        <v>4124</v>
      </c>
      <c r="D1820" s="1" t="s">
        <v>422</v>
      </c>
      <c r="E1820" s="1" t="s">
        <v>340</v>
      </c>
      <c r="F1820" s="1">
        <v>1</v>
      </c>
      <c r="G1820" s="1" t="s">
        <v>143</v>
      </c>
    </row>
    <row r="1821" spans="1:7" hidden="1" x14ac:dyDescent="0.3">
      <c r="A1821" s="1">
        <v>2993</v>
      </c>
      <c r="B1821" s="1" t="s">
        <v>4125</v>
      </c>
      <c r="C1821" s="1" t="s">
        <v>4126</v>
      </c>
      <c r="D1821" s="1" t="s">
        <v>422</v>
      </c>
      <c r="E1821" s="1" t="s">
        <v>340</v>
      </c>
      <c r="F1821" s="1">
        <v>0</v>
      </c>
      <c r="G1821" s="1" t="s">
        <v>82</v>
      </c>
    </row>
    <row r="1822" spans="1:7" hidden="1" x14ac:dyDescent="0.3">
      <c r="A1822" s="1">
        <v>2994</v>
      </c>
      <c r="B1822" s="1" t="s">
        <v>4127</v>
      </c>
      <c r="C1822" s="1" t="s">
        <v>4128</v>
      </c>
      <c r="D1822" s="1" t="s">
        <v>187</v>
      </c>
      <c r="E1822" s="1" t="s">
        <v>177</v>
      </c>
      <c r="F1822" s="1">
        <v>0</v>
      </c>
      <c r="G1822" s="1" t="s">
        <v>82</v>
      </c>
    </row>
    <row r="1823" spans="1:7" hidden="1" x14ac:dyDescent="0.3">
      <c r="A1823" s="1">
        <v>2995</v>
      </c>
      <c r="B1823" s="1" t="s">
        <v>4129</v>
      </c>
      <c r="C1823" s="1" t="s">
        <v>4130</v>
      </c>
      <c r="D1823" s="1" t="s">
        <v>422</v>
      </c>
      <c r="E1823" s="1" t="s">
        <v>1327</v>
      </c>
      <c r="F1823" s="1">
        <v>0</v>
      </c>
      <c r="G1823" s="1" t="s">
        <v>82</v>
      </c>
    </row>
    <row r="1824" spans="1:7" x14ac:dyDescent="0.3">
      <c r="A1824" s="1">
        <v>2996</v>
      </c>
      <c r="B1824" s="1" t="s">
        <v>4131</v>
      </c>
      <c r="C1824" s="1" t="s">
        <v>4132</v>
      </c>
      <c r="D1824" s="1" t="s">
        <v>447</v>
      </c>
      <c r="E1824" s="1" t="s">
        <v>215</v>
      </c>
      <c r="F1824" s="1">
        <v>0</v>
      </c>
      <c r="G1824" s="1" t="s">
        <v>82</v>
      </c>
    </row>
    <row r="1825" spans="1:7" hidden="1" x14ac:dyDescent="0.3">
      <c r="A1825" s="1">
        <v>2997</v>
      </c>
      <c r="B1825" s="1" t="s">
        <v>4133</v>
      </c>
      <c r="C1825" s="1" t="s">
        <v>4134</v>
      </c>
      <c r="D1825" s="1" t="s">
        <v>422</v>
      </c>
      <c r="E1825" s="1" t="s">
        <v>255</v>
      </c>
      <c r="F1825" s="1">
        <v>0</v>
      </c>
      <c r="G1825" s="1" t="s">
        <v>82</v>
      </c>
    </row>
    <row r="1826" spans="1:7" hidden="1" x14ac:dyDescent="0.3">
      <c r="A1826" s="1">
        <v>2998</v>
      </c>
      <c r="B1826" s="1" t="s">
        <v>4135</v>
      </c>
      <c r="C1826" s="1" t="s">
        <v>4136</v>
      </c>
      <c r="D1826" s="1" t="s">
        <v>1096</v>
      </c>
      <c r="E1826" s="1" t="s">
        <v>65</v>
      </c>
      <c r="F1826" s="1">
        <v>1</v>
      </c>
      <c r="G1826" s="1" t="s">
        <v>143</v>
      </c>
    </row>
    <row r="1827" spans="1:7" hidden="1" x14ac:dyDescent="0.3">
      <c r="A1827" s="1">
        <v>2999</v>
      </c>
      <c r="B1827" s="1" t="s">
        <v>4137</v>
      </c>
      <c r="C1827" s="1" t="s">
        <v>4138</v>
      </c>
      <c r="D1827" s="1" t="s">
        <v>283</v>
      </c>
      <c r="E1827" s="1" t="s">
        <v>197</v>
      </c>
      <c r="F1827" s="1">
        <v>0</v>
      </c>
      <c r="G1827" s="1" t="s">
        <v>82</v>
      </c>
    </row>
    <row r="1828" spans="1:7" hidden="1" x14ac:dyDescent="0.3">
      <c r="A1828" s="1">
        <v>3000</v>
      </c>
      <c r="B1828" s="1" t="s">
        <v>4139</v>
      </c>
      <c r="C1828" s="1" t="s">
        <v>4140</v>
      </c>
      <c r="D1828" s="1" t="s">
        <v>270</v>
      </c>
      <c r="E1828" s="1" t="s">
        <v>147</v>
      </c>
      <c r="F1828" s="1">
        <v>0</v>
      </c>
      <c r="G1828" s="1" t="s">
        <v>82</v>
      </c>
    </row>
    <row r="1829" spans="1:7" hidden="1" x14ac:dyDescent="0.3">
      <c r="A1829" s="1">
        <v>3001</v>
      </c>
      <c r="B1829" s="1" t="s">
        <v>4141</v>
      </c>
      <c r="C1829" s="1" t="s">
        <v>4142</v>
      </c>
      <c r="D1829" s="1" t="s">
        <v>270</v>
      </c>
      <c r="E1829" s="1" t="s">
        <v>147</v>
      </c>
      <c r="F1829" s="1">
        <v>0</v>
      </c>
      <c r="G1829" s="1" t="s">
        <v>82</v>
      </c>
    </row>
    <row r="1830" spans="1:7" hidden="1" x14ac:dyDescent="0.3">
      <c r="A1830" s="1">
        <v>3002</v>
      </c>
      <c r="B1830" s="1" t="s">
        <v>4143</v>
      </c>
      <c r="C1830" s="1" t="s">
        <v>4144</v>
      </c>
      <c r="D1830" s="1" t="s">
        <v>330</v>
      </c>
      <c r="E1830" s="1" t="s">
        <v>147</v>
      </c>
      <c r="F1830" s="1">
        <v>0</v>
      </c>
      <c r="G1830" s="1" t="s">
        <v>82</v>
      </c>
    </row>
    <row r="1831" spans="1:7" hidden="1" x14ac:dyDescent="0.3">
      <c r="A1831" s="1">
        <v>3003</v>
      </c>
      <c r="B1831" s="1" t="s">
        <v>4145</v>
      </c>
      <c r="C1831" s="1" t="s">
        <v>4146</v>
      </c>
      <c r="D1831" s="1" t="s">
        <v>422</v>
      </c>
      <c r="E1831" s="1" t="s">
        <v>1327</v>
      </c>
      <c r="F1831" s="1">
        <v>0</v>
      </c>
      <c r="G1831" s="1" t="s">
        <v>82</v>
      </c>
    </row>
    <row r="1832" spans="1:7" hidden="1" x14ac:dyDescent="0.3">
      <c r="A1832" s="1">
        <v>3005</v>
      </c>
      <c r="B1832" s="1" t="s">
        <v>4147</v>
      </c>
      <c r="C1832" s="1" t="s">
        <v>4148</v>
      </c>
      <c r="D1832" s="1" t="s">
        <v>422</v>
      </c>
      <c r="E1832" s="1" t="s">
        <v>255</v>
      </c>
      <c r="F1832" s="1">
        <v>0</v>
      </c>
      <c r="G1832" s="1" t="s">
        <v>82</v>
      </c>
    </row>
    <row r="1833" spans="1:7" hidden="1" x14ac:dyDescent="0.3">
      <c r="A1833" s="1">
        <v>3006</v>
      </c>
      <c r="B1833" s="1" t="s">
        <v>4149</v>
      </c>
      <c r="C1833" s="1" t="s">
        <v>4150</v>
      </c>
      <c r="D1833" s="1" t="s">
        <v>422</v>
      </c>
      <c r="E1833" s="1" t="s">
        <v>1327</v>
      </c>
      <c r="F1833" s="1">
        <v>0</v>
      </c>
      <c r="G1833" s="1" t="s">
        <v>82</v>
      </c>
    </row>
    <row r="1834" spans="1:7" hidden="1" x14ac:dyDescent="0.3">
      <c r="A1834" s="1">
        <v>3007</v>
      </c>
      <c r="B1834" s="1" t="s">
        <v>4151</v>
      </c>
      <c r="C1834" s="1" t="s">
        <v>4152</v>
      </c>
      <c r="D1834" s="1" t="s">
        <v>252</v>
      </c>
      <c r="E1834" s="1" t="s">
        <v>1327</v>
      </c>
      <c r="F1834" s="1">
        <v>1</v>
      </c>
      <c r="G1834" s="1" t="s">
        <v>143</v>
      </c>
    </row>
    <row r="1835" spans="1:7" hidden="1" x14ac:dyDescent="0.3">
      <c r="A1835" s="1">
        <v>3008</v>
      </c>
      <c r="B1835" s="1" t="s">
        <v>4153</v>
      </c>
      <c r="C1835" s="1" t="s">
        <v>4154</v>
      </c>
      <c r="D1835" s="1" t="s">
        <v>237</v>
      </c>
      <c r="E1835" s="1" t="s">
        <v>419</v>
      </c>
      <c r="F1835" s="1">
        <v>1</v>
      </c>
      <c r="G1835" s="1" t="s">
        <v>143</v>
      </c>
    </row>
    <row r="1836" spans="1:7" hidden="1" x14ac:dyDescent="0.3">
      <c r="A1836" s="1">
        <v>3010</v>
      </c>
      <c r="B1836" s="1" t="s">
        <v>4155</v>
      </c>
      <c r="C1836" s="1" t="s">
        <v>4156</v>
      </c>
      <c r="D1836" s="1" t="s">
        <v>422</v>
      </c>
      <c r="E1836" s="1" t="s">
        <v>1327</v>
      </c>
      <c r="F1836" s="1">
        <v>1</v>
      </c>
      <c r="G1836" s="1" t="s">
        <v>143</v>
      </c>
    </row>
    <row r="1837" spans="1:7" hidden="1" x14ac:dyDescent="0.3">
      <c r="A1837" s="1">
        <v>3011</v>
      </c>
      <c r="B1837" s="1" t="s">
        <v>4157</v>
      </c>
      <c r="C1837" s="1" t="s">
        <v>4158</v>
      </c>
      <c r="D1837" s="1" t="s">
        <v>422</v>
      </c>
      <c r="E1837" s="1" t="s">
        <v>147</v>
      </c>
      <c r="F1837" s="1">
        <v>0</v>
      </c>
      <c r="G1837" s="1" t="s">
        <v>82</v>
      </c>
    </row>
    <row r="1838" spans="1:7" hidden="1" x14ac:dyDescent="0.3">
      <c r="A1838" s="1">
        <v>3014</v>
      </c>
      <c r="B1838" s="1" t="s">
        <v>4159</v>
      </c>
      <c r="C1838" s="1" t="s">
        <v>4160</v>
      </c>
      <c r="D1838" s="1" t="s">
        <v>365</v>
      </c>
      <c r="E1838" s="1" t="s">
        <v>255</v>
      </c>
      <c r="F1838" s="1">
        <v>0</v>
      </c>
      <c r="G1838" s="1" t="s">
        <v>82</v>
      </c>
    </row>
    <row r="1839" spans="1:7" hidden="1" x14ac:dyDescent="0.3">
      <c r="A1839" s="1">
        <v>3015</v>
      </c>
      <c r="B1839" s="1" t="s">
        <v>4161</v>
      </c>
      <c r="C1839" s="1" t="s">
        <v>4162</v>
      </c>
      <c r="D1839" s="1" t="s">
        <v>422</v>
      </c>
      <c r="E1839" s="1" t="s">
        <v>1327</v>
      </c>
      <c r="F1839" s="1">
        <v>0</v>
      </c>
      <c r="G1839" s="1" t="s">
        <v>82</v>
      </c>
    </row>
    <row r="1840" spans="1:7" hidden="1" x14ac:dyDescent="0.3">
      <c r="A1840" s="1">
        <v>3016</v>
      </c>
      <c r="B1840" s="1" t="s">
        <v>4163</v>
      </c>
      <c r="C1840" s="1" t="s">
        <v>4164</v>
      </c>
      <c r="D1840" s="1" t="s">
        <v>779</v>
      </c>
      <c r="E1840" s="1" t="s">
        <v>340</v>
      </c>
      <c r="F1840" s="1">
        <v>0</v>
      </c>
      <c r="G1840" s="1" t="s">
        <v>82</v>
      </c>
    </row>
    <row r="1841" spans="1:7" hidden="1" x14ac:dyDescent="0.3">
      <c r="A1841" s="1">
        <v>3017</v>
      </c>
      <c r="B1841" s="1" t="s">
        <v>4165</v>
      </c>
      <c r="C1841" s="1" t="s">
        <v>4166</v>
      </c>
      <c r="D1841" s="1" t="s">
        <v>1401</v>
      </c>
      <c r="E1841" s="1" t="s">
        <v>134</v>
      </c>
      <c r="F1841" s="1">
        <v>0</v>
      </c>
      <c r="G1841" s="1" t="s">
        <v>82</v>
      </c>
    </row>
    <row r="1842" spans="1:7" hidden="1" x14ac:dyDescent="0.3">
      <c r="A1842" s="1">
        <v>3018</v>
      </c>
      <c r="B1842" s="1" t="s">
        <v>4167</v>
      </c>
      <c r="C1842" s="1" t="s">
        <v>4168</v>
      </c>
      <c r="D1842" s="1" t="s">
        <v>184</v>
      </c>
      <c r="E1842" s="1" t="s">
        <v>111</v>
      </c>
      <c r="F1842" s="1">
        <v>0</v>
      </c>
      <c r="G1842" s="1" t="s">
        <v>82</v>
      </c>
    </row>
    <row r="1843" spans="1:7" hidden="1" x14ac:dyDescent="0.3">
      <c r="A1843" s="1">
        <v>3019</v>
      </c>
      <c r="B1843" s="1" t="s">
        <v>4169</v>
      </c>
      <c r="C1843" s="1" t="s">
        <v>4170</v>
      </c>
      <c r="D1843" s="1" t="s">
        <v>422</v>
      </c>
      <c r="E1843" s="1" t="s">
        <v>147</v>
      </c>
      <c r="F1843" s="1">
        <v>1</v>
      </c>
      <c r="G1843" s="1" t="s">
        <v>143</v>
      </c>
    </row>
    <row r="1844" spans="1:7" hidden="1" x14ac:dyDescent="0.3">
      <c r="A1844" s="1">
        <v>3021</v>
      </c>
      <c r="B1844" s="1" t="s">
        <v>4171</v>
      </c>
      <c r="C1844" s="1" t="s">
        <v>4172</v>
      </c>
      <c r="D1844" s="1" t="s">
        <v>2189</v>
      </c>
      <c r="E1844" s="1" t="s">
        <v>1114</v>
      </c>
      <c r="F1844" s="1">
        <v>0</v>
      </c>
      <c r="G1844" s="1" t="s">
        <v>82</v>
      </c>
    </row>
    <row r="1845" spans="1:7" hidden="1" x14ac:dyDescent="0.3">
      <c r="A1845" s="1">
        <v>3023</v>
      </c>
      <c r="B1845" s="1" t="s">
        <v>4173</v>
      </c>
      <c r="C1845" s="1" t="s">
        <v>4174</v>
      </c>
      <c r="D1845" s="1" t="s">
        <v>748</v>
      </c>
      <c r="E1845" s="1" t="s">
        <v>130</v>
      </c>
      <c r="F1845" s="1">
        <v>0</v>
      </c>
      <c r="G1845" s="1" t="s">
        <v>82</v>
      </c>
    </row>
    <row r="1846" spans="1:7" hidden="1" x14ac:dyDescent="0.3">
      <c r="A1846" s="1">
        <v>3024</v>
      </c>
      <c r="B1846" s="1" t="s">
        <v>4175</v>
      </c>
      <c r="C1846" s="1" t="s">
        <v>4176</v>
      </c>
      <c r="D1846" s="1" t="s">
        <v>2189</v>
      </c>
      <c r="E1846" s="1" t="s">
        <v>1114</v>
      </c>
      <c r="F1846" s="1">
        <v>0</v>
      </c>
      <c r="G1846" s="1" t="s">
        <v>82</v>
      </c>
    </row>
    <row r="1847" spans="1:7" hidden="1" x14ac:dyDescent="0.3">
      <c r="A1847" s="1">
        <v>3025</v>
      </c>
      <c r="B1847" s="1" t="s">
        <v>4177</v>
      </c>
      <c r="C1847" s="1" t="s">
        <v>4178</v>
      </c>
      <c r="D1847" s="1" t="s">
        <v>422</v>
      </c>
      <c r="E1847" s="1" t="s">
        <v>255</v>
      </c>
      <c r="F1847" s="1">
        <v>1</v>
      </c>
      <c r="G1847" s="1" t="s">
        <v>143</v>
      </c>
    </row>
    <row r="1848" spans="1:7" hidden="1" x14ac:dyDescent="0.3">
      <c r="A1848" s="1">
        <v>3026</v>
      </c>
      <c r="B1848" s="1" t="s">
        <v>4179</v>
      </c>
      <c r="C1848" s="1" t="s">
        <v>4180</v>
      </c>
      <c r="D1848" s="1" t="s">
        <v>422</v>
      </c>
      <c r="E1848" s="1" t="s">
        <v>255</v>
      </c>
      <c r="F1848" s="1">
        <v>0</v>
      </c>
      <c r="G1848" s="1" t="s">
        <v>82</v>
      </c>
    </row>
    <row r="1849" spans="1:7" hidden="1" x14ac:dyDescent="0.3">
      <c r="A1849" s="1">
        <v>3028</v>
      </c>
      <c r="B1849" s="1" t="s">
        <v>4181</v>
      </c>
      <c r="C1849" s="1" t="s">
        <v>4182</v>
      </c>
      <c r="D1849" s="1" t="s">
        <v>422</v>
      </c>
      <c r="E1849" s="1" t="s">
        <v>147</v>
      </c>
      <c r="F1849" s="1">
        <v>0</v>
      </c>
      <c r="G1849" s="1" t="s">
        <v>82</v>
      </c>
    </row>
    <row r="1850" spans="1:7" hidden="1" x14ac:dyDescent="0.3">
      <c r="A1850" s="1">
        <v>3030</v>
      </c>
      <c r="B1850" s="1" t="s">
        <v>4183</v>
      </c>
      <c r="C1850" s="1" t="s">
        <v>4184</v>
      </c>
      <c r="D1850" s="1" t="s">
        <v>237</v>
      </c>
      <c r="E1850" s="1" t="s">
        <v>419</v>
      </c>
      <c r="F1850" s="1">
        <v>0</v>
      </c>
      <c r="G1850" s="1" t="s">
        <v>82</v>
      </c>
    </row>
    <row r="1851" spans="1:7" hidden="1" x14ac:dyDescent="0.3">
      <c r="A1851" s="1">
        <v>3033</v>
      </c>
      <c r="B1851" s="1" t="s">
        <v>4185</v>
      </c>
      <c r="C1851" s="1" t="s">
        <v>4186</v>
      </c>
      <c r="D1851" s="1" t="s">
        <v>2463</v>
      </c>
      <c r="E1851" s="1" t="s">
        <v>111</v>
      </c>
      <c r="F1851" s="1">
        <v>0</v>
      </c>
      <c r="G1851" s="1" t="s">
        <v>82</v>
      </c>
    </row>
    <row r="1852" spans="1:7" hidden="1" x14ac:dyDescent="0.3">
      <c r="A1852" s="1">
        <v>3034</v>
      </c>
      <c r="B1852" s="1" t="s">
        <v>4187</v>
      </c>
      <c r="C1852" s="1" t="s">
        <v>4188</v>
      </c>
      <c r="D1852" s="1" t="s">
        <v>4189</v>
      </c>
      <c r="E1852" s="1" t="s">
        <v>65</v>
      </c>
      <c r="F1852" s="1">
        <v>0</v>
      </c>
      <c r="G1852" s="1" t="s">
        <v>82</v>
      </c>
    </row>
    <row r="1853" spans="1:7" hidden="1" x14ac:dyDescent="0.3">
      <c r="A1853" s="1">
        <v>3035</v>
      </c>
      <c r="B1853" s="1" t="s">
        <v>4190</v>
      </c>
      <c r="C1853" s="1" t="s">
        <v>4191</v>
      </c>
      <c r="D1853" s="1" t="s">
        <v>422</v>
      </c>
      <c r="E1853" s="1" t="s">
        <v>1327</v>
      </c>
      <c r="F1853" s="1">
        <v>0</v>
      </c>
      <c r="G1853" s="1" t="s">
        <v>82</v>
      </c>
    </row>
    <row r="1854" spans="1:7" hidden="1" x14ac:dyDescent="0.3">
      <c r="A1854" s="1">
        <v>3036</v>
      </c>
      <c r="B1854" s="1" t="s">
        <v>4192</v>
      </c>
      <c r="C1854" s="1" t="s">
        <v>4193</v>
      </c>
      <c r="D1854" s="1" t="s">
        <v>278</v>
      </c>
      <c r="E1854" s="1" t="s">
        <v>147</v>
      </c>
      <c r="F1854" s="1">
        <v>0</v>
      </c>
      <c r="G1854" s="1" t="s">
        <v>82</v>
      </c>
    </row>
    <row r="1855" spans="1:7" hidden="1" x14ac:dyDescent="0.3">
      <c r="A1855" s="1">
        <v>3039</v>
      </c>
      <c r="B1855" s="1" t="s">
        <v>4194</v>
      </c>
      <c r="C1855" s="1" t="s">
        <v>4195</v>
      </c>
      <c r="D1855" s="1" t="s">
        <v>252</v>
      </c>
      <c r="E1855" s="1" t="s">
        <v>255</v>
      </c>
      <c r="F1855" s="1">
        <v>0</v>
      </c>
      <c r="G1855" s="1" t="s">
        <v>82</v>
      </c>
    </row>
    <row r="1856" spans="1:7" hidden="1" x14ac:dyDescent="0.3">
      <c r="A1856" s="1">
        <v>3040</v>
      </c>
      <c r="B1856" s="1" t="s">
        <v>4196</v>
      </c>
      <c r="C1856" s="1" t="s">
        <v>4197</v>
      </c>
      <c r="D1856" s="1" t="s">
        <v>2373</v>
      </c>
      <c r="E1856" s="1" t="s">
        <v>68</v>
      </c>
      <c r="F1856" s="1">
        <v>0</v>
      </c>
      <c r="G1856" s="1" t="s">
        <v>82</v>
      </c>
    </row>
    <row r="1857" spans="1:7" hidden="1" x14ac:dyDescent="0.3">
      <c r="A1857" s="1">
        <v>3041</v>
      </c>
      <c r="B1857" s="1" t="s">
        <v>4198</v>
      </c>
      <c r="C1857" s="1" t="s">
        <v>4199</v>
      </c>
      <c r="D1857" s="1" t="s">
        <v>422</v>
      </c>
      <c r="E1857" s="1" t="s">
        <v>255</v>
      </c>
      <c r="F1857" s="1">
        <v>0</v>
      </c>
      <c r="G1857" s="1" t="s">
        <v>82</v>
      </c>
    </row>
    <row r="1858" spans="1:7" hidden="1" x14ac:dyDescent="0.3">
      <c r="A1858" s="1">
        <v>3042</v>
      </c>
      <c r="B1858" s="1" t="s">
        <v>4200</v>
      </c>
      <c r="C1858" s="1" t="s">
        <v>4201</v>
      </c>
      <c r="D1858" s="1" t="s">
        <v>187</v>
      </c>
      <c r="E1858" s="1" t="s">
        <v>65</v>
      </c>
      <c r="F1858" s="1">
        <v>0</v>
      </c>
      <c r="G1858" s="1" t="s">
        <v>82</v>
      </c>
    </row>
    <row r="1859" spans="1:7" hidden="1" x14ac:dyDescent="0.3">
      <c r="A1859" s="1">
        <v>3044</v>
      </c>
      <c r="B1859" s="1" t="s">
        <v>4202</v>
      </c>
      <c r="C1859" s="1" t="s">
        <v>4203</v>
      </c>
      <c r="D1859" s="1" t="s">
        <v>345</v>
      </c>
      <c r="E1859" s="1" t="s">
        <v>331</v>
      </c>
      <c r="F1859" s="1">
        <v>0</v>
      </c>
      <c r="G1859" s="1" t="s">
        <v>82</v>
      </c>
    </row>
    <row r="1860" spans="1:7" hidden="1" x14ac:dyDescent="0.3">
      <c r="A1860" s="1">
        <v>3046</v>
      </c>
      <c r="B1860" s="1" t="s">
        <v>4204</v>
      </c>
      <c r="C1860" s="1" t="s">
        <v>4205</v>
      </c>
      <c r="D1860" s="1" t="s">
        <v>422</v>
      </c>
      <c r="E1860" s="1" t="s">
        <v>259</v>
      </c>
      <c r="F1860" s="1">
        <v>0</v>
      </c>
      <c r="G1860" s="1" t="s">
        <v>82</v>
      </c>
    </row>
    <row r="1861" spans="1:7" hidden="1" x14ac:dyDescent="0.3">
      <c r="A1861" s="1">
        <v>3047</v>
      </c>
      <c r="B1861" s="1" t="s">
        <v>4206</v>
      </c>
      <c r="C1861" s="1" t="s">
        <v>4207</v>
      </c>
      <c r="D1861" s="1" t="s">
        <v>422</v>
      </c>
      <c r="E1861" s="1" t="s">
        <v>147</v>
      </c>
      <c r="F1861" s="1">
        <v>0</v>
      </c>
      <c r="G1861" s="1" t="s">
        <v>82</v>
      </c>
    </row>
    <row r="1862" spans="1:7" hidden="1" x14ac:dyDescent="0.3">
      <c r="A1862" s="1">
        <v>3048</v>
      </c>
      <c r="B1862" s="1" t="s">
        <v>4208</v>
      </c>
      <c r="C1862" s="1" t="s">
        <v>4209</v>
      </c>
      <c r="D1862" s="1" t="s">
        <v>422</v>
      </c>
      <c r="E1862" s="1" t="s">
        <v>1327</v>
      </c>
      <c r="F1862" s="1">
        <v>1</v>
      </c>
      <c r="G1862" s="1" t="s">
        <v>143</v>
      </c>
    </row>
    <row r="1863" spans="1:7" hidden="1" x14ac:dyDescent="0.3">
      <c r="A1863" s="1">
        <v>3049</v>
      </c>
      <c r="B1863" s="1" t="s">
        <v>4210</v>
      </c>
      <c r="C1863" s="1" t="s">
        <v>4211</v>
      </c>
      <c r="D1863" s="1" t="s">
        <v>2439</v>
      </c>
      <c r="E1863" s="1" t="s">
        <v>142</v>
      </c>
      <c r="F1863" s="1">
        <v>0</v>
      </c>
      <c r="G1863" s="1" t="s">
        <v>82</v>
      </c>
    </row>
    <row r="1864" spans="1:7" hidden="1" x14ac:dyDescent="0.3">
      <c r="A1864" s="1">
        <v>3050</v>
      </c>
      <c r="B1864" s="1" t="s">
        <v>4212</v>
      </c>
      <c r="C1864" s="1" t="s">
        <v>4213</v>
      </c>
      <c r="D1864" s="1" t="s">
        <v>278</v>
      </c>
      <c r="E1864" s="1" t="s">
        <v>147</v>
      </c>
      <c r="F1864" s="1">
        <v>0</v>
      </c>
      <c r="G1864" s="1" t="s">
        <v>82</v>
      </c>
    </row>
    <row r="1865" spans="1:7" hidden="1" x14ac:dyDescent="0.3">
      <c r="A1865" s="1">
        <v>3051</v>
      </c>
      <c r="B1865" s="1" t="s">
        <v>4214</v>
      </c>
      <c r="C1865" s="1" t="s">
        <v>4215</v>
      </c>
      <c r="D1865" s="1" t="s">
        <v>422</v>
      </c>
      <c r="E1865" s="1" t="s">
        <v>340</v>
      </c>
      <c r="F1865" s="1">
        <v>0</v>
      </c>
      <c r="G1865" s="1" t="s">
        <v>82</v>
      </c>
    </row>
    <row r="1866" spans="1:7" hidden="1" x14ac:dyDescent="0.3">
      <c r="A1866" s="1">
        <v>3054</v>
      </c>
      <c r="B1866" s="1" t="s">
        <v>4216</v>
      </c>
      <c r="C1866" s="1" t="s">
        <v>4217</v>
      </c>
      <c r="D1866" s="1" t="s">
        <v>422</v>
      </c>
      <c r="E1866" s="1" t="s">
        <v>147</v>
      </c>
      <c r="F1866" s="1">
        <v>1</v>
      </c>
      <c r="G1866" s="1" t="s">
        <v>143</v>
      </c>
    </row>
    <row r="1867" spans="1:7" hidden="1" x14ac:dyDescent="0.3">
      <c r="A1867" s="1">
        <v>3055</v>
      </c>
      <c r="B1867" s="1" t="s">
        <v>4218</v>
      </c>
      <c r="C1867" s="1" t="s">
        <v>4219</v>
      </c>
      <c r="D1867" s="1" t="s">
        <v>252</v>
      </c>
      <c r="E1867" s="1" t="s">
        <v>255</v>
      </c>
      <c r="F1867" s="1">
        <v>0</v>
      </c>
      <c r="G1867" s="1" t="s">
        <v>82</v>
      </c>
    </row>
    <row r="1868" spans="1:7" hidden="1" x14ac:dyDescent="0.3">
      <c r="A1868" s="1">
        <v>3056</v>
      </c>
      <c r="B1868" s="1" t="s">
        <v>4220</v>
      </c>
      <c r="C1868" s="1" t="s">
        <v>4221</v>
      </c>
      <c r="D1868" s="1" t="s">
        <v>3428</v>
      </c>
      <c r="E1868" s="1" t="s">
        <v>142</v>
      </c>
      <c r="F1868" s="1">
        <v>0</v>
      </c>
      <c r="G1868" s="1" t="s">
        <v>82</v>
      </c>
    </row>
    <row r="1869" spans="1:7" hidden="1" x14ac:dyDescent="0.3">
      <c r="A1869" s="1">
        <v>3059</v>
      </c>
      <c r="B1869" s="1" t="s">
        <v>4222</v>
      </c>
      <c r="C1869" s="1" t="s">
        <v>4223</v>
      </c>
      <c r="D1869" s="1" t="s">
        <v>422</v>
      </c>
      <c r="E1869" s="1" t="s">
        <v>1327</v>
      </c>
      <c r="F1869" s="1">
        <v>0</v>
      </c>
      <c r="G1869" s="1" t="s">
        <v>82</v>
      </c>
    </row>
    <row r="1870" spans="1:7" hidden="1" x14ac:dyDescent="0.3">
      <c r="A1870" s="1">
        <v>3060</v>
      </c>
      <c r="B1870" s="1" t="s">
        <v>4224</v>
      </c>
      <c r="C1870" s="1" t="s">
        <v>4225</v>
      </c>
      <c r="D1870" s="1" t="s">
        <v>759</v>
      </c>
      <c r="E1870" s="1" t="s">
        <v>255</v>
      </c>
      <c r="F1870" s="1">
        <v>0</v>
      </c>
      <c r="G1870" s="1" t="s">
        <v>82</v>
      </c>
    </row>
    <row r="1871" spans="1:7" hidden="1" x14ac:dyDescent="0.3">
      <c r="A1871" s="1">
        <v>3061</v>
      </c>
      <c r="B1871" s="1" t="s">
        <v>4226</v>
      </c>
      <c r="C1871" s="1" t="s">
        <v>4227</v>
      </c>
      <c r="D1871" s="1" t="s">
        <v>4228</v>
      </c>
      <c r="E1871" s="1" t="s">
        <v>68</v>
      </c>
      <c r="F1871" s="1">
        <v>0</v>
      </c>
      <c r="G1871" s="1" t="s">
        <v>82</v>
      </c>
    </row>
    <row r="1872" spans="1:7" hidden="1" x14ac:dyDescent="0.3">
      <c r="A1872" s="1">
        <v>3062</v>
      </c>
      <c r="B1872" s="1" t="s">
        <v>4229</v>
      </c>
      <c r="C1872" s="1" t="s">
        <v>4230</v>
      </c>
      <c r="D1872" s="1" t="s">
        <v>2184</v>
      </c>
      <c r="E1872" s="1" t="s">
        <v>1114</v>
      </c>
      <c r="F1872" s="1">
        <v>0</v>
      </c>
      <c r="G1872" s="1" t="s">
        <v>82</v>
      </c>
    </row>
    <row r="1873" spans="1:7" hidden="1" x14ac:dyDescent="0.3">
      <c r="A1873" s="1">
        <v>3063</v>
      </c>
      <c r="B1873" s="1" t="s">
        <v>4231</v>
      </c>
      <c r="C1873" s="1" t="s">
        <v>4232</v>
      </c>
      <c r="D1873" s="1" t="s">
        <v>278</v>
      </c>
      <c r="E1873" s="1" t="s">
        <v>1327</v>
      </c>
      <c r="F1873" s="1">
        <v>1</v>
      </c>
      <c r="G1873" s="1" t="s">
        <v>143</v>
      </c>
    </row>
    <row r="1874" spans="1:7" hidden="1" x14ac:dyDescent="0.3">
      <c r="A1874" s="1">
        <v>3064</v>
      </c>
      <c r="B1874" s="1" t="s">
        <v>4233</v>
      </c>
      <c r="C1874" s="1" t="s">
        <v>4234</v>
      </c>
      <c r="D1874" s="1" t="s">
        <v>278</v>
      </c>
      <c r="E1874" s="1" t="s">
        <v>255</v>
      </c>
      <c r="F1874" s="1">
        <v>0</v>
      </c>
      <c r="G1874" s="1" t="s">
        <v>82</v>
      </c>
    </row>
    <row r="1875" spans="1:7" hidden="1" x14ac:dyDescent="0.3">
      <c r="A1875" s="1">
        <v>3065</v>
      </c>
      <c r="B1875" s="1" t="s">
        <v>4235</v>
      </c>
      <c r="C1875" s="1" t="s">
        <v>4236</v>
      </c>
      <c r="D1875" s="1" t="s">
        <v>422</v>
      </c>
      <c r="E1875" s="1" t="s">
        <v>147</v>
      </c>
      <c r="F1875" s="1">
        <v>0</v>
      </c>
      <c r="G1875" s="1" t="s">
        <v>82</v>
      </c>
    </row>
    <row r="1876" spans="1:7" hidden="1" x14ac:dyDescent="0.3">
      <c r="A1876" s="1">
        <v>3066</v>
      </c>
      <c r="B1876" s="1" t="s">
        <v>4237</v>
      </c>
      <c r="C1876" s="1" t="s">
        <v>4238</v>
      </c>
      <c r="D1876" s="1" t="s">
        <v>345</v>
      </c>
      <c r="E1876" s="1" t="s">
        <v>331</v>
      </c>
      <c r="F1876" s="1">
        <v>0</v>
      </c>
      <c r="G1876" s="1" t="s">
        <v>82</v>
      </c>
    </row>
    <row r="1877" spans="1:7" hidden="1" x14ac:dyDescent="0.3">
      <c r="A1877" s="1">
        <v>3067</v>
      </c>
      <c r="B1877" s="1" t="s">
        <v>4239</v>
      </c>
      <c r="C1877" s="1" t="s">
        <v>4240</v>
      </c>
      <c r="D1877" s="1" t="s">
        <v>278</v>
      </c>
      <c r="E1877" s="1" t="s">
        <v>147</v>
      </c>
      <c r="F1877" s="1">
        <v>0</v>
      </c>
      <c r="G1877" s="1" t="s">
        <v>82</v>
      </c>
    </row>
    <row r="1878" spans="1:7" hidden="1" x14ac:dyDescent="0.3">
      <c r="A1878" s="1">
        <v>3068</v>
      </c>
      <c r="B1878" s="1" t="s">
        <v>4241</v>
      </c>
      <c r="C1878" s="1" t="s">
        <v>4242</v>
      </c>
      <c r="D1878" s="1" t="s">
        <v>422</v>
      </c>
      <c r="E1878" s="1" t="s">
        <v>255</v>
      </c>
      <c r="F1878" s="1">
        <v>0</v>
      </c>
      <c r="G1878" s="1" t="s">
        <v>82</v>
      </c>
    </row>
    <row r="1879" spans="1:7" hidden="1" x14ac:dyDescent="0.3">
      <c r="A1879" s="1">
        <v>3069</v>
      </c>
      <c r="B1879" s="1" t="s">
        <v>4243</v>
      </c>
      <c r="C1879" s="1" t="s">
        <v>4244</v>
      </c>
      <c r="D1879" s="1" t="s">
        <v>422</v>
      </c>
      <c r="E1879" s="1" t="s">
        <v>340</v>
      </c>
      <c r="F1879" s="1">
        <v>0</v>
      </c>
      <c r="G1879" s="1" t="s">
        <v>82</v>
      </c>
    </row>
    <row r="1880" spans="1:7" hidden="1" x14ac:dyDescent="0.3">
      <c r="A1880" s="1">
        <v>3072</v>
      </c>
      <c r="B1880" s="1" t="s">
        <v>4245</v>
      </c>
      <c r="C1880" s="1" t="s">
        <v>4246</v>
      </c>
      <c r="D1880" s="1" t="s">
        <v>2075</v>
      </c>
      <c r="E1880" s="1" t="s">
        <v>111</v>
      </c>
      <c r="F1880" s="1">
        <v>0</v>
      </c>
      <c r="G1880" s="1" t="s">
        <v>82</v>
      </c>
    </row>
    <row r="1881" spans="1:7" hidden="1" x14ac:dyDescent="0.3">
      <c r="A1881" s="1">
        <v>3074</v>
      </c>
      <c r="B1881" s="1" t="s">
        <v>4247</v>
      </c>
      <c r="C1881" s="1" t="s">
        <v>4248</v>
      </c>
      <c r="D1881" s="1" t="s">
        <v>422</v>
      </c>
      <c r="E1881" s="1" t="s">
        <v>340</v>
      </c>
      <c r="F1881" s="1">
        <v>0</v>
      </c>
      <c r="G1881" s="1" t="s">
        <v>82</v>
      </c>
    </row>
    <row r="1882" spans="1:7" hidden="1" x14ac:dyDescent="0.3">
      <c r="A1882" s="1">
        <v>3075</v>
      </c>
      <c r="B1882" s="1" t="s">
        <v>4249</v>
      </c>
      <c r="C1882" s="1" t="s">
        <v>4250</v>
      </c>
      <c r="D1882" s="1" t="s">
        <v>2189</v>
      </c>
      <c r="E1882" s="1" t="s">
        <v>1114</v>
      </c>
      <c r="F1882" s="1">
        <v>0</v>
      </c>
      <c r="G1882" s="1" t="s">
        <v>82</v>
      </c>
    </row>
    <row r="1883" spans="1:7" hidden="1" x14ac:dyDescent="0.3">
      <c r="A1883" s="1">
        <v>3076</v>
      </c>
      <c r="B1883" s="1" t="s">
        <v>4251</v>
      </c>
      <c r="C1883" s="1" t="s">
        <v>4252</v>
      </c>
      <c r="D1883" s="1" t="s">
        <v>278</v>
      </c>
      <c r="E1883" s="1" t="s">
        <v>1114</v>
      </c>
      <c r="F1883" s="1">
        <v>0</v>
      </c>
      <c r="G1883" s="1" t="s">
        <v>82</v>
      </c>
    </row>
    <row r="1884" spans="1:7" hidden="1" x14ac:dyDescent="0.3">
      <c r="A1884" s="1">
        <v>3077</v>
      </c>
      <c r="B1884" s="1" t="s">
        <v>4253</v>
      </c>
      <c r="C1884" s="1" t="s">
        <v>4254</v>
      </c>
      <c r="D1884" s="1" t="s">
        <v>422</v>
      </c>
      <c r="E1884" s="1" t="s">
        <v>340</v>
      </c>
      <c r="F1884" s="1">
        <v>0</v>
      </c>
      <c r="G1884" s="1" t="s">
        <v>82</v>
      </c>
    </row>
    <row r="1885" spans="1:7" hidden="1" x14ac:dyDescent="0.3">
      <c r="A1885" s="1">
        <v>3078</v>
      </c>
      <c r="B1885" s="1" t="s">
        <v>4255</v>
      </c>
      <c r="C1885" s="1" t="s">
        <v>4256</v>
      </c>
      <c r="D1885" s="1" t="s">
        <v>422</v>
      </c>
      <c r="E1885" s="1" t="s">
        <v>147</v>
      </c>
      <c r="F1885" s="1">
        <v>0</v>
      </c>
      <c r="G1885" s="1" t="s">
        <v>82</v>
      </c>
    </row>
    <row r="1886" spans="1:7" hidden="1" x14ac:dyDescent="0.3">
      <c r="A1886" s="1">
        <v>3079</v>
      </c>
      <c r="B1886" s="1" t="s">
        <v>4257</v>
      </c>
      <c r="C1886" s="1" t="s">
        <v>4258</v>
      </c>
      <c r="D1886" s="1" t="s">
        <v>422</v>
      </c>
      <c r="E1886" s="1" t="s">
        <v>147</v>
      </c>
      <c r="F1886" s="1">
        <v>0</v>
      </c>
      <c r="G1886" s="1" t="s">
        <v>82</v>
      </c>
    </row>
    <row r="1887" spans="1:7" hidden="1" x14ac:dyDescent="0.3">
      <c r="A1887" s="1">
        <v>3080</v>
      </c>
      <c r="B1887" s="1" t="s">
        <v>4259</v>
      </c>
      <c r="C1887" s="1" t="s">
        <v>4260</v>
      </c>
      <c r="D1887" s="1" t="s">
        <v>422</v>
      </c>
      <c r="E1887" s="1" t="s">
        <v>147</v>
      </c>
      <c r="F1887" s="1">
        <v>0</v>
      </c>
      <c r="G1887" s="1" t="s">
        <v>82</v>
      </c>
    </row>
    <row r="1888" spans="1:7" hidden="1" x14ac:dyDescent="0.3">
      <c r="A1888" s="1">
        <v>3081</v>
      </c>
      <c r="B1888" s="1" t="s">
        <v>4261</v>
      </c>
      <c r="C1888" s="1" t="s">
        <v>4262</v>
      </c>
      <c r="D1888" s="1" t="s">
        <v>422</v>
      </c>
      <c r="E1888" s="1" t="s">
        <v>1327</v>
      </c>
      <c r="F1888" s="1">
        <v>0</v>
      </c>
      <c r="G1888" s="1" t="s">
        <v>82</v>
      </c>
    </row>
    <row r="1889" spans="1:7" hidden="1" x14ac:dyDescent="0.3">
      <c r="A1889" s="1">
        <v>3082</v>
      </c>
      <c r="B1889" s="1" t="s">
        <v>4263</v>
      </c>
      <c r="C1889" s="1" t="s">
        <v>4264</v>
      </c>
      <c r="D1889" s="1" t="s">
        <v>922</v>
      </c>
      <c r="E1889" s="1" t="s">
        <v>645</v>
      </c>
      <c r="F1889" s="1">
        <v>0</v>
      </c>
      <c r="G1889" s="1" t="s">
        <v>82</v>
      </c>
    </row>
    <row r="1890" spans="1:7" hidden="1" x14ac:dyDescent="0.3">
      <c r="A1890" s="1">
        <v>3083</v>
      </c>
      <c r="B1890" s="1" t="s">
        <v>4265</v>
      </c>
      <c r="C1890" s="1" t="s">
        <v>4266</v>
      </c>
      <c r="D1890" s="1" t="s">
        <v>2373</v>
      </c>
      <c r="E1890" s="1" t="s">
        <v>68</v>
      </c>
      <c r="F1890" s="1">
        <v>0</v>
      </c>
      <c r="G1890" s="1" t="s">
        <v>82</v>
      </c>
    </row>
    <row r="1891" spans="1:7" hidden="1" x14ac:dyDescent="0.3">
      <c r="A1891" s="1">
        <v>3085</v>
      </c>
      <c r="B1891" s="1" t="s">
        <v>4267</v>
      </c>
      <c r="C1891" s="1" t="s">
        <v>4268</v>
      </c>
      <c r="D1891" s="1" t="s">
        <v>591</v>
      </c>
      <c r="E1891" s="1" t="s">
        <v>111</v>
      </c>
      <c r="F1891" s="1">
        <v>0</v>
      </c>
      <c r="G1891" s="1" t="s">
        <v>82</v>
      </c>
    </row>
    <row r="1892" spans="1:7" hidden="1" x14ac:dyDescent="0.3">
      <c r="A1892" s="1">
        <v>3086</v>
      </c>
      <c r="B1892" s="1" t="s">
        <v>4269</v>
      </c>
      <c r="C1892" s="1" t="s">
        <v>4270</v>
      </c>
      <c r="D1892" s="1" t="s">
        <v>1616</v>
      </c>
      <c r="E1892" s="1" t="s">
        <v>111</v>
      </c>
      <c r="F1892" s="1">
        <v>0</v>
      </c>
      <c r="G1892" s="1" t="s">
        <v>82</v>
      </c>
    </row>
    <row r="1893" spans="1:7" hidden="1" x14ac:dyDescent="0.3">
      <c r="A1893" s="1">
        <v>3087</v>
      </c>
      <c r="B1893" s="1" t="s">
        <v>4271</v>
      </c>
      <c r="C1893" s="1" t="s">
        <v>4272</v>
      </c>
      <c r="D1893" s="1" t="s">
        <v>422</v>
      </c>
      <c r="E1893" s="1" t="s">
        <v>259</v>
      </c>
      <c r="F1893" s="1">
        <v>0</v>
      </c>
      <c r="G1893" s="1" t="s">
        <v>82</v>
      </c>
    </row>
    <row r="1894" spans="1:7" hidden="1" x14ac:dyDescent="0.3">
      <c r="A1894" s="1">
        <v>3088</v>
      </c>
      <c r="B1894" s="1" t="s">
        <v>4273</v>
      </c>
      <c r="C1894" s="1" t="s">
        <v>4274</v>
      </c>
      <c r="D1894" s="1" t="s">
        <v>3149</v>
      </c>
      <c r="E1894" s="1" t="s">
        <v>142</v>
      </c>
      <c r="F1894" s="1">
        <v>0</v>
      </c>
      <c r="G1894" s="1" t="s">
        <v>82</v>
      </c>
    </row>
    <row r="1895" spans="1:7" hidden="1" x14ac:dyDescent="0.3">
      <c r="A1895" s="1">
        <v>3089</v>
      </c>
      <c r="B1895" s="1" t="s">
        <v>4275</v>
      </c>
      <c r="C1895" s="1" t="s">
        <v>4276</v>
      </c>
      <c r="D1895" s="1" t="s">
        <v>2010</v>
      </c>
      <c r="E1895" s="1" t="s">
        <v>68</v>
      </c>
      <c r="F1895" s="1">
        <v>0</v>
      </c>
      <c r="G1895" s="1" t="s">
        <v>82</v>
      </c>
    </row>
    <row r="1896" spans="1:7" hidden="1" x14ac:dyDescent="0.3">
      <c r="A1896" s="1">
        <v>3090</v>
      </c>
      <c r="B1896" s="1" t="s">
        <v>4277</v>
      </c>
      <c r="C1896" s="1" t="s">
        <v>4278</v>
      </c>
      <c r="D1896" s="1" t="s">
        <v>422</v>
      </c>
      <c r="E1896" s="1" t="s">
        <v>147</v>
      </c>
      <c r="F1896" s="1">
        <v>0</v>
      </c>
      <c r="G1896" s="1" t="s">
        <v>82</v>
      </c>
    </row>
    <row r="1897" spans="1:7" hidden="1" x14ac:dyDescent="0.3">
      <c r="A1897" s="1">
        <v>3091</v>
      </c>
      <c r="B1897" s="1" t="s">
        <v>4279</v>
      </c>
      <c r="C1897" s="1" t="s">
        <v>4280</v>
      </c>
      <c r="D1897" s="1" t="s">
        <v>422</v>
      </c>
      <c r="E1897" s="1" t="s">
        <v>147</v>
      </c>
      <c r="F1897" s="1">
        <v>0</v>
      </c>
      <c r="G1897" s="1" t="s">
        <v>82</v>
      </c>
    </row>
    <row r="1898" spans="1:7" hidden="1" x14ac:dyDescent="0.3">
      <c r="A1898" s="1">
        <v>3092</v>
      </c>
      <c r="B1898" s="1" t="s">
        <v>4281</v>
      </c>
      <c r="C1898" s="1" t="s">
        <v>4282</v>
      </c>
      <c r="D1898" s="1" t="s">
        <v>252</v>
      </c>
      <c r="E1898" s="1" t="s">
        <v>1327</v>
      </c>
      <c r="F1898" s="1">
        <v>0</v>
      </c>
      <c r="G1898" s="1" t="s">
        <v>82</v>
      </c>
    </row>
    <row r="1899" spans="1:7" hidden="1" x14ac:dyDescent="0.3">
      <c r="A1899" s="1">
        <v>3093</v>
      </c>
      <c r="B1899" s="1" t="s">
        <v>4283</v>
      </c>
      <c r="C1899" s="1" t="s">
        <v>4284</v>
      </c>
      <c r="D1899" s="1" t="s">
        <v>422</v>
      </c>
      <c r="E1899" s="1" t="s">
        <v>1327</v>
      </c>
      <c r="F1899" s="1">
        <v>0</v>
      </c>
      <c r="G1899" s="1" t="s">
        <v>82</v>
      </c>
    </row>
    <row r="1900" spans="1:7" hidden="1" x14ac:dyDescent="0.3">
      <c r="A1900" s="1">
        <v>3094</v>
      </c>
      <c r="B1900" s="1" t="s">
        <v>4285</v>
      </c>
      <c r="C1900" s="1" t="s">
        <v>4286</v>
      </c>
      <c r="D1900" s="1" t="s">
        <v>422</v>
      </c>
      <c r="E1900" s="1" t="s">
        <v>1327</v>
      </c>
      <c r="F1900" s="1">
        <v>0</v>
      </c>
      <c r="G1900" s="1" t="s">
        <v>82</v>
      </c>
    </row>
    <row r="1901" spans="1:7" hidden="1" x14ac:dyDescent="0.3">
      <c r="A1901" s="1">
        <v>3095</v>
      </c>
      <c r="B1901" s="1" t="s">
        <v>4287</v>
      </c>
      <c r="C1901" s="1" t="s">
        <v>4288</v>
      </c>
      <c r="D1901" s="1" t="s">
        <v>1552</v>
      </c>
      <c r="E1901" s="1" t="s">
        <v>111</v>
      </c>
      <c r="F1901" s="1">
        <v>0</v>
      </c>
      <c r="G1901" s="1" t="s">
        <v>82</v>
      </c>
    </row>
    <row r="1902" spans="1:7" hidden="1" x14ac:dyDescent="0.3">
      <c r="A1902" s="1">
        <v>3096</v>
      </c>
      <c r="B1902" s="1" t="s">
        <v>4289</v>
      </c>
      <c r="C1902" s="1" t="s">
        <v>4290</v>
      </c>
      <c r="D1902" s="1" t="s">
        <v>922</v>
      </c>
      <c r="E1902" s="1" t="s">
        <v>645</v>
      </c>
      <c r="F1902" s="1">
        <v>0</v>
      </c>
      <c r="G1902" s="1" t="s">
        <v>82</v>
      </c>
    </row>
    <row r="1903" spans="1:7" hidden="1" x14ac:dyDescent="0.3">
      <c r="A1903" s="1">
        <v>3097</v>
      </c>
      <c r="B1903" s="1" t="s">
        <v>4291</v>
      </c>
      <c r="C1903" s="1" t="s">
        <v>4292</v>
      </c>
      <c r="D1903" s="1" t="s">
        <v>591</v>
      </c>
      <c r="E1903" s="1" t="s">
        <v>111</v>
      </c>
      <c r="F1903" s="1">
        <v>0</v>
      </c>
      <c r="G1903" s="1" t="s">
        <v>82</v>
      </c>
    </row>
    <row r="1904" spans="1:7" hidden="1" x14ac:dyDescent="0.3">
      <c r="A1904" s="1">
        <v>3098</v>
      </c>
      <c r="B1904" s="1" t="s">
        <v>4293</v>
      </c>
      <c r="C1904" s="1" t="s">
        <v>4294</v>
      </c>
      <c r="D1904" s="1" t="s">
        <v>1298</v>
      </c>
      <c r="E1904" s="1" t="s">
        <v>111</v>
      </c>
      <c r="F1904" s="1">
        <v>0</v>
      </c>
      <c r="G1904" s="1" t="s">
        <v>82</v>
      </c>
    </row>
    <row r="1905" spans="1:7" hidden="1" x14ac:dyDescent="0.3">
      <c r="A1905" s="1">
        <v>3099</v>
      </c>
      <c r="B1905" s="1" t="s">
        <v>4295</v>
      </c>
      <c r="C1905" s="1" t="s">
        <v>4296</v>
      </c>
      <c r="D1905" s="1" t="s">
        <v>2189</v>
      </c>
      <c r="E1905" s="1" t="s">
        <v>1114</v>
      </c>
      <c r="F1905" s="1">
        <v>0</v>
      </c>
      <c r="G1905" s="1" t="s">
        <v>82</v>
      </c>
    </row>
    <row r="1906" spans="1:7" hidden="1" x14ac:dyDescent="0.3">
      <c r="A1906" s="1">
        <v>3100</v>
      </c>
      <c r="B1906" s="1" t="s">
        <v>4297</v>
      </c>
      <c r="C1906" s="1" t="s">
        <v>4298</v>
      </c>
      <c r="D1906" s="1" t="s">
        <v>422</v>
      </c>
      <c r="E1906" s="1" t="s">
        <v>1327</v>
      </c>
      <c r="F1906" s="1">
        <v>0</v>
      </c>
      <c r="G1906" s="1" t="s">
        <v>82</v>
      </c>
    </row>
    <row r="1907" spans="1:7" hidden="1" x14ac:dyDescent="0.3">
      <c r="A1907" s="1">
        <v>3101</v>
      </c>
      <c r="B1907" s="1" t="s">
        <v>4299</v>
      </c>
      <c r="C1907" s="1" t="s">
        <v>4300</v>
      </c>
      <c r="D1907" s="1" t="s">
        <v>252</v>
      </c>
      <c r="E1907" s="1" t="s">
        <v>1327</v>
      </c>
      <c r="F1907" s="1">
        <v>0</v>
      </c>
      <c r="G1907" s="1" t="s">
        <v>82</v>
      </c>
    </row>
    <row r="1908" spans="1:7" hidden="1" x14ac:dyDescent="0.3">
      <c r="A1908" s="1">
        <v>3102</v>
      </c>
      <c r="B1908" s="1" t="s">
        <v>4301</v>
      </c>
      <c r="C1908" s="1" t="s">
        <v>4302</v>
      </c>
      <c r="D1908" s="1" t="s">
        <v>3160</v>
      </c>
      <c r="E1908" s="1" t="s">
        <v>662</v>
      </c>
      <c r="F1908" s="1">
        <v>0</v>
      </c>
      <c r="G1908" s="1" t="s">
        <v>82</v>
      </c>
    </row>
    <row r="1909" spans="1:7" hidden="1" x14ac:dyDescent="0.3">
      <c r="A1909" s="1">
        <v>3103</v>
      </c>
      <c r="B1909" s="1" t="s">
        <v>4303</v>
      </c>
      <c r="C1909" s="1" t="s">
        <v>4304</v>
      </c>
      <c r="D1909" s="1" t="s">
        <v>3160</v>
      </c>
      <c r="E1909" s="1" t="s">
        <v>662</v>
      </c>
      <c r="F1909" s="1">
        <v>0</v>
      </c>
      <c r="G1909" s="1" t="s">
        <v>82</v>
      </c>
    </row>
    <row r="1910" spans="1:7" hidden="1" x14ac:dyDescent="0.3">
      <c r="A1910" s="1">
        <v>3104</v>
      </c>
      <c r="B1910" s="1" t="s">
        <v>4305</v>
      </c>
      <c r="C1910" s="1" t="s">
        <v>4306</v>
      </c>
      <c r="D1910" s="1" t="s">
        <v>252</v>
      </c>
      <c r="E1910" s="1" t="s">
        <v>340</v>
      </c>
      <c r="F1910" s="1">
        <v>0</v>
      </c>
      <c r="G1910" s="1" t="s">
        <v>82</v>
      </c>
    </row>
    <row r="1911" spans="1:7" hidden="1" x14ac:dyDescent="0.3">
      <c r="A1911" s="1">
        <v>3105</v>
      </c>
      <c r="B1911" s="1" t="s">
        <v>4307</v>
      </c>
      <c r="C1911" s="1" t="s">
        <v>4308</v>
      </c>
      <c r="D1911" s="1" t="s">
        <v>252</v>
      </c>
      <c r="E1911" s="1" t="s">
        <v>1327</v>
      </c>
      <c r="F1911" s="1">
        <v>0</v>
      </c>
      <c r="G1911" s="1" t="s">
        <v>82</v>
      </c>
    </row>
    <row r="1912" spans="1:7" x14ac:dyDescent="0.3">
      <c r="A1912" s="1">
        <v>3106</v>
      </c>
      <c r="B1912" s="1" t="s">
        <v>4309</v>
      </c>
      <c r="C1912" s="1" t="s">
        <v>4310</v>
      </c>
      <c r="D1912" s="1" t="s">
        <v>1914</v>
      </c>
      <c r="E1912" s="1" t="s">
        <v>215</v>
      </c>
      <c r="F1912" s="1">
        <v>0</v>
      </c>
      <c r="G1912" s="1" t="s">
        <v>82</v>
      </c>
    </row>
    <row r="1913" spans="1:7" hidden="1" x14ac:dyDescent="0.3">
      <c r="A1913" s="1">
        <v>3107</v>
      </c>
      <c r="B1913" s="1" t="s">
        <v>4311</v>
      </c>
      <c r="C1913" s="1" t="s">
        <v>4312</v>
      </c>
      <c r="D1913" s="1" t="s">
        <v>422</v>
      </c>
      <c r="E1913" s="1" t="s">
        <v>340</v>
      </c>
      <c r="F1913" s="1">
        <v>0</v>
      </c>
      <c r="G1913" s="1" t="s">
        <v>82</v>
      </c>
    </row>
    <row r="1914" spans="1:7" hidden="1" x14ac:dyDescent="0.3">
      <c r="A1914" s="1">
        <v>3108</v>
      </c>
      <c r="B1914" s="1" t="s">
        <v>4313</v>
      </c>
      <c r="C1914" s="1" t="s">
        <v>4314</v>
      </c>
      <c r="D1914" s="1" t="s">
        <v>779</v>
      </c>
      <c r="E1914" s="1" t="s">
        <v>255</v>
      </c>
      <c r="F1914" s="1">
        <v>0</v>
      </c>
      <c r="G1914" s="1" t="s">
        <v>82</v>
      </c>
    </row>
    <row r="1915" spans="1:7" hidden="1" x14ac:dyDescent="0.3">
      <c r="A1915" s="1">
        <v>3109</v>
      </c>
      <c r="B1915" s="1" t="s">
        <v>4315</v>
      </c>
      <c r="C1915" s="1" t="s">
        <v>4316</v>
      </c>
      <c r="D1915" s="1" t="s">
        <v>2439</v>
      </c>
      <c r="E1915" s="1" t="s">
        <v>142</v>
      </c>
      <c r="F1915" s="1">
        <v>1</v>
      </c>
      <c r="G1915" s="1" t="s">
        <v>143</v>
      </c>
    </row>
    <row r="1916" spans="1:7" hidden="1" x14ac:dyDescent="0.3">
      <c r="A1916" s="1">
        <v>3110</v>
      </c>
      <c r="B1916" s="1" t="s">
        <v>4317</v>
      </c>
      <c r="C1916" s="1" t="s">
        <v>4318</v>
      </c>
      <c r="D1916" s="1" t="s">
        <v>345</v>
      </c>
      <c r="E1916" s="1" t="s">
        <v>331</v>
      </c>
      <c r="F1916" s="1">
        <v>0</v>
      </c>
      <c r="G1916" s="1" t="s">
        <v>82</v>
      </c>
    </row>
    <row r="1917" spans="1:7" hidden="1" x14ac:dyDescent="0.3">
      <c r="A1917" s="1">
        <v>3111</v>
      </c>
      <c r="B1917" s="1" t="s">
        <v>4319</v>
      </c>
      <c r="C1917" s="1" t="s">
        <v>4320</v>
      </c>
      <c r="D1917" s="1" t="s">
        <v>2184</v>
      </c>
      <c r="E1917" s="1" t="s">
        <v>1114</v>
      </c>
      <c r="F1917" s="1">
        <v>0</v>
      </c>
      <c r="G1917" s="1" t="s">
        <v>82</v>
      </c>
    </row>
    <row r="1918" spans="1:7" hidden="1" x14ac:dyDescent="0.3">
      <c r="A1918" s="1">
        <v>3112</v>
      </c>
      <c r="B1918" s="1" t="s">
        <v>4321</v>
      </c>
      <c r="C1918" s="1" t="s">
        <v>4322</v>
      </c>
      <c r="D1918" s="1" t="s">
        <v>252</v>
      </c>
      <c r="E1918" s="1" t="s">
        <v>259</v>
      </c>
      <c r="F1918" s="1">
        <v>0</v>
      </c>
      <c r="G1918" s="1" t="s">
        <v>82</v>
      </c>
    </row>
    <row r="1919" spans="1:7" hidden="1" x14ac:dyDescent="0.3">
      <c r="A1919" s="1">
        <v>3113</v>
      </c>
      <c r="B1919" s="1" t="s">
        <v>4323</v>
      </c>
      <c r="C1919" s="1" t="s">
        <v>4324</v>
      </c>
      <c r="D1919" s="1" t="s">
        <v>1033</v>
      </c>
      <c r="E1919" s="1" t="s">
        <v>111</v>
      </c>
      <c r="F1919" s="1">
        <v>0</v>
      </c>
      <c r="G1919" s="1" t="s">
        <v>82</v>
      </c>
    </row>
    <row r="1920" spans="1:7" x14ac:dyDescent="0.3">
      <c r="A1920" s="1">
        <v>3114</v>
      </c>
      <c r="B1920" s="1" t="s">
        <v>4325</v>
      </c>
      <c r="C1920" s="1" t="s">
        <v>4326</v>
      </c>
      <c r="D1920" s="1" t="s">
        <v>429</v>
      </c>
      <c r="E1920" s="1" t="s">
        <v>215</v>
      </c>
      <c r="F1920" s="1">
        <v>0</v>
      </c>
      <c r="G1920" s="1" t="s">
        <v>82</v>
      </c>
    </row>
    <row r="1921" spans="1:7" hidden="1" x14ac:dyDescent="0.3">
      <c r="A1921" s="1">
        <v>3115</v>
      </c>
      <c r="B1921" s="1" t="s">
        <v>4327</v>
      </c>
      <c r="C1921" s="1" t="s">
        <v>4328</v>
      </c>
      <c r="D1921" s="1" t="s">
        <v>230</v>
      </c>
      <c r="E1921" s="1" t="s">
        <v>197</v>
      </c>
      <c r="F1921" s="1">
        <v>0</v>
      </c>
      <c r="G1921" s="1" t="s">
        <v>82</v>
      </c>
    </row>
    <row r="1922" spans="1:7" hidden="1" x14ac:dyDescent="0.3">
      <c r="A1922" s="1">
        <v>3116</v>
      </c>
      <c r="B1922" s="1" t="s">
        <v>4329</v>
      </c>
      <c r="C1922" s="1" t="s">
        <v>4330</v>
      </c>
      <c r="D1922" s="1" t="s">
        <v>4331</v>
      </c>
      <c r="E1922" s="1" t="s">
        <v>65</v>
      </c>
      <c r="F1922" s="1">
        <v>0</v>
      </c>
      <c r="G1922" s="1" t="s">
        <v>82</v>
      </c>
    </row>
    <row r="1923" spans="1:7" hidden="1" x14ac:dyDescent="0.3">
      <c r="A1923" s="1">
        <v>3117</v>
      </c>
      <c r="B1923" s="1" t="s">
        <v>4332</v>
      </c>
      <c r="C1923" s="1" t="s">
        <v>4333</v>
      </c>
      <c r="D1923" s="1" t="s">
        <v>4334</v>
      </c>
      <c r="E1923" s="1" t="s">
        <v>103</v>
      </c>
      <c r="F1923" s="1">
        <v>0</v>
      </c>
      <c r="G1923" s="1" t="s">
        <v>82</v>
      </c>
    </row>
    <row r="1924" spans="1:7" hidden="1" x14ac:dyDescent="0.3">
      <c r="A1924" s="1">
        <v>3118</v>
      </c>
      <c r="B1924" s="1" t="s">
        <v>4335</v>
      </c>
      <c r="C1924" s="1" t="s">
        <v>4336</v>
      </c>
      <c r="D1924" s="1" t="s">
        <v>422</v>
      </c>
      <c r="E1924" s="1" t="s">
        <v>1327</v>
      </c>
      <c r="F1924" s="1">
        <v>1</v>
      </c>
      <c r="G1924" s="1" t="s">
        <v>143</v>
      </c>
    </row>
    <row r="1925" spans="1:7" hidden="1" x14ac:dyDescent="0.3">
      <c r="A1925" s="1">
        <v>3119</v>
      </c>
      <c r="B1925" s="1" t="s">
        <v>4337</v>
      </c>
      <c r="C1925" s="1" t="s">
        <v>4338</v>
      </c>
      <c r="D1925" s="1" t="s">
        <v>252</v>
      </c>
      <c r="E1925" s="1" t="s">
        <v>259</v>
      </c>
      <c r="F1925" s="1">
        <v>1</v>
      </c>
      <c r="G1925" s="1" t="s">
        <v>143</v>
      </c>
    </row>
    <row r="1926" spans="1:7" hidden="1" x14ac:dyDescent="0.3">
      <c r="A1926" s="1">
        <v>3120</v>
      </c>
      <c r="B1926" s="1" t="s">
        <v>4339</v>
      </c>
      <c r="C1926" s="1" t="s">
        <v>4340</v>
      </c>
      <c r="D1926" s="1" t="s">
        <v>422</v>
      </c>
      <c r="E1926" s="1" t="s">
        <v>259</v>
      </c>
      <c r="F1926" s="1">
        <v>0</v>
      </c>
      <c r="G1926" s="1" t="s">
        <v>82</v>
      </c>
    </row>
    <row r="1927" spans="1:7" hidden="1" x14ac:dyDescent="0.3">
      <c r="A1927" s="1">
        <v>3121</v>
      </c>
      <c r="B1927" s="1" t="s">
        <v>4341</v>
      </c>
      <c r="C1927" s="1" t="s">
        <v>4342</v>
      </c>
      <c r="D1927" s="1" t="s">
        <v>422</v>
      </c>
      <c r="E1927" s="1" t="s">
        <v>1327</v>
      </c>
      <c r="F1927" s="1">
        <v>0</v>
      </c>
      <c r="G1927" s="1" t="s">
        <v>82</v>
      </c>
    </row>
    <row r="1928" spans="1:7" hidden="1" x14ac:dyDescent="0.3">
      <c r="A1928" s="1">
        <v>3122</v>
      </c>
      <c r="B1928" s="1" t="s">
        <v>4343</v>
      </c>
      <c r="C1928" s="1" t="s">
        <v>4344</v>
      </c>
      <c r="D1928" s="1" t="s">
        <v>336</v>
      </c>
      <c r="E1928" s="1" t="s">
        <v>331</v>
      </c>
      <c r="F1928" s="1">
        <v>0</v>
      </c>
      <c r="G1928" s="1" t="s">
        <v>82</v>
      </c>
    </row>
    <row r="1929" spans="1:7" hidden="1" x14ac:dyDescent="0.3">
      <c r="A1929" s="1">
        <v>3123</v>
      </c>
      <c r="B1929" s="1" t="s">
        <v>4345</v>
      </c>
      <c r="C1929" s="1" t="s">
        <v>4346</v>
      </c>
      <c r="D1929" s="1" t="s">
        <v>422</v>
      </c>
      <c r="E1929" s="1" t="s">
        <v>1327</v>
      </c>
      <c r="F1929" s="1">
        <v>0</v>
      </c>
      <c r="G1929" s="1" t="s">
        <v>82</v>
      </c>
    </row>
    <row r="1930" spans="1:7" hidden="1" x14ac:dyDescent="0.3">
      <c r="A1930" s="1">
        <v>3124</v>
      </c>
      <c r="B1930" s="1" t="s">
        <v>4347</v>
      </c>
      <c r="C1930" s="1" t="s">
        <v>4348</v>
      </c>
      <c r="D1930" s="1" t="s">
        <v>278</v>
      </c>
      <c r="E1930" s="1" t="s">
        <v>255</v>
      </c>
      <c r="F1930" s="1">
        <v>0</v>
      </c>
      <c r="G1930" s="1" t="s">
        <v>82</v>
      </c>
    </row>
    <row r="1931" spans="1:7" hidden="1" x14ac:dyDescent="0.3">
      <c r="A1931" s="1">
        <v>3125</v>
      </c>
      <c r="B1931" s="1" t="s">
        <v>4349</v>
      </c>
      <c r="C1931" s="1" t="s">
        <v>4350</v>
      </c>
      <c r="D1931" s="1" t="s">
        <v>4351</v>
      </c>
      <c r="E1931" s="1" t="s">
        <v>170</v>
      </c>
      <c r="F1931" s="1">
        <v>0</v>
      </c>
      <c r="G1931" s="1" t="s">
        <v>82</v>
      </c>
    </row>
    <row r="1932" spans="1:7" hidden="1" x14ac:dyDescent="0.3">
      <c r="A1932" s="1">
        <v>3126</v>
      </c>
      <c r="B1932" s="1" t="s">
        <v>4352</v>
      </c>
      <c r="C1932" s="1" t="s">
        <v>4353</v>
      </c>
      <c r="D1932" s="1" t="s">
        <v>2189</v>
      </c>
      <c r="E1932" s="1" t="s">
        <v>1114</v>
      </c>
      <c r="F1932" s="1">
        <v>0</v>
      </c>
      <c r="G1932" s="1" t="s">
        <v>82</v>
      </c>
    </row>
    <row r="1933" spans="1:7" hidden="1" x14ac:dyDescent="0.3">
      <c r="A1933" s="1">
        <v>3127</v>
      </c>
      <c r="B1933" s="1" t="s">
        <v>4354</v>
      </c>
      <c r="C1933" s="1" t="s">
        <v>4355</v>
      </c>
      <c r="D1933" s="1" t="s">
        <v>422</v>
      </c>
      <c r="E1933" s="1" t="s">
        <v>147</v>
      </c>
      <c r="F1933" s="1">
        <v>0</v>
      </c>
      <c r="G1933" s="1" t="s">
        <v>82</v>
      </c>
    </row>
    <row r="1934" spans="1:7" hidden="1" x14ac:dyDescent="0.3">
      <c r="A1934" s="1">
        <v>3128</v>
      </c>
      <c r="B1934" s="1" t="s">
        <v>4356</v>
      </c>
      <c r="C1934" s="1" t="s">
        <v>4357</v>
      </c>
      <c r="D1934" s="1" t="s">
        <v>283</v>
      </c>
      <c r="E1934" s="1" t="s">
        <v>197</v>
      </c>
      <c r="F1934" s="1">
        <v>0</v>
      </c>
      <c r="G1934" s="1" t="s">
        <v>82</v>
      </c>
    </row>
    <row r="1935" spans="1:7" hidden="1" x14ac:dyDescent="0.3">
      <c r="A1935" s="1">
        <v>3129</v>
      </c>
      <c r="B1935" s="1" t="s">
        <v>4358</v>
      </c>
      <c r="C1935" s="1" t="s">
        <v>4359</v>
      </c>
      <c r="D1935" s="1" t="s">
        <v>4360</v>
      </c>
      <c r="E1935" s="1" t="s">
        <v>134</v>
      </c>
      <c r="F1935" s="1">
        <v>0</v>
      </c>
      <c r="G1935" s="1" t="s">
        <v>82</v>
      </c>
    </row>
    <row r="1936" spans="1:7" hidden="1" x14ac:dyDescent="0.3">
      <c r="A1936" s="1">
        <v>3130</v>
      </c>
      <c r="B1936" s="1" t="s">
        <v>4361</v>
      </c>
      <c r="C1936" s="1" t="s">
        <v>4362</v>
      </c>
      <c r="D1936" s="1" t="s">
        <v>4363</v>
      </c>
      <c r="E1936" s="1" t="s">
        <v>95</v>
      </c>
      <c r="F1936" s="1">
        <v>0</v>
      </c>
      <c r="G1936" s="1" t="s">
        <v>82</v>
      </c>
    </row>
    <row r="1937" spans="1:7" hidden="1" x14ac:dyDescent="0.3">
      <c r="A1937" s="1">
        <v>3131</v>
      </c>
      <c r="B1937" s="1" t="s">
        <v>4364</v>
      </c>
      <c r="C1937" s="1" t="s">
        <v>4365</v>
      </c>
      <c r="D1937" s="1" t="s">
        <v>422</v>
      </c>
      <c r="E1937" s="1" t="s">
        <v>147</v>
      </c>
      <c r="F1937" s="1">
        <v>0</v>
      </c>
      <c r="G1937" s="1" t="s">
        <v>82</v>
      </c>
    </row>
    <row r="1938" spans="1:7" hidden="1" x14ac:dyDescent="0.3">
      <c r="A1938" s="1">
        <v>3132</v>
      </c>
      <c r="B1938" s="1" t="s">
        <v>4366</v>
      </c>
      <c r="C1938" s="1" t="s">
        <v>4367</v>
      </c>
      <c r="D1938" s="1" t="s">
        <v>252</v>
      </c>
      <c r="E1938" s="1" t="s">
        <v>259</v>
      </c>
      <c r="F1938" s="1">
        <v>0</v>
      </c>
      <c r="G1938" s="1" t="s">
        <v>82</v>
      </c>
    </row>
    <row r="1939" spans="1:7" hidden="1" x14ac:dyDescent="0.3">
      <c r="A1939" s="1">
        <v>3133</v>
      </c>
      <c r="B1939" s="1" t="s">
        <v>4368</v>
      </c>
      <c r="C1939" s="1" t="s">
        <v>4369</v>
      </c>
      <c r="D1939" s="1" t="s">
        <v>336</v>
      </c>
      <c r="E1939" s="1" t="s">
        <v>331</v>
      </c>
      <c r="F1939" s="1">
        <v>0</v>
      </c>
      <c r="G1939" s="1" t="s">
        <v>82</v>
      </c>
    </row>
    <row r="1940" spans="1:7" hidden="1" x14ac:dyDescent="0.3">
      <c r="A1940" s="1">
        <v>3134</v>
      </c>
      <c r="B1940" s="1" t="s">
        <v>4370</v>
      </c>
      <c r="C1940" s="1" t="s">
        <v>4371</v>
      </c>
      <c r="D1940" s="1" t="s">
        <v>422</v>
      </c>
      <c r="E1940" s="1" t="s">
        <v>259</v>
      </c>
      <c r="F1940" s="1">
        <v>0</v>
      </c>
      <c r="G1940" s="1" t="s">
        <v>82</v>
      </c>
    </row>
    <row r="1941" spans="1:7" hidden="1" x14ac:dyDescent="0.3">
      <c r="A1941" s="1">
        <v>3135</v>
      </c>
      <c r="B1941" s="1" t="s">
        <v>4372</v>
      </c>
      <c r="C1941" s="1" t="s">
        <v>4373</v>
      </c>
      <c r="D1941" s="1" t="s">
        <v>422</v>
      </c>
      <c r="E1941" s="1" t="s">
        <v>259</v>
      </c>
      <c r="F1941" s="1">
        <v>0</v>
      </c>
      <c r="G1941" s="1" t="s">
        <v>82</v>
      </c>
    </row>
    <row r="1942" spans="1:7" hidden="1" x14ac:dyDescent="0.3">
      <c r="A1942" s="1">
        <v>3136</v>
      </c>
      <c r="B1942" s="1" t="s">
        <v>4374</v>
      </c>
      <c r="C1942" s="1" t="s">
        <v>4375</v>
      </c>
      <c r="D1942" s="1" t="s">
        <v>252</v>
      </c>
      <c r="E1942" s="1" t="s">
        <v>255</v>
      </c>
      <c r="F1942" s="1">
        <v>0</v>
      </c>
      <c r="G1942" s="1" t="s">
        <v>82</v>
      </c>
    </row>
    <row r="1943" spans="1:7" hidden="1" x14ac:dyDescent="0.3">
      <c r="A1943" s="1">
        <v>3137</v>
      </c>
      <c r="B1943" s="1" t="s">
        <v>4376</v>
      </c>
      <c r="C1943" s="1" t="s">
        <v>4377</v>
      </c>
      <c r="D1943" s="1" t="s">
        <v>252</v>
      </c>
      <c r="E1943" s="1" t="s">
        <v>255</v>
      </c>
      <c r="F1943" s="1">
        <v>0</v>
      </c>
      <c r="G1943" s="1" t="s">
        <v>82</v>
      </c>
    </row>
    <row r="1944" spans="1:7" hidden="1" x14ac:dyDescent="0.3">
      <c r="A1944" s="1">
        <v>3138</v>
      </c>
      <c r="B1944" s="1" t="s">
        <v>4378</v>
      </c>
      <c r="C1944" s="1" t="s">
        <v>4379</v>
      </c>
      <c r="D1944" s="1" t="s">
        <v>422</v>
      </c>
      <c r="E1944" s="1" t="s">
        <v>255</v>
      </c>
      <c r="F1944" s="1">
        <v>0</v>
      </c>
      <c r="G1944" s="1" t="s">
        <v>82</v>
      </c>
    </row>
    <row r="1945" spans="1:7" hidden="1" x14ac:dyDescent="0.3">
      <c r="A1945" s="1">
        <v>3139</v>
      </c>
      <c r="B1945" s="1" t="s">
        <v>4380</v>
      </c>
      <c r="C1945" s="1" t="s">
        <v>4381</v>
      </c>
      <c r="D1945" s="1" t="s">
        <v>278</v>
      </c>
      <c r="E1945" s="1" t="s">
        <v>1114</v>
      </c>
      <c r="F1945" s="1">
        <v>0</v>
      </c>
      <c r="G1945" s="1" t="s">
        <v>82</v>
      </c>
    </row>
    <row r="1946" spans="1:7" hidden="1" x14ac:dyDescent="0.3">
      <c r="A1946" s="1">
        <v>3140</v>
      </c>
      <c r="B1946" s="1" t="s">
        <v>4382</v>
      </c>
      <c r="C1946" s="1" t="s">
        <v>4383</v>
      </c>
      <c r="D1946" s="1" t="s">
        <v>422</v>
      </c>
      <c r="E1946" s="1" t="s">
        <v>255</v>
      </c>
      <c r="F1946" s="1">
        <v>0</v>
      </c>
      <c r="G1946" s="1" t="s">
        <v>82</v>
      </c>
    </row>
    <row r="1947" spans="1:7" hidden="1" x14ac:dyDescent="0.3">
      <c r="A1947" s="1">
        <v>3141</v>
      </c>
      <c r="B1947" s="1" t="s">
        <v>4384</v>
      </c>
      <c r="C1947" s="1" t="s">
        <v>4385</v>
      </c>
      <c r="D1947" s="1" t="s">
        <v>252</v>
      </c>
      <c r="E1947" s="1" t="s">
        <v>255</v>
      </c>
      <c r="F1947" s="1">
        <v>0</v>
      </c>
      <c r="G1947" s="1" t="s">
        <v>82</v>
      </c>
    </row>
    <row r="1948" spans="1:7" hidden="1" x14ac:dyDescent="0.3">
      <c r="A1948" s="1">
        <v>3142</v>
      </c>
      <c r="B1948" s="1" t="s">
        <v>4386</v>
      </c>
      <c r="C1948" s="1" t="s">
        <v>4387</v>
      </c>
      <c r="D1948" s="1" t="s">
        <v>4388</v>
      </c>
      <c r="E1948" s="1" t="s">
        <v>91</v>
      </c>
      <c r="F1948" s="1">
        <v>0</v>
      </c>
      <c r="G1948" s="1" t="s">
        <v>82</v>
      </c>
    </row>
    <row r="1949" spans="1:7" hidden="1" x14ac:dyDescent="0.3">
      <c r="A1949" s="1">
        <v>3143</v>
      </c>
      <c r="B1949" s="1" t="s">
        <v>4389</v>
      </c>
      <c r="C1949" s="1" t="s">
        <v>4390</v>
      </c>
      <c r="D1949" s="1" t="s">
        <v>345</v>
      </c>
      <c r="E1949" s="1" t="s">
        <v>331</v>
      </c>
      <c r="F1949" s="1">
        <v>0</v>
      </c>
      <c r="G1949" s="1" t="s">
        <v>82</v>
      </c>
    </row>
    <row r="1950" spans="1:7" hidden="1" x14ac:dyDescent="0.3">
      <c r="A1950" s="1">
        <v>3144</v>
      </c>
      <c r="B1950" s="1" t="s">
        <v>4391</v>
      </c>
      <c r="C1950" s="1" t="s">
        <v>4392</v>
      </c>
      <c r="D1950" s="1" t="s">
        <v>3428</v>
      </c>
      <c r="E1950" s="1" t="s">
        <v>142</v>
      </c>
      <c r="F1950" s="1">
        <v>0</v>
      </c>
      <c r="G1950" s="1" t="s">
        <v>82</v>
      </c>
    </row>
    <row r="1951" spans="1:7" hidden="1" x14ac:dyDescent="0.3">
      <c r="A1951" s="1">
        <v>3145</v>
      </c>
      <c r="B1951" s="1" t="s">
        <v>4393</v>
      </c>
      <c r="C1951" s="1" t="s">
        <v>4394</v>
      </c>
      <c r="D1951" s="1" t="s">
        <v>1954</v>
      </c>
      <c r="E1951" s="1" t="s">
        <v>142</v>
      </c>
      <c r="F1951" s="1">
        <v>0</v>
      </c>
      <c r="G1951" s="1" t="s">
        <v>82</v>
      </c>
    </row>
    <row r="1952" spans="1:7" hidden="1" x14ac:dyDescent="0.3">
      <c r="A1952" s="1">
        <v>3146</v>
      </c>
      <c r="B1952" s="1" t="s">
        <v>4395</v>
      </c>
      <c r="C1952" s="1" t="s">
        <v>4396</v>
      </c>
      <c r="D1952" s="1" t="s">
        <v>3033</v>
      </c>
      <c r="E1952" s="1" t="s">
        <v>65</v>
      </c>
      <c r="F1952" s="1">
        <v>0</v>
      </c>
      <c r="G1952" s="1" t="s">
        <v>82</v>
      </c>
    </row>
    <row r="1953" spans="1:7" hidden="1" x14ac:dyDescent="0.3">
      <c r="A1953" s="1">
        <v>3147</v>
      </c>
      <c r="B1953" s="1" t="s">
        <v>4397</v>
      </c>
      <c r="C1953" s="1" t="s">
        <v>4398</v>
      </c>
      <c r="D1953" s="1" t="s">
        <v>422</v>
      </c>
      <c r="E1953" s="1" t="s">
        <v>147</v>
      </c>
      <c r="F1953" s="1">
        <v>0</v>
      </c>
      <c r="G1953" s="1" t="s">
        <v>82</v>
      </c>
    </row>
    <row r="1954" spans="1:7" hidden="1" x14ac:dyDescent="0.3">
      <c r="A1954" s="1">
        <v>3148</v>
      </c>
      <c r="B1954" s="1" t="s">
        <v>4399</v>
      </c>
      <c r="C1954" s="1" t="s">
        <v>4400</v>
      </c>
      <c r="D1954" s="1" t="s">
        <v>422</v>
      </c>
      <c r="E1954" s="1" t="s">
        <v>259</v>
      </c>
      <c r="F1954" s="1">
        <v>0</v>
      </c>
      <c r="G1954" s="1" t="s">
        <v>82</v>
      </c>
    </row>
    <row r="1955" spans="1:7" hidden="1" x14ac:dyDescent="0.3">
      <c r="A1955" s="1">
        <v>3149</v>
      </c>
      <c r="B1955" s="1" t="s">
        <v>4401</v>
      </c>
      <c r="C1955" s="1" t="s">
        <v>4402</v>
      </c>
      <c r="D1955" s="1" t="s">
        <v>4403</v>
      </c>
      <c r="E1955" s="1" t="s">
        <v>91</v>
      </c>
      <c r="F1955" s="1">
        <v>0</v>
      </c>
      <c r="G1955" s="1" t="s">
        <v>82</v>
      </c>
    </row>
    <row r="1956" spans="1:7" hidden="1" x14ac:dyDescent="0.3">
      <c r="A1956" s="1">
        <v>3150</v>
      </c>
      <c r="B1956" s="1" t="s">
        <v>4404</v>
      </c>
      <c r="C1956" s="1" t="s">
        <v>4405</v>
      </c>
      <c r="D1956" s="1" t="s">
        <v>847</v>
      </c>
      <c r="E1956" s="1" t="s">
        <v>111</v>
      </c>
      <c r="F1956" s="1">
        <v>0</v>
      </c>
      <c r="G1956" s="1" t="s">
        <v>82</v>
      </c>
    </row>
    <row r="1957" spans="1:7" hidden="1" x14ac:dyDescent="0.3">
      <c r="A1957" s="1">
        <v>3151</v>
      </c>
      <c r="B1957" s="1" t="s">
        <v>4406</v>
      </c>
      <c r="C1957" s="1" t="s">
        <v>4407</v>
      </c>
      <c r="D1957" s="1" t="s">
        <v>1547</v>
      </c>
      <c r="E1957" s="1" t="s">
        <v>111</v>
      </c>
      <c r="F1957" s="1">
        <v>0</v>
      </c>
      <c r="G1957" s="1" t="s">
        <v>82</v>
      </c>
    </row>
    <row r="1958" spans="1:7" x14ac:dyDescent="0.3">
      <c r="A1958" s="1">
        <v>3152</v>
      </c>
      <c r="B1958" s="1" t="s">
        <v>4408</v>
      </c>
      <c r="C1958" s="1" t="s">
        <v>4409</v>
      </c>
      <c r="D1958" s="1" t="s">
        <v>4410</v>
      </c>
      <c r="E1958" s="1" t="s">
        <v>215</v>
      </c>
      <c r="F1958" s="1">
        <v>0</v>
      </c>
      <c r="G1958" s="1" t="s">
        <v>82</v>
      </c>
    </row>
    <row r="1959" spans="1:7" hidden="1" x14ac:dyDescent="0.3">
      <c r="A1959" s="1">
        <v>3153</v>
      </c>
      <c r="B1959" s="1" t="s">
        <v>4411</v>
      </c>
      <c r="C1959" s="1" t="s">
        <v>4412</v>
      </c>
      <c r="D1959" s="1" t="s">
        <v>4413</v>
      </c>
      <c r="E1959" s="1" t="s">
        <v>170</v>
      </c>
      <c r="F1959" s="1">
        <v>0</v>
      </c>
      <c r="G1959" s="1" t="s">
        <v>82</v>
      </c>
    </row>
    <row r="1960" spans="1:7" hidden="1" x14ac:dyDescent="0.3">
      <c r="A1960" s="1">
        <v>3154</v>
      </c>
      <c r="B1960" s="1" t="s">
        <v>4414</v>
      </c>
      <c r="C1960" s="1" t="s">
        <v>4415</v>
      </c>
      <c r="D1960" s="1" t="s">
        <v>463</v>
      </c>
      <c r="E1960" s="1" t="s">
        <v>289</v>
      </c>
      <c r="F1960" s="1">
        <v>0</v>
      </c>
      <c r="G1960" s="1" t="s">
        <v>82</v>
      </c>
    </row>
    <row r="1961" spans="1:7" hidden="1" x14ac:dyDescent="0.3">
      <c r="A1961" s="1">
        <v>3155</v>
      </c>
      <c r="B1961" s="1" t="s">
        <v>4416</v>
      </c>
      <c r="C1961" s="1" t="s">
        <v>4417</v>
      </c>
      <c r="D1961" s="1" t="s">
        <v>4418</v>
      </c>
      <c r="E1961" s="1" t="s">
        <v>118</v>
      </c>
      <c r="F1961" s="1">
        <v>0</v>
      </c>
      <c r="G1961" s="1" t="s">
        <v>82</v>
      </c>
    </row>
    <row r="1962" spans="1:7" hidden="1" x14ac:dyDescent="0.3">
      <c r="A1962" s="1">
        <v>3156</v>
      </c>
      <c r="B1962" s="1" t="s">
        <v>4419</v>
      </c>
      <c r="C1962" s="1" t="s">
        <v>4420</v>
      </c>
      <c r="D1962" s="1" t="s">
        <v>986</v>
      </c>
      <c r="E1962" s="1" t="s">
        <v>142</v>
      </c>
      <c r="F1962" s="1">
        <v>0</v>
      </c>
      <c r="G1962" s="1" t="s">
        <v>82</v>
      </c>
    </row>
    <row r="1963" spans="1:7" hidden="1" x14ac:dyDescent="0.3">
      <c r="A1963" s="1">
        <v>3157</v>
      </c>
      <c r="B1963" s="1" t="s">
        <v>4421</v>
      </c>
      <c r="C1963" s="1" t="s">
        <v>4422</v>
      </c>
      <c r="D1963" s="1" t="s">
        <v>3149</v>
      </c>
      <c r="E1963" s="1" t="s">
        <v>142</v>
      </c>
      <c r="F1963" s="1">
        <v>0</v>
      </c>
      <c r="G1963" s="1" t="s">
        <v>82</v>
      </c>
    </row>
    <row r="1964" spans="1:7" hidden="1" x14ac:dyDescent="0.3">
      <c r="A1964" s="1">
        <v>3158</v>
      </c>
      <c r="B1964" s="1" t="s">
        <v>4423</v>
      </c>
      <c r="C1964" s="1" t="s">
        <v>4424</v>
      </c>
      <c r="D1964" s="1" t="s">
        <v>252</v>
      </c>
      <c r="E1964" s="1" t="s">
        <v>255</v>
      </c>
      <c r="F1964" s="1">
        <v>0</v>
      </c>
      <c r="G1964" s="1" t="s">
        <v>82</v>
      </c>
    </row>
    <row r="1965" spans="1:7" hidden="1" x14ac:dyDescent="0.3">
      <c r="A1965" s="1">
        <v>3159</v>
      </c>
      <c r="B1965" s="1" t="s">
        <v>4425</v>
      </c>
      <c r="C1965" s="1" t="s">
        <v>4426</v>
      </c>
      <c r="D1965" s="1" t="s">
        <v>252</v>
      </c>
      <c r="E1965" s="1" t="s">
        <v>147</v>
      </c>
      <c r="F1965" s="1">
        <v>0</v>
      </c>
      <c r="G1965" s="1" t="s">
        <v>82</v>
      </c>
    </row>
    <row r="1966" spans="1:7" hidden="1" x14ac:dyDescent="0.3">
      <c r="A1966" s="1">
        <v>3160</v>
      </c>
      <c r="B1966" s="1" t="s">
        <v>4427</v>
      </c>
      <c r="C1966" s="1" t="s">
        <v>4428</v>
      </c>
      <c r="D1966" s="1" t="s">
        <v>252</v>
      </c>
      <c r="E1966" s="1" t="s">
        <v>147</v>
      </c>
      <c r="F1966" s="1">
        <v>0</v>
      </c>
      <c r="G1966" s="1" t="s">
        <v>82</v>
      </c>
    </row>
    <row r="1967" spans="1:7" hidden="1" x14ac:dyDescent="0.3">
      <c r="A1967" s="1">
        <v>3161</v>
      </c>
      <c r="B1967" s="1" t="s">
        <v>4429</v>
      </c>
      <c r="C1967" s="1" t="s">
        <v>4430</v>
      </c>
      <c r="D1967" s="1" t="s">
        <v>252</v>
      </c>
      <c r="E1967" s="1" t="s">
        <v>147</v>
      </c>
      <c r="F1967" s="1">
        <v>0</v>
      </c>
      <c r="G1967" s="1" t="s">
        <v>82</v>
      </c>
    </row>
    <row r="1968" spans="1:7" hidden="1" x14ac:dyDescent="0.3">
      <c r="A1968" s="1">
        <v>3162</v>
      </c>
      <c r="B1968" s="1" t="s">
        <v>4431</v>
      </c>
      <c r="C1968" s="1" t="s">
        <v>4432</v>
      </c>
      <c r="D1968" s="1" t="s">
        <v>2184</v>
      </c>
      <c r="E1968" s="1" t="s">
        <v>1114</v>
      </c>
      <c r="F1968" s="1">
        <v>0</v>
      </c>
      <c r="G1968" s="1" t="s">
        <v>82</v>
      </c>
    </row>
    <row r="1969" spans="1:7" hidden="1" x14ac:dyDescent="0.3">
      <c r="A1969" s="1">
        <v>3163</v>
      </c>
      <c r="B1969" s="1" t="s">
        <v>4433</v>
      </c>
      <c r="C1969" s="1" t="s">
        <v>4434</v>
      </c>
      <c r="D1969" s="1" t="s">
        <v>422</v>
      </c>
      <c r="E1969" s="1" t="s">
        <v>1327</v>
      </c>
      <c r="F1969" s="1">
        <v>0</v>
      </c>
      <c r="G1969" s="1" t="s">
        <v>82</v>
      </c>
    </row>
    <row r="1970" spans="1:7" hidden="1" x14ac:dyDescent="0.3">
      <c r="A1970" s="1">
        <v>3164</v>
      </c>
      <c r="B1970" s="1" t="s">
        <v>4435</v>
      </c>
      <c r="C1970" s="1" t="s">
        <v>4436</v>
      </c>
      <c r="D1970" s="1" t="s">
        <v>336</v>
      </c>
      <c r="E1970" s="1" t="s">
        <v>331</v>
      </c>
      <c r="F1970" s="1">
        <v>0</v>
      </c>
      <c r="G1970" s="1" t="s">
        <v>82</v>
      </c>
    </row>
    <row r="1971" spans="1:7" hidden="1" x14ac:dyDescent="0.3">
      <c r="A1971" s="1">
        <v>3165</v>
      </c>
      <c r="B1971" s="1" t="s">
        <v>4437</v>
      </c>
      <c r="C1971" s="1" t="s">
        <v>4438</v>
      </c>
      <c r="D1971" s="1" t="s">
        <v>1298</v>
      </c>
      <c r="E1971" s="1" t="s">
        <v>111</v>
      </c>
      <c r="F1971" s="1">
        <v>0</v>
      </c>
      <c r="G1971" s="1" t="s">
        <v>82</v>
      </c>
    </row>
    <row r="1972" spans="1:7" hidden="1" x14ac:dyDescent="0.3">
      <c r="A1972" s="1">
        <v>3166</v>
      </c>
      <c r="B1972" s="1" t="s">
        <v>4439</v>
      </c>
      <c r="C1972" s="1" t="s">
        <v>4440</v>
      </c>
      <c r="D1972" s="1" t="s">
        <v>4083</v>
      </c>
      <c r="E1972" s="1" t="s">
        <v>147</v>
      </c>
      <c r="F1972" s="1">
        <v>0</v>
      </c>
      <c r="G1972" s="1" t="s">
        <v>82</v>
      </c>
    </row>
    <row r="1973" spans="1:7" hidden="1" x14ac:dyDescent="0.3">
      <c r="A1973" s="1">
        <v>3167</v>
      </c>
      <c r="B1973" s="1" t="s">
        <v>4441</v>
      </c>
      <c r="C1973" s="1" t="s">
        <v>4442</v>
      </c>
      <c r="D1973" s="1" t="s">
        <v>2189</v>
      </c>
      <c r="E1973" s="1" t="s">
        <v>1114</v>
      </c>
      <c r="F1973" s="1">
        <v>0</v>
      </c>
      <c r="G1973" s="1" t="s">
        <v>82</v>
      </c>
    </row>
    <row r="1974" spans="1:7" hidden="1" x14ac:dyDescent="0.3">
      <c r="A1974" s="1">
        <v>3168</v>
      </c>
      <c r="B1974" s="1" t="s">
        <v>4443</v>
      </c>
      <c r="C1974" s="1" t="s">
        <v>4444</v>
      </c>
      <c r="D1974" s="1" t="s">
        <v>422</v>
      </c>
      <c r="E1974" s="1" t="s">
        <v>259</v>
      </c>
      <c r="F1974" s="1">
        <v>0</v>
      </c>
      <c r="G1974" s="1" t="s">
        <v>82</v>
      </c>
    </row>
    <row r="1975" spans="1:7" hidden="1" x14ac:dyDescent="0.3">
      <c r="A1975" s="1">
        <v>3169</v>
      </c>
      <c r="B1975" s="1" t="s">
        <v>4445</v>
      </c>
      <c r="C1975" s="1" t="s">
        <v>4446</v>
      </c>
      <c r="D1975" s="1" t="s">
        <v>2189</v>
      </c>
      <c r="E1975" s="1" t="s">
        <v>1114</v>
      </c>
      <c r="F1975" s="1">
        <v>0</v>
      </c>
      <c r="G1975" s="1" t="s">
        <v>82</v>
      </c>
    </row>
    <row r="1976" spans="1:7" hidden="1" x14ac:dyDescent="0.3">
      <c r="A1976" s="1">
        <v>3170</v>
      </c>
      <c r="B1976" s="1" t="s">
        <v>4447</v>
      </c>
      <c r="C1976" s="1" t="s">
        <v>4448</v>
      </c>
      <c r="D1976" s="1" t="s">
        <v>252</v>
      </c>
      <c r="E1976" s="1" t="s">
        <v>340</v>
      </c>
      <c r="F1976" s="1">
        <v>0</v>
      </c>
      <c r="G1976" s="1" t="s">
        <v>82</v>
      </c>
    </row>
    <row r="1977" spans="1:7" hidden="1" x14ac:dyDescent="0.3">
      <c r="A1977" s="1">
        <v>3171</v>
      </c>
      <c r="B1977" s="1" t="s">
        <v>4449</v>
      </c>
      <c r="C1977" s="1" t="s">
        <v>4450</v>
      </c>
      <c r="D1977" s="1" t="s">
        <v>422</v>
      </c>
      <c r="E1977" s="1" t="s">
        <v>340</v>
      </c>
      <c r="F1977" s="1">
        <v>0</v>
      </c>
      <c r="G1977" s="1" t="s">
        <v>82</v>
      </c>
    </row>
    <row r="1978" spans="1:7" hidden="1" x14ac:dyDescent="0.3">
      <c r="A1978" s="1">
        <v>3172</v>
      </c>
      <c r="B1978" s="1" t="s">
        <v>4451</v>
      </c>
      <c r="C1978" s="1" t="s">
        <v>4452</v>
      </c>
      <c r="D1978" s="1" t="s">
        <v>422</v>
      </c>
      <c r="E1978" s="1" t="s">
        <v>255</v>
      </c>
      <c r="F1978" s="1">
        <v>0</v>
      </c>
      <c r="G1978" s="1" t="s">
        <v>82</v>
      </c>
    </row>
    <row r="1979" spans="1:7" hidden="1" x14ac:dyDescent="0.3">
      <c r="A1979" s="1">
        <v>3173</v>
      </c>
      <c r="B1979" s="1" t="s">
        <v>4453</v>
      </c>
      <c r="C1979" s="1" t="s">
        <v>4454</v>
      </c>
      <c r="D1979" s="1" t="s">
        <v>2075</v>
      </c>
      <c r="E1979" s="1" t="s">
        <v>111</v>
      </c>
      <c r="F1979" s="1">
        <v>0</v>
      </c>
      <c r="G1979" s="1" t="s">
        <v>82</v>
      </c>
    </row>
    <row r="1980" spans="1:7" hidden="1" x14ac:dyDescent="0.3">
      <c r="A1980" s="1">
        <v>3174</v>
      </c>
      <c r="B1980" s="1" t="s">
        <v>4455</v>
      </c>
      <c r="C1980" s="1" t="s">
        <v>4456</v>
      </c>
      <c r="D1980" s="1" t="s">
        <v>693</v>
      </c>
      <c r="E1980" s="1" t="s">
        <v>134</v>
      </c>
      <c r="F1980" s="1">
        <v>0</v>
      </c>
      <c r="G1980" s="1" t="s">
        <v>82</v>
      </c>
    </row>
    <row r="1981" spans="1:7" hidden="1" x14ac:dyDescent="0.3">
      <c r="A1981" s="1">
        <v>3175</v>
      </c>
      <c r="B1981" s="1" t="s">
        <v>4457</v>
      </c>
      <c r="C1981" s="1" t="s">
        <v>4458</v>
      </c>
      <c r="D1981" s="1" t="s">
        <v>345</v>
      </c>
      <c r="E1981" s="1" t="s">
        <v>331</v>
      </c>
      <c r="F1981" s="1">
        <v>0</v>
      </c>
      <c r="G1981" s="1" t="s">
        <v>82</v>
      </c>
    </row>
    <row r="1982" spans="1:7" hidden="1" x14ac:dyDescent="0.3">
      <c r="A1982" s="1">
        <v>3176</v>
      </c>
      <c r="B1982" s="1" t="s">
        <v>4459</v>
      </c>
      <c r="C1982" s="1" t="s">
        <v>4460</v>
      </c>
      <c r="D1982" s="1" t="s">
        <v>252</v>
      </c>
      <c r="E1982" s="1" t="s">
        <v>340</v>
      </c>
      <c r="F1982" s="1">
        <v>0</v>
      </c>
      <c r="G1982" s="1" t="s">
        <v>82</v>
      </c>
    </row>
    <row r="1983" spans="1:7" hidden="1" x14ac:dyDescent="0.3">
      <c r="A1983" s="1">
        <v>3177</v>
      </c>
      <c r="B1983" s="1" t="s">
        <v>4461</v>
      </c>
      <c r="C1983" s="1" t="s">
        <v>4462</v>
      </c>
      <c r="D1983" s="1" t="s">
        <v>2189</v>
      </c>
      <c r="E1983" s="1" t="s">
        <v>1114</v>
      </c>
      <c r="F1983" s="1">
        <v>0</v>
      </c>
      <c r="G1983" s="1" t="s">
        <v>82</v>
      </c>
    </row>
    <row r="1984" spans="1:7" hidden="1" x14ac:dyDescent="0.3">
      <c r="A1984" s="1">
        <v>3178</v>
      </c>
      <c r="B1984" s="1" t="s">
        <v>4463</v>
      </c>
      <c r="C1984" s="1" t="s">
        <v>4464</v>
      </c>
      <c r="D1984" s="1" t="s">
        <v>4465</v>
      </c>
      <c r="E1984" s="1" t="s">
        <v>289</v>
      </c>
      <c r="F1984" s="1">
        <v>0</v>
      </c>
      <c r="G1984" s="1" t="s">
        <v>82</v>
      </c>
    </row>
    <row r="1985" spans="1:9" hidden="1" x14ac:dyDescent="0.3">
      <c r="A1985" s="1">
        <v>9999</v>
      </c>
      <c r="B1985" s="1" t="s">
        <v>4466</v>
      </c>
      <c r="C1985" s="1" t="s">
        <v>4467</v>
      </c>
      <c r="D1985" s="1" t="s">
        <v>323</v>
      </c>
      <c r="E1985" s="1" t="s">
        <v>238</v>
      </c>
      <c r="F1985" s="1">
        <v>1</v>
      </c>
      <c r="G1985" s="1" t="s">
        <v>143</v>
      </c>
      <c r="H1985" s="1" t="s">
        <v>4468</v>
      </c>
    </row>
    <row r="1986" spans="1:9" hidden="1" x14ac:dyDescent="0.3">
      <c r="A1986" s="1">
        <v>50000</v>
      </c>
      <c r="B1986" s="1" t="s">
        <v>4469</v>
      </c>
      <c r="C1986" s="1" t="s">
        <v>4470</v>
      </c>
      <c r="D1986" s="1" t="s">
        <v>111</v>
      </c>
      <c r="E1986" s="1" t="s">
        <v>111</v>
      </c>
      <c r="F1986" s="1">
        <v>1</v>
      </c>
      <c r="G1986" s="1" t="s">
        <v>143</v>
      </c>
      <c r="I1986" s="1" t="s">
        <v>4471</v>
      </c>
    </row>
    <row r="1987" spans="1:9" hidden="1" x14ac:dyDescent="0.3">
      <c r="A1987" s="1">
        <v>50001</v>
      </c>
      <c r="B1987" s="1" t="s">
        <v>4472</v>
      </c>
      <c r="C1987" s="1" t="s">
        <v>4473</v>
      </c>
      <c r="D1987" s="1" t="s">
        <v>111</v>
      </c>
      <c r="E1987" s="1" t="s">
        <v>111</v>
      </c>
      <c r="F1987" s="1">
        <v>1</v>
      </c>
      <c r="G1987" s="1" t="s">
        <v>143</v>
      </c>
      <c r="I1987" s="1" t="s">
        <v>4471</v>
      </c>
    </row>
    <row r="1988" spans="1:9" hidden="1" x14ac:dyDescent="0.3">
      <c r="A1988" s="1">
        <v>50002</v>
      </c>
      <c r="B1988" s="1" t="s">
        <v>4474</v>
      </c>
      <c r="C1988" s="1" t="s">
        <v>4475</v>
      </c>
      <c r="D1988" s="1" t="s">
        <v>111</v>
      </c>
      <c r="E1988" s="1" t="s">
        <v>111</v>
      </c>
      <c r="F1988" s="1">
        <v>1</v>
      </c>
      <c r="G1988" s="1" t="s">
        <v>143</v>
      </c>
      <c r="I1988" s="1" t="s">
        <v>4471</v>
      </c>
    </row>
    <row r="1989" spans="1:9" hidden="1" x14ac:dyDescent="0.3">
      <c r="A1989" s="1">
        <v>50003</v>
      </c>
      <c r="B1989" s="1" t="s">
        <v>4476</v>
      </c>
      <c r="C1989" s="1" t="s">
        <v>4477</v>
      </c>
      <c r="D1989" s="1" t="s">
        <v>111</v>
      </c>
      <c r="E1989" s="1" t="s">
        <v>111</v>
      </c>
      <c r="F1989" s="1">
        <v>1</v>
      </c>
      <c r="G1989" s="1" t="s">
        <v>143</v>
      </c>
      <c r="I1989" s="1" t="s">
        <v>4471</v>
      </c>
    </row>
    <row r="1990" spans="1:9" hidden="1" x14ac:dyDescent="0.3">
      <c r="A1990" s="1">
        <v>50004</v>
      </c>
      <c r="B1990" s="1" t="s">
        <v>4478</v>
      </c>
      <c r="C1990" s="1" t="s">
        <v>4479</v>
      </c>
      <c r="D1990" s="1" t="s">
        <v>111</v>
      </c>
      <c r="E1990" s="1" t="s">
        <v>111</v>
      </c>
      <c r="F1990" s="1">
        <v>1</v>
      </c>
      <c r="G1990" s="1" t="s">
        <v>143</v>
      </c>
      <c r="I1990" s="1" t="s">
        <v>4471</v>
      </c>
    </row>
    <row r="1991" spans="1:9" hidden="1" x14ac:dyDescent="0.3">
      <c r="A1991" s="1">
        <v>50005</v>
      </c>
      <c r="B1991" s="1" t="s">
        <v>4480</v>
      </c>
      <c r="C1991" s="1" t="s">
        <v>4481</v>
      </c>
      <c r="D1991" s="1" t="s">
        <v>111</v>
      </c>
      <c r="E1991" s="1" t="s">
        <v>111</v>
      </c>
      <c r="F1991" s="1">
        <v>1</v>
      </c>
      <c r="G1991" s="1" t="s">
        <v>143</v>
      </c>
      <c r="I1991" s="1" t="s">
        <v>4471</v>
      </c>
    </row>
    <row r="1992" spans="1:9" hidden="1" x14ac:dyDescent="0.3">
      <c r="A1992" s="1">
        <v>50006</v>
      </c>
      <c r="B1992" s="1" t="s">
        <v>4482</v>
      </c>
      <c r="C1992" s="1" t="s">
        <v>4483</v>
      </c>
      <c r="D1992" s="1" t="s">
        <v>111</v>
      </c>
      <c r="E1992" s="1" t="s">
        <v>111</v>
      </c>
      <c r="F1992" s="1">
        <v>1</v>
      </c>
      <c r="G1992" s="1" t="s">
        <v>143</v>
      </c>
      <c r="I1992" s="1" t="s">
        <v>4471</v>
      </c>
    </row>
    <row r="1993" spans="1:9" hidden="1" x14ac:dyDescent="0.3">
      <c r="A1993" s="1">
        <v>50007</v>
      </c>
      <c r="B1993" s="1" t="s">
        <v>4484</v>
      </c>
      <c r="C1993" s="1" t="s">
        <v>4485</v>
      </c>
      <c r="D1993" s="1" t="s">
        <v>111</v>
      </c>
      <c r="E1993" s="1" t="s">
        <v>111</v>
      </c>
      <c r="F1993" s="1">
        <v>1</v>
      </c>
      <c r="G1993" s="1" t="s">
        <v>143</v>
      </c>
      <c r="I1993" s="1" t="s">
        <v>4471</v>
      </c>
    </row>
    <row r="1994" spans="1:9" hidden="1" x14ac:dyDescent="0.3">
      <c r="A1994" s="1">
        <v>50008</v>
      </c>
      <c r="B1994" s="1" t="s">
        <v>4486</v>
      </c>
      <c r="C1994" s="1" t="s">
        <v>4487</v>
      </c>
      <c r="D1994" s="1" t="s">
        <v>111</v>
      </c>
      <c r="E1994" s="1" t="s">
        <v>111</v>
      </c>
      <c r="F1994" s="1">
        <v>1</v>
      </c>
      <c r="G1994" s="1" t="s">
        <v>143</v>
      </c>
      <c r="I1994" s="1" t="s">
        <v>4471</v>
      </c>
    </row>
    <row r="1995" spans="1:9" hidden="1" x14ac:dyDescent="0.3">
      <c r="A1995" s="1">
        <v>50009</v>
      </c>
      <c r="B1995" s="1" t="s">
        <v>4488</v>
      </c>
      <c r="C1995" s="1" t="s">
        <v>4489</v>
      </c>
      <c r="D1995" s="1" t="s">
        <v>111</v>
      </c>
      <c r="E1995" s="1" t="s">
        <v>111</v>
      </c>
      <c r="F1995" s="1">
        <v>1</v>
      </c>
      <c r="G1995" s="1" t="s">
        <v>143</v>
      </c>
      <c r="I1995" s="1" t="s">
        <v>4471</v>
      </c>
    </row>
    <row r="1996" spans="1:9" hidden="1" x14ac:dyDescent="0.3">
      <c r="A1996" s="1">
        <v>50010</v>
      </c>
      <c r="B1996" s="1" t="s">
        <v>4490</v>
      </c>
      <c r="C1996" s="1" t="s">
        <v>4491</v>
      </c>
      <c r="D1996" s="1" t="s">
        <v>197</v>
      </c>
      <c r="E1996" s="1" t="s">
        <v>197</v>
      </c>
      <c r="F1996" s="1">
        <v>1</v>
      </c>
      <c r="G1996" s="1" t="s">
        <v>143</v>
      </c>
      <c r="I1996" s="1" t="s">
        <v>4471</v>
      </c>
    </row>
    <row r="1997" spans="1:9" hidden="1" x14ac:dyDescent="0.3">
      <c r="A1997" s="1">
        <v>50011</v>
      </c>
      <c r="B1997" s="1" t="s">
        <v>4492</v>
      </c>
      <c r="C1997" s="1" t="s">
        <v>4493</v>
      </c>
      <c r="D1997" s="1" t="s">
        <v>111</v>
      </c>
      <c r="E1997" s="1" t="s">
        <v>111</v>
      </c>
      <c r="F1997" s="1">
        <v>1</v>
      </c>
      <c r="G1997" s="1" t="s">
        <v>143</v>
      </c>
      <c r="I1997" s="1" t="s">
        <v>4471</v>
      </c>
    </row>
    <row r="1998" spans="1:9" hidden="1" x14ac:dyDescent="0.3">
      <c r="A1998" s="1">
        <v>50012</v>
      </c>
      <c r="B1998" s="1" t="s">
        <v>4494</v>
      </c>
      <c r="C1998" s="1" t="s">
        <v>4495</v>
      </c>
      <c r="D1998" s="1" t="s">
        <v>111</v>
      </c>
      <c r="E1998" s="1" t="s">
        <v>111</v>
      </c>
      <c r="F1998" s="1">
        <v>1</v>
      </c>
      <c r="G1998" s="1" t="s">
        <v>143</v>
      </c>
      <c r="I1998" s="1" t="s">
        <v>4471</v>
      </c>
    </row>
    <row r="1999" spans="1:9" hidden="1" x14ac:dyDescent="0.3">
      <c r="A1999" s="1">
        <v>50013</v>
      </c>
      <c r="B1999" s="1" t="s">
        <v>4496</v>
      </c>
      <c r="C1999" s="1" t="s">
        <v>4497</v>
      </c>
      <c r="D1999" s="1" t="s">
        <v>134</v>
      </c>
      <c r="E1999" s="1" t="s">
        <v>134</v>
      </c>
      <c r="F1999" s="1">
        <v>1</v>
      </c>
      <c r="G1999" s="1" t="s">
        <v>143</v>
      </c>
      <c r="I1999" s="1" t="s">
        <v>4471</v>
      </c>
    </row>
    <row r="2000" spans="1:9" hidden="1" x14ac:dyDescent="0.3">
      <c r="A2000" s="1">
        <v>50014</v>
      </c>
      <c r="B2000" s="1" t="s">
        <v>4498</v>
      </c>
      <c r="C2000" s="1" t="s">
        <v>4499</v>
      </c>
      <c r="D2000" s="1" t="s">
        <v>111</v>
      </c>
      <c r="E2000" s="1" t="s">
        <v>111</v>
      </c>
      <c r="F2000" s="1">
        <v>1</v>
      </c>
      <c r="G2000" s="1" t="s">
        <v>143</v>
      </c>
      <c r="I2000" s="1" t="s">
        <v>4471</v>
      </c>
    </row>
    <row r="2001" spans="1:9" hidden="1" x14ac:dyDescent="0.3">
      <c r="A2001" s="1">
        <v>50015</v>
      </c>
      <c r="B2001" s="1" t="s">
        <v>4500</v>
      </c>
      <c r="C2001" s="1" t="s">
        <v>4501</v>
      </c>
      <c r="D2001" s="1" t="s">
        <v>68</v>
      </c>
      <c r="E2001" s="1" t="s">
        <v>68</v>
      </c>
      <c r="F2001" s="1">
        <v>1</v>
      </c>
      <c r="G2001" s="1" t="s">
        <v>143</v>
      </c>
      <c r="I2001" s="1" t="s">
        <v>4471</v>
      </c>
    </row>
    <row r="2002" spans="1:9" hidden="1" x14ac:dyDescent="0.3">
      <c r="A2002" s="1">
        <v>50016</v>
      </c>
      <c r="B2002" s="1" t="s">
        <v>4502</v>
      </c>
      <c r="C2002" s="1" t="s">
        <v>4503</v>
      </c>
      <c r="D2002" s="1" t="s">
        <v>111</v>
      </c>
      <c r="E2002" s="1" t="s">
        <v>111</v>
      </c>
      <c r="F2002" s="1">
        <v>1</v>
      </c>
      <c r="G2002" s="1" t="s">
        <v>143</v>
      </c>
      <c r="I2002" s="1" t="s">
        <v>4471</v>
      </c>
    </row>
    <row r="2003" spans="1:9" hidden="1" x14ac:dyDescent="0.3">
      <c r="A2003" s="1">
        <v>50017</v>
      </c>
      <c r="B2003" s="1" t="s">
        <v>4504</v>
      </c>
      <c r="C2003" s="1" t="s">
        <v>4505</v>
      </c>
      <c r="D2003" s="1" t="s">
        <v>111</v>
      </c>
      <c r="E2003" s="1" t="s">
        <v>111</v>
      </c>
      <c r="F2003" s="1">
        <v>1</v>
      </c>
      <c r="G2003" s="1" t="s">
        <v>143</v>
      </c>
      <c r="I2003" s="1" t="s">
        <v>4471</v>
      </c>
    </row>
    <row r="2004" spans="1:9" hidden="1" x14ac:dyDescent="0.3">
      <c r="A2004" s="1">
        <v>50018</v>
      </c>
      <c r="B2004" s="1" t="s">
        <v>4506</v>
      </c>
      <c r="C2004" s="1" t="s">
        <v>4507</v>
      </c>
      <c r="D2004" s="1" t="s">
        <v>134</v>
      </c>
      <c r="E2004" s="1" t="s">
        <v>134</v>
      </c>
      <c r="F2004" s="1">
        <v>1</v>
      </c>
      <c r="G2004" s="1" t="s">
        <v>143</v>
      </c>
      <c r="I2004" s="1" t="s">
        <v>4471</v>
      </c>
    </row>
    <row r="2005" spans="1:9" hidden="1" x14ac:dyDescent="0.3">
      <c r="A2005" s="1">
        <v>50019</v>
      </c>
      <c r="B2005" s="1" t="s">
        <v>4508</v>
      </c>
      <c r="C2005" s="1" t="s">
        <v>4509</v>
      </c>
      <c r="D2005" s="1" t="s">
        <v>134</v>
      </c>
      <c r="E2005" s="1" t="s">
        <v>134</v>
      </c>
      <c r="F2005" s="1">
        <v>1</v>
      </c>
      <c r="G2005" s="1" t="s">
        <v>143</v>
      </c>
      <c r="I2005" s="1" t="s">
        <v>4471</v>
      </c>
    </row>
    <row r="2006" spans="1:9" hidden="1" x14ac:dyDescent="0.3">
      <c r="A2006" s="1">
        <v>50020</v>
      </c>
      <c r="B2006" s="1" t="s">
        <v>4510</v>
      </c>
      <c r="C2006" s="1" t="s">
        <v>4511</v>
      </c>
      <c r="D2006" s="1" t="s">
        <v>134</v>
      </c>
      <c r="E2006" s="1" t="s">
        <v>134</v>
      </c>
      <c r="F2006" s="1">
        <v>1</v>
      </c>
      <c r="G2006" s="1" t="s">
        <v>143</v>
      </c>
      <c r="I2006" s="1" t="s">
        <v>4471</v>
      </c>
    </row>
    <row r="2007" spans="1:9" hidden="1" x14ac:dyDescent="0.3">
      <c r="A2007" s="1">
        <v>50021</v>
      </c>
      <c r="B2007" s="1" t="s">
        <v>4512</v>
      </c>
      <c r="C2007" s="1" t="s">
        <v>4513</v>
      </c>
      <c r="D2007" s="1" t="s">
        <v>111</v>
      </c>
      <c r="E2007" s="1" t="s">
        <v>111</v>
      </c>
      <c r="F2007" s="1">
        <v>1</v>
      </c>
      <c r="G2007" s="1" t="s">
        <v>143</v>
      </c>
      <c r="I2007" s="1" t="s">
        <v>4471</v>
      </c>
    </row>
    <row r="2008" spans="1:9" hidden="1" x14ac:dyDescent="0.3">
      <c r="A2008" s="1">
        <v>50022</v>
      </c>
      <c r="B2008" s="1" t="s">
        <v>4514</v>
      </c>
      <c r="C2008" s="1" t="s">
        <v>4515</v>
      </c>
      <c r="D2008" s="1" t="s">
        <v>118</v>
      </c>
      <c r="E2008" s="1" t="s">
        <v>118</v>
      </c>
      <c r="F2008" s="1">
        <v>1</v>
      </c>
      <c r="G2008" s="1" t="s">
        <v>143</v>
      </c>
      <c r="I2008" s="1" t="s">
        <v>4471</v>
      </c>
    </row>
    <row r="2009" spans="1:9" hidden="1" x14ac:dyDescent="0.3">
      <c r="A2009" s="1">
        <v>50023</v>
      </c>
      <c r="B2009" s="1" t="s">
        <v>4516</v>
      </c>
      <c r="C2009" s="1" t="s">
        <v>4517</v>
      </c>
      <c r="D2009" s="1" t="s">
        <v>111</v>
      </c>
      <c r="E2009" s="1" t="s">
        <v>111</v>
      </c>
      <c r="F2009" s="1">
        <v>1</v>
      </c>
      <c r="G2009" s="1" t="s">
        <v>143</v>
      </c>
      <c r="I2009" s="1" t="s">
        <v>4471</v>
      </c>
    </row>
    <row r="2010" spans="1:9" hidden="1" x14ac:dyDescent="0.3">
      <c r="A2010" s="1">
        <v>50024</v>
      </c>
      <c r="B2010" s="1" t="s">
        <v>4518</v>
      </c>
      <c r="C2010" s="1" t="s">
        <v>4519</v>
      </c>
      <c r="D2010" s="1" t="s">
        <v>111</v>
      </c>
      <c r="E2010" s="1" t="s">
        <v>111</v>
      </c>
      <c r="F2010" s="1">
        <v>1</v>
      </c>
      <c r="G2010" s="1" t="s">
        <v>143</v>
      </c>
      <c r="I2010" s="1" t="s">
        <v>4471</v>
      </c>
    </row>
    <row r="2011" spans="1:9" hidden="1" x14ac:dyDescent="0.3">
      <c r="A2011" s="1">
        <v>50025</v>
      </c>
      <c r="B2011" s="1" t="s">
        <v>4520</v>
      </c>
      <c r="C2011" s="1" t="s">
        <v>4521</v>
      </c>
      <c r="D2011" s="1" t="s">
        <v>111</v>
      </c>
      <c r="E2011" s="1" t="s">
        <v>111</v>
      </c>
      <c r="F2011" s="1">
        <v>1</v>
      </c>
      <c r="G2011" s="1" t="s">
        <v>143</v>
      </c>
      <c r="I2011" s="1" t="s">
        <v>4471</v>
      </c>
    </row>
    <row r="2012" spans="1:9" hidden="1" x14ac:dyDescent="0.3">
      <c r="A2012" s="1">
        <v>50026</v>
      </c>
      <c r="B2012" s="1" t="s">
        <v>4522</v>
      </c>
      <c r="C2012" s="1" t="s">
        <v>4523</v>
      </c>
      <c r="D2012" s="1" t="s">
        <v>111</v>
      </c>
      <c r="E2012" s="1" t="s">
        <v>111</v>
      </c>
      <c r="F2012" s="1">
        <v>1</v>
      </c>
      <c r="G2012" s="1" t="s">
        <v>143</v>
      </c>
      <c r="I2012" s="1" t="s">
        <v>4471</v>
      </c>
    </row>
    <row r="2013" spans="1:9" hidden="1" x14ac:dyDescent="0.3">
      <c r="A2013" s="1">
        <v>50027</v>
      </c>
      <c r="B2013" s="1" t="s">
        <v>4524</v>
      </c>
      <c r="C2013" s="1" t="s">
        <v>4525</v>
      </c>
      <c r="D2013" s="1" t="s">
        <v>111</v>
      </c>
      <c r="E2013" s="1" t="s">
        <v>111</v>
      </c>
      <c r="F2013" s="1">
        <v>1</v>
      </c>
      <c r="G2013" s="1" t="s">
        <v>143</v>
      </c>
      <c r="I2013" s="1" t="s">
        <v>4471</v>
      </c>
    </row>
    <row r="2014" spans="1:9" hidden="1" x14ac:dyDescent="0.3">
      <c r="A2014" s="1">
        <v>50028</v>
      </c>
      <c r="B2014" s="1" t="s">
        <v>4526</v>
      </c>
      <c r="C2014" s="1" t="s">
        <v>4527</v>
      </c>
      <c r="D2014" s="1" t="s">
        <v>111</v>
      </c>
      <c r="E2014" s="1" t="s">
        <v>111</v>
      </c>
      <c r="F2014" s="1">
        <v>1</v>
      </c>
      <c r="G2014" s="1" t="s">
        <v>143</v>
      </c>
      <c r="I2014" s="1" t="s">
        <v>4471</v>
      </c>
    </row>
    <row r="2015" spans="1:9" hidden="1" x14ac:dyDescent="0.3">
      <c r="A2015" s="1">
        <v>50029</v>
      </c>
      <c r="B2015" s="1" t="s">
        <v>4528</v>
      </c>
      <c r="C2015" s="1" t="s">
        <v>4529</v>
      </c>
      <c r="D2015" s="1" t="s">
        <v>111</v>
      </c>
      <c r="E2015" s="1" t="s">
        <v>111</v>
      </c>
      <c r="F2015" s="1">
        <v>1</v>
      </c>
      <c r="G2015" s="1" t="s">
        <v>143</v>
      </c>
      <c r="I2015" s="1" t="s">
        <v>4471</v>
      </c>
    </row>
    <row r="2016" spans="1:9" hidden="1" x14ac:dyDescent="0.3">
      <c r="A2016" s="1">
        <v>50030</v>
      </c>
      <c r="B2016" s="1" t="s">
        <v>4530</v>
      </c>
      <c r="C2016" s="1" t="s">
        <v>4531</v>
      </c>
      <c r="D2016" s="1" t="s">
        <v>111</v>
      </c>
      <c r="E2016" s="1" t="s">
        <v>111</v>
      </c>
      <c r="F2016" s="1">
        <v>1</v>
      </c>
      <c r="G2016" s="1" t="s">
        <v>143</v>
      </c>
      <c r="I2016" s="1" t="s">
        <v>4471</v>
      </c>
    </row>
    <row r="2017" spans="1:9" hidden="1" x14ac:dyDescent="0.3">
      <c r="A2017" s="1">
        <v>50031</v>
      </c>
      <c r="B2017" s="1" t="s">
        <v>4532</v>
      </c>
      <c r="C2017" s="1" t="s">
        <v>4533</v>
      </c>
      <c r="D2017" s="1" t="s">
        <v>111</v>
      </c>
      <c r="E2017" s="1" t="s">
        <v>111</v>
      </c>
      <c r="F2017" s="1">
        <v>1</v>
      </c>
      <c r="G2017" s="1" t="s">
        <v>143</v>
      </c>
      <c r="I2017" s="1" t="s">
        <v>4471</v>
      </c>
    </row>
    <row r="2018" spans="1:9" hidden="1" x14ac:dyDescent="0.3">
      <c r="A2018" s="1">
        <v>50032</v>
      </c>
      <c r="B2018" s="1" t="s">
        <v>4534</v>
      </c>
      <c r="C2018" s="1" t="s">
        <v>4535</v>
      </c>
      <c r="D2018" s="1" t="s">
        <v>142</v>
      </c>
      <c r="E2018" s="1" t="s">
        <v>142</v>
      </c>
      <c r="F2018" s="1">
        <v>1</v>
      </c>
      <c r="G2018" s="1" t="s">
        <v>143</v>
      </c>
      <c r="I2018" s="1" t="s">
        <v>4471</v>
      </c>
    </row>
    <row r="2019" spans="1:9" hidden="1" x14ac:dyDescent="0.3">
      <c r="A2019" s="1">
        <v>50033</v>
      </c>
      <c r="B2019" s="1" t="s">
        <v>4536</v>
      </c>
      <c r="C2019" s="1" t="s">
        <v>4537</v>
      </c>
      <c r="D2019" s="1" t="s">
        <v>134</v>
      </c>
      <c r="E2019" s="1" t="s">
        <v>134</v>
      </c>
      <c r="F2019" s="1">
        <v>1</v>
      </c>
      <c r="G2019" s="1" t="s">
        <v>143</v>
      </c>
      <c r="I2019" s="1" t="s">
        <v>4471</v>
      </c>
    </row>
    <row r="2020" spans="1:9" hidden="1" x14ac:dyDescent="0.3">
      <c r="A2020" s="1">
        <v>50034</v>
      </c>
      <c r="B2020" s="1" t="s">
        <v>4538</v>
      </c>
      <c r="C2020" s="1" t="s">
        <v>4539</v>
      </c>
      <c r="D2020" s="1" t="s">
        <v>197</v>
      </c>
      <c r="E2020" s="1" t="s">
        <v>197</v>
      </c>
      <c r="F2020" s="1">
        <v>1</v>
      </c>
      <c r="G2020" s="1" t="s">
        <v>143</v>
      </c>
      <c r="I2020" s="1" t="s">
        <v>4471</v>
      </c>
    </row>
    <row r="2021" spans="1:9" hidden="1" x14ac:dyDescent="0.3">
      <c r="A2021" s="1">
        <v>50035</v>
      </c>
      <c r="B2021" s="1" t="s">
        <v>4540</v>
      </c>
      <c r="C2021" s="1" t="s">
        <v>4541</v>
      </c>
      <c r="D2021" s="1" t="s">
        <v>111</v>
      </c>
      <c r="E2021" s="1" t="s">
        <v>111</v>
      </c>
      <c r="F2021" s="1">
        <v>1</v>
      </c>
      <c r="G2021" s="1" t="s">
        <v>143</v>
      </c>
      <c r="I2021" s="1" t="s">
        <v>4471</v>
      </c>
    </row>
    <row r="2022" spans="1:9" hidden="1" x14ac:dyDescent="0.3">
      <c r="A2022" s="1">
        <v>50036</v>
      </c>
      <c r="B2022" s="1" t="s">
        <v>4542</v>
      </c>
      <c r="C2022" s="1" t="s">
        <v>4543</v>
      </c>
      <c r="D2022" s="1" t="s">
        <v>111</v>
      </c>
      <c r="E2022" s="1" t="s">
        <v>111</v>
      </c>
      <c r="F2022" s="1">
        <v>1</v>
      </c>
      <c r="G2022" s="1" t="s">
        <v>143</v>
      </c>
      <c r="I2022" s="1" t="s">
        <v>4471</v>
      </c>
    </row>
    <row r="2023" spans="1:9" hidden="1" x14ac:dyDescent="0.3">
      <c r="A2023" s="1">
        <v>50037</v>
      </c>
      <c r="B2023" s="1" t="s">
        <v>4544</v>
      </c>
      <c r="C2023" s="1" t="s">
        <v>4545</v>
      </c>
      <c r="D2023" s="1" t="s">
        <v>111</v>
      </c>
      <c r="E2023" s="1" t="s">
        <v>111</v>
      </c>
      <c r="F2023" s="1">
        <v>1</v>
      </c>
      <c r="G2023" s="1" t="s">
        <v>143</v>
      </c>
      <c r="I2023" s="1" t="s">
        <v>4471</v>
      </c>
    </row>
    <row r="2024" spans="1:9" hidden="1" x14ac:dyDescent="0.3">
      <c r="A2024" s="1">
        <v>50038</v>
      </c>
      <c r="B2024" s="1" t="s">
        <v>4546</v>
      </c>
      <c r="C2024" s="1" t="s">
        <v>4547</v>
      </c>
      <c r="D2024" s="1" t="s">
        <v>111</v>
      </c>
      <c r="E2024" s="1" t="s">
        <v>111</v>
      </c>
      <c r="F2024" s="1">
        <v>1</v>
      </c>
      <c r="G2024" s="1" t="s">
        <v>143</v>
      </c>
      <c r="I2024" s="1" t="s">
        <v>4471</v>
      </c>
    </row>
    <row r="2025" spans="1:9" hidden="1" x14ac:dyDescent="0.3">
      <c r="A2025" s="1">
        <v>50039</v>
      </c>
      <c r="B2025" s="1" t="s">
        <v>4548</v>
      </c>
      <c r="C2025" s="1" t="s">
        <v>4549</v>
      </c>
      <c r="D2025" s="1" t="s">
        <v>215</v>
      </c>
      <c r="E2025" s="1" t="s">
        <v>215</v>
      </c>
      <c r="F2025" s="1">
        <v>1</v>
      </c>
      <c r="G2025" s="1" t="s">
        <v>143</v>
      </c>
      <c r="I2025" s="1" t="s">
        <v>4471</v>
      </c>
    </row>
    <row r="2026" spans="1:9" hidden="1" x14ac:dyDescent="0.3">
      <c r="A2026" s="1">
        <v>50040</v>
      </c>
      <c r="B2026" s="1" t="s">
        <v>4550</v>
      </c>
      <c r="C2026" s="1" t="s">
        <v>4551</v>
      </c>
      <c r="D2026" s="1" t="s">
        <v>134</v>
      </c>
      <c r="E2026" s="1" t="s">
        <v>134</v>
      </c>
      <c r="F2026" s="1">
        <v>1</v>
      </c>
      <c r="G2026" s="1" t="s">
        <v>143</v>
      </c>
      <c r="I2026" s="1" t="s">
        <v>4471</v>
      </c>
    </row>
    <row r="2027" spans="1:9" hidden="1" x14ac:dyDescent="0.3">
      <c r="A2027" s="1">
        <v>50041</v>
      </c>
      <c r="B2027" s="1" t="s">
        <v>4552</v>
      </c>
      <c r="C2027" s="1" t="s">
        <v>4553</v>
      </c>
      <c r="D2027" s="1" t="s">
        <v>111</v>
      </c>
      <c r="E2027" s="1" t="s">
        <v>111</v>
      </c>
      <c r="F2027" s="1">
        <v>1</v>
      </c>
      <c r="G2027" s="1" t="s">
        <v>143</v>
      </c>
      <c r="I2027" s="1" t="s">
        <v>4471</v>
      </c>
    </row>
    <row r="2028" spans="1:9" hidden="1" x14ac:dyDescent="0.3">
      <c r="A2028" s="1">
        <v>50042</v>
      </c>
      <c r="B2028" s="1" t="s">
        <v>4554</v>
      </c>
      <c r="C2028" s="1" t="s">
        <v>4555</v>
      </c>
      <c r="D2028" s="1" t="s">
        <v>134</v>
      </c>
      <c r="E2028" s="1" t="s">
        <v>134</v>
      </c>
      <c r="F2028" s="1">
        <v>1</v>
      </c>
      <c r="G2028" s="1" t="s">
        <v>143</v>
      </c>
      <c r="I2028" s="1" t="s">
        <v>4471</v>
      </c>
    </row>
    <row r="2029" spans="1:9" hidden="1" x14ac:dyDescent="0.3">
      <c r="A2029" s="1">
        <v>50043</v>
      </c>
      <c r="B2029" s="1" t="s">
        <v>4556</v>
      </c>
      <c r="C2029" s="1" t="s">
        <v>4557</v>
      </c>
      <c r="D2029" s="1" t="s">
        <v>111</v>
      </c>
      <c r="E2029" s="1" t="s">
        <v>111</v>
      </c>
      <c r="F2029" s="1">
        <v>1</v>
      </c>
      <c r="G2029" s="1" t="s">
        <v>143</v>
      </c>
      <c r="I2029" s="1" t="s">
        <v>4471</v>
      </c>
    </row>
    <row r="2030" spans="1:9" hidden="1" x14ac:dyDescent="0.3">
      <c r="A2030" s="1">
        <v>50044</v>
      </c>
      <c r="B2030" s="1" t="s">
        <v>4558</v>
      </c>
      <c r="C2030" s="1" t="s">
        <v>4559</v>
      </c>
      <c r="D2030" s="1" t="s">
        <v>111</v>
      </c>
      <c r="E2030" s="1" t="s">
        <v>111</v>
      </c>
      <c r="F2030" s="1">
        <v>1</v>
      </c>
      <c r="G2030" s="1" t="s">
        <v>143</v>
      </c>
      <c r="I2030" s="1" t="s">
        <v>4471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Values List</vt:lpstr>
      <vt:lpstr>HeadCount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</dc:creator>
  <cp:lastModifiedBy>Mahmoud Hossam</cp:lastModifiedBy>
  <dcterms:created xsi:type="dcterms:W3CDTF">2018-07-25T09:25:53Z</dcterms:created>
  <dcterms:modified xsi:type="dcterms:W3CDTF">2025-08-21T13:31:39Z</dcterms:modified>
</cp:coreProperties>
</file>